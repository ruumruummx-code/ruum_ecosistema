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384" windowHeight="8192" firstSheet="0" activeTab="1"/>
  </bookViews>
  <sheets>
    <sheet sheetId="1" name="Instrucciones" state="visible" r:id="rId4"/>
    <sheet sheetId="2" name="Traslados" state="visible" r:id="rId5"/>
    <sheet sheetId="3" name="Catalogo_Vehiculos" state="visible" r:id="rId6"/>
    <sheet sheetId="4" name="Listas" state="visible" r:id="rId7"/>
  </sheets>
  <definedNames>
    <definedName name="_xlnm._FilterDatabase">Traslados!$A$1:$AT$501</definedName>
  </definedNames>
  <calcPr calcId="171027"/>
</workbook>
</file>

<file path=xl/sharedStrings.xml><?xml version="1.0" encoding="utf-8"?>
<sst xmlns="http://schemas.openxmlformats.org/spreadsheetml/2006/main" count="8323" uniqueCount="1561">
  <si>
    <t>Plantilla de carga masiva de traslados</t>
  </si>
  <si>
    <t>1. Captura un traslado por fila en la hoja 'Traslados' (hasta 500 filas). La fila 2 (amarilla) es un ejemplo: bórrala o sobrescríbela.</t>
  </si>
  <si>
    <t>2. Elige marca y modelo de las listas: gama, tipo, segmento y categoría de tarifa se llenan solos. No edites las columnas grises.</t>
  </si>
  <si>
    <t>3. Escribe el código postal (5 dígitos) y elige la colonia de la lista; municipio y estado se llenan solos.</t>
  </si>
  <si>
    <t>4. Si una ventana es 'específica', captura su horario en HH:MM-HH:MM (24 h). Para las demás ventanas el horario va vacío.</t>
  </si>
  <si>
    <t>5. 'revision_fila' muestra OK o 'Revisar' como guía rápida; la validación completa se hace al subir el archivo.</t>
  </si>
  <si>
    <t>6. Código postal, teléfonos, placas y VIN están en formato texto para no perder ceros ni el signo +. Fechas: aaaa-mm-dd hh:mm.</t>
  </si>
  <si>
    <t>Código de color de los encabezados</t>
  </si>
  <si>
    <t>Obligatorio</t>
  </si>
  <si>
    <t>Condicional (ver regla)</t>
  </si>
  <si>
    <t>Opcional</t>
  </si>
  <si>
    <t>Automático, no editar</t>
  </si>
  <si>
    <t>Columna</t>
  </si>
  <si>
    <t>Grupo</t>
  </si>
  <si>
    <t>Regla / formato</t>
  </si>
  <si>
    <t>referencia_externa</t>
  </si>
  <si>
    <t>Referencia</t>
  </si>
  <si>
    <t>Sí</t>
  </si>
  <si>
    <t>Único por cuenta. Evita duplicados al reenviar el archivo.</t>
  </si>
  <si>
    <t>centro_costo</t>
  </si>
  <si>
    <t>No</t>
  </si>
  <si>
    <t>Código de centro de costo del cliente.</t>
  </si>
  <si>
    <t>orden_compra</t>
  </si>
  <si>
    <t>Orden de compra asociada.</t>
  </si>
  <si>
    <t>prioridad</t>
  </si>
  <si>
    <t>Lista: baja, normal, alta, urgente. Vacío = normal.</t>
  </si>
  <si>
    <t>tipo_traslado</t>
  </si>
  <si>
    <t>Lista: local, foráneo.</t>
  </si>
  <si>
    <t>vehiculo_placas</t>
  </si>
  <si>
    <t>Vehículo</t>
  </si>
  <si>
    <t>Condicional</t>
  </si>
  <si>
    <t>Placas o VIN: al menos uno es obligatorio.</t>
  </si>
  <si>
    <t>vehiculo_vin</t>
  </si>
  <si>
    <t>17 caracteres alfanuméricos.</t>
  </si>
  <si>
    <t>vehiculo_marca</t>
  </si>
  <si>
    <t>Lista desplegable del catálogo.</t>
  </si>
  <si>
    <t>vehiculo_modelo</t>
  </si>
  <si>
    <t>Lista desplegable que depende de la marca elegida.</t>
  </si>
  <si>
    <t>vehiculo_gama</t>
  </si>
  <si>
    <t>Automática</t>
  </si>
  <si>
    <t>Entrada, media, alta o premium. Se calcula con marca + modelo.</t>
  </si>
  <si>
    <t>vehiculo_tipo</t>
  </si>
  <si>
    <t>Automóviles o camiones ligeros. Se calcula con marca + modelo.</t>
  </si>
  <si>
    <t>vehiculo_segmento</t>
  </si>
  <si>
    <t>Compactos, SUV's, pick ups, etc. Se calcula con marca + modelo.</t>
  </si>
  <si>
    <t>vehiculo_categoria_tarifa</t>
  </si>
  <si>
    <t>Ligero A o Ligero B. Se calcula con marca + modelo.</t>
  </si>
  <si>
    <t>vehiculo_anio</t>
  </si>
  <si>
    <t>Entre 1990 y 2027.</t>
  </si>
  <si>
    <t>vehiculo_color</t>
  </si>
  <si>
    <t>Texto libre.</t>
  </si>
  <si>
    <t>vehiculo_transmision</t>
  </si>
  <si>
    <t>Lista: automática, manual, eléctrica.</t>
  </si>
  <si>
    <t>condicion</t>
  </si>
  <si>
    <t>Lista: nueva, seminueva, rescate mecánico.</t>
  </si>
  <si>
    <t>estado_general_declarado</t>
  </si>
  <si>
    <t>Lista: excelente, buen estado, detalles estéticos menores, rayones o golpes visibles.</t>
  </si>
  <si>
    <t>contacto_entrega_nombre</t>
  </si>
  <si>
    <t>Contactos</t>
  </si>
  <si>
    <t>Quien entrega la unidad en el origen.</t>
  </si>
  <si>
    <t>contacto_entrega_telefono</t>
  </si>
  <si>
    <t>Formato internacional: +52 y 10 dígitos.</t>
  </si>
  <si>
    <t>contacto_recepcion_nombre</t>
  </si>
  <si>
    <t>Quien recibe la unidad en el destino.</t>
  </si>
  <si>
    <t>contacto_recepcion_telefono</t>
  </si>
  <si>
    <t>origen_codigo_postal</t>
  </si>
  <si>
    <t>Origen</t>
  </si>
  <si>
    <t>5 dígitos, debe existir en el catálogo. Obligatorio si no hay sucursal de origen.</t>
  </si>
  <si>
    <t>origen_colonia</t>
  </si>
  <si>
    <t>Lista de colonias del código postal. Obligatoria si no hay sucursal de origen.</t>
  </si>
  <si>
    <t>origen_municipio</t>
  </si>
  <si>
    <t>Se calcula con el código postal.</t>
  </si>
  <si>
    <t>origen_estado</t>
  </si>
  <si>
    <t>origen_calle</t>
  </si>
  <si>
    <t>Obligatoria si no hay sucursal de origen.</t>
  </si>
  <si>
    <t>origen_numero</t>
  </si>
  <si>
    <t>Número exterior.</t>
  </si>
  <si>
    <t>origen_referencias</t>
  </si>
  <si>
    <t>Referencias para llegar.</t>
  </si>
  <si>
    <t>destino_codigo_postal</t>
  </si>
  <si>
    <t>Destino</t>
  </si>
  <si>
    <t>5 dígitos, debe existir en el catálogo. Obligatorio si no hay sucursal de destino.</t>
  </si>
  <si>
    <t>destino_colonia</t>
  </si>
  <si>
    <t>Lista de colonias del código postal. Obligatoria si no hay sucursal de destino.</t>
  </si>
  <si>
    <t>destino_municipio</t>
  </si>
  <si>
    <t>destino_estado</t>
  </si>
  <si>
    <t>destino_calle</t>
  </si>
  <si>
    <t>Obligatoria si no hay sucursal de destino.</t>
  </si>
  <si>
    <t>destino_numero</t>
  </si>
  <si>
    <t>destino_referencias</t>
  </si>
  <si>
    <t>modalidad_programacion</t>
  </si>
  <si>
    <t>Programación</t>
  </si>
  <si>
    <t>Lista: programado, inmediato.</t>
  </si>
  <si>
    <t>fecha_hora_programada</t>
  </si>
  <si>
    <t>Obligatoria si la modalidad es 'programado'. Fecha futura.</t>
  </si>
  <si>
    <t>ventana_recoleccion</t>
  </si>
  <si>
    <t>Lista: flexible, mañana, tarde, noche, específica.</t>
  </si>
  <si>
    <t>ventana_recoleccion_horario</t>
  </si>
  <si>
    <t>Obligatorio si la ventana es 'específica'. Formato HH:MM-HH:MM (24 h), ej. 11:00-12:00.</t>
  </si>
  <si>
    <t>ventana_entrega</t>
  </si>
  <si>
    <t>ventana_entrega_horario</t>
  </si>
  <si>
    <t>Obligatorio si la ventana es 'específica'. Formato HH:MM-HH:MM (24 h), ej. 14:00-16:00.</t>
  </si>
  <si>
    <t>instrucciones_especiales</t>
  </si>
  <si>
    <t>sucursal_origen_id</t>
  </si>
  <si>
    <t>Sucursales</t>
  </si>
  <si>
    <t>Si se llena, se usa la dirección de la sucursal y se ignora la dirección de origen.</t>
  </si>
  <si>
    <t>sucursal_destino_id</t>
  </si>
  <si>
    <t>Si se llena, se usa la dirección de la sucursal y se ignora la dirección de destino.</t>
  </si>
  <si>
    <t>revision_fila</t>
  </si>
  <si>
    <t>Control</t>
  </si>
  <si>
    <t>OK si la fila tiene los datos mínimos; 'Revisar' si falta algo o hay un dato no encontrado.</t>
  </si>
  <si>
    <t>Supuestos a confirmar</t>
  </si>
  <si>
    <t>• Catálogo de vehículos: vehiculos-clasificacion.json del cliente; códigos postales: CPdescarga.xls (SEPOMEX, 31,867 CP y 158,350 colonias).</t>
  </si>
  <si>
    <t>• Prioridad (baja, normal, alta, urgente) y modalidad (programado, inmediato) son propuesta; no se recibieron valores del cliente.</t>
  </si>
  <si>
    <t>• tipo_traslado es obligatorio; transmisión, condición, estado general y ventanas son opcionales (vacío = flexible). Confirmar.</t>
  </si>
  <si>
    <t>• Las ventanas pasaron de fecha/hora a lista; para 'específica' se agregaron 2 columnas de horario. Se asume que el horario aplica al día de fecha_hora_programada.</t>
  </si>
  <si>
    <t>• Columnas agregadas respecto al CSV original (automáticas, el importador debe ignorarlas): gama, tipo, segmento, categoría de tarifa, municipio y estado de origen/destino, revision_fila.</t>
  </si>
  <si>
    <t>• Los valores de las listas se escriben en minúsculas con acentos (ej. 'específica', 'foráneo'); el importador debe normalizarlos.</t>
  </si>
  <si>
    <t>• Fechas en formato de Excel (no ISO con zona horaria); el importador debe asumir la zona de la cuenta.</t>
  </si>
  <si>
    <t>FLOT-001</t>
  </si>
  <si>
    <t>CC-NORTE</t>
  </si>
  <si>
    <t>OC-45881</t>
  </si>
  <si>
    <t>normal</t>
  </si>
  <si>
    <t>local</t>
  </si>
  <si>
    <t>ABC123</t>
  </si>
  <si>
    <t>Nissan</t>
  </si>
  <si>
    <t>Versa</t>
  </si>
  <si>
    <t>Blanco</t>
  </si>
  <si>
    <t>automática</t>
  </si>
  <si>
    <t>seminueva</t>
  </si>
  <si>
    <t>buen estado</t>
  </si>
  <si>
    <t>Operaciones</t>
  </si>
  <si>
    <t>+525500000000</t>
  </si>
  <si>
    <t>Recepcion</t>
  </si>
  <si>
    <t>+525500000001</t>
  </si>
  <si>
    <t>06700</t>
  </si>
  <si>
    <t>Roma Norte</t>
  </si>
  <si>
    <t>Cuauhtémoc</t>
  </si>
  <si>
    <t>Ciudad de México</t>
  </si>
  <si>
    <t>Av. Reforma</t>
  </si>
  <si>
    <t>100</t>
  </si>
  <si>
    <t>Acceso por estacionamiento</t>
  </si>
  <si>
    <t>04360</t>
  </si>
  <si>
    <t>Copilco Universidad</t>
  </si>
  <si>
    <t>Coyoacán</t>
  </si>
  <si>
    <t>Av. Universidad</t>
  </si>
  <si>
    <t>300</t>
  </si>
  <si>
    <t>Entregar en recepción</t>
  </si>
  <si>
    <t>programado</t>
  </si>
  <si>
    <t>específica</t>
  </si>
  <si>
    <t>11:00-12:00</t>
  </si>
  <si>
    <t>tarde</t>
  </si>
  <si>
    <t>Unidad prioritaria</t>
  </si>
  <si>
    <t>marca</t>
  </si>
  <si>
    <t>modelo</t>
  </si>
  <si>
    <t>gama</t>
  </si>
  <si>
    <t>tipo</t>
  </si>
  <si>
    <t>segmento</t>
  </si>
  <si>
    <t>categoria</t>
  </si>
  <si>
    <t>clave (auto)</t>
  </si>
  <si>
    <t>Acura</t>
  </si>
  <si>
    <t>ADX</t>
  </si>
  <si>
    <t>Media</t>
  </si>
  <si>
    <t>Camiones ligeros</t>
  </si>
  <si>
    <t>SUV's</t>
  </si>
  <si>
    <t>Ligero B</t>
  </si>
  <si>
    <t>ILX</t>
  </si>
  <si>
    <t>Alta</t>
  </si>
  <si>
    <t>Automóviles</t>
  </si>
  <si>
    <t>De Lujo</t>
  </si>
  <si>
    <t>Ligero A</t>
  </si>
  <si>
    <t>INTEGRA</t>
  </si>
  <si>
    <t>Mdx</t>
  </si>
  <si>
    <t>NSX</t>
  </si>
  <si>
    <t>Premium</t>
  </si>
  <si>
    <t>Deportivos</t>
  </si>
  <si>
    <t>Rdx</t>
  </si>
  <si>
    <t>Rl</t>
  </si>
  <si>
    <t>Rlx</t>
  </si>
  <si>
    <t>Tl 3.5l</t>
  </si>
  <si>
    <t>Tl 3.7l</t>
  </si>
  <si>
    <t>TLX</t>
  </si>
  <si>
    <t>TSX 2.4L</t>
  </si>
  <si>
    <t>Tsx 3.5l</t>
  </si>
  <si>
    <t>ZDX</t>
  </si>
  <si>
    <t>Alfa Romeo</t>
  </si>
  <si>
    <t>4C</t>
  </si>
  <si>
    <t>Alfa Romeo 159 2.2 Jts Sport Plus Selespeed</t>
  </si>
  <si>
    <t>Alfa Romeo 159 3.2 Sport Plus Awd Automatico</t>
  </si>
  <si>
    <t>Alfa Romeo Giulietta Progression Manual</t>
  </si>
  <si>
    <t>Alfa Romeo Mito Quadrifoglio Verde Manual</t>
  </si>
  <si>
    <t>Giulia</t>
  </si>
  <si>
    <t>Junior</t>
  </si>
  <si>
    <t>Stelvio</t>
  </si>
  <si>
    <t>TONALE</t>
  </si>
  <si>
    <t>Audi</t>
  </si>
  <si>
    <t>A 1 1.4T</t>
  </si>
  <si>
    <t>A1</t>
  </si>
  <si>
    <t>A1*</t>
  </si>
  <si>
    <t>A1-</t>
  </si>
  <si>
    <t>A3</t>
  </si>
  <si>
    <t>A3 Cabrio</t>
  </si>
  <si>
    <t>A3 Sedán</t>
  </si>
  <si>
    <t>A3-</t>
  </si>
  <si>
    <t>A4</t>
  </si>
  <si>
    <t>A4 1.8 Cabrio</t>
  </si>
  <si>
    <t>A4 1.8T</t>
  </si>
  <si>
    <t>A4 2.0</t>
  </si>
  <si>
    <t>A4 2.0 Cabrio</t>
  </si>
  <si>
    <t>A4 3.0</t>
  </si>
  <si>
    <t>A4 3.0 Cabrio</t>
  </si>
  <si>
    <t>A4 3.2</t>
  </si>
  <si>
    <t>A5</t>
  </si>
  <si>
    <t>A5 2.0</t>
  </si>
  <si>
    <t>A5 2.0T Sportback</t>
  </si>
  <si>
    <t>A5 3.2</t>
  </si>
  <si>
    <t>A5 3.2 Sportback</t>
  </si>
  <si>
    <t>A5 Cabrio</t>
  </si>
  <si>
    <t>A5 Coupe</t>
  </si>
  <si>
    <t>A5 Sedán</t>
  </si>
  <si>
    <t>A5 Sportback</t>
  </si>
  <si>
    <t>A6</t>
  </si>
  <si>
    <t>A6 2.7 Biturbo</t>
  </si>
  <si>
    <t>A6 2.8</t>
  </si>
  <si>
    <t>A6 3.0</t>
  </si>
  <si>
    <t>A6 3.2</t>
  </si>
  <si>
    <t>A6 4.2</t>
  </si>
  <si>
    <t>A7</t>
  </si>
  <si>
    <t>A8</t>
  </si>
  <si>
    <t>A8 4.2</t>
  </si>
  <si>
    <t>Audi Q7 3.0 TDI</t>
  </si>
  <si>
    <t>Audi Q7 3.6</t>
  </si>
  <si>
    <t>Audi Q7 4.2</t>
  </si>
  <si>
    <t>Audi Q7 4.2 TDI</t>
  </si>
  <si>
    <t>e-tron</t>
  </si>
  <si>
    <t>Q 3</t>
  </si>
  <si>
    <t>Q2</t>
  </si>
  <si>
    <t>Q3</t>
  </si>
  <si>
    <t>Q3 SB</t>
  </si>
  <si>
    <t>Q3-</t>
  </si>
  <si>
    <t>Q5</t>
  </si>
  <si>
    <t>Q5 2.0T</t>
  </si>
  <si>
    <t>Q5 3.0 TDI</t>
  </si>
  <si>
    <t>Q5 3.2</t>
  </si>
  <si>
    <t>Q6 etron</t>
  </si>
  <si>
    <t>Q7</t>
  </si>
  <si>
    <t>Q7 3.0T FSI</t>
  </si>
  <si>
    <t>Q7-</t>
  </si>
  <si>
    <t>Q8</t>
  </si>
  <si>
    <t>R8</t>
  </si>
  <si>
    <t>R8 Spyder</t>
  </si>
  <si>
    <t>RS 6</t>
  </si>
  <si>
    <t>RS4 4.2</t>
  </si>
  <si>
    <t>RS5 4.2</t>
  </si>
  <si>
    <t>RS6 Avant</t>
  </si>
  <si>
    <t>RS6 Sedan</t>
  </si>
  <si>
    <t>S3 2.0</t>
  </si>
  <si>
    <t>S4 3.0</t>
  </si>
  <si>
    <t>S4 4.2</t>
  </si>
  <si>
    <t>S4 4.2 Cabrio</t>
  </si>
  <si>
    <t>S5 4.2</t>
  </si>
  <si>
    <t>S6</t>
  </si>
  <si>
    <t>S8</t>
  </si>
  <si>
    <t>Sportback</t>
  </si>
  <si>
    <t>TT Coupe</t>
  </si>
  <si>
    <t>TT Roadster</t>
  </si>
  <si>
    <t>TTRS Coupe</t>
  </si>
  <si>
    <t>TTS Coupe</t>
  </si>
  <si>
    <t>TTS Roadster</t>
  </si>
  <si>
    <t>Auteco</t>
  </si>
  <si>
    <t>D2S 150</t>
  </si>
  <si>
    <t>Entrada</t>
  </si>
  <si>
    <t>Subcompactos</t>
  </si>
  <si>
    <t>D2S 250</t>
  </si>
  <si>
    <t>E-TRUCK B2.0T</t>
  </si>
  <si>
    <t>Pick Ups</t>
  </si>
  <si>
    <t>E-Van B2.4T</t>
  </si>
  <si>
    <t>Minivans</t>
  </si>
  <si>
    <t>E-VAN S1.0T PRO</t>
  </si>
  <si>
    <t>RICH 6 EV</t>
  </si>
  <si>
    <t>Rich 7EV 4x4</t>
  </si>
  <si>
    <t>Bentley</t>
  </si>
  <si>
    <t>Arnage R</t>
  </si>
  <si>
    <t>Azure</t>
  </si>
  <si>
    <t>Bentayga</t>
  </si>
  <si>
    <t>Continental</t>
  </si>
  <si>
    <t>Flying Spur</t>
  </si>
  <si>
    <t>Mulsanne</t>
  </si>
  <si>
    <t>BMW</t>
  </si>
  <si>
    <t>118I</t>
  </si>
  <si>
    <t>120I</t>
  </si>
  <si>
    <t>120i 3p</t>
  </si>
  <si>
    <t>125i Coupe</t>
  </si>
  <si>
    <t>130I</t>
  </si>
  <si>
    <t>130i 3p</t>
  </si>
  <si>
    <t>135i Coupe</t>
  </si>
  <si>
    <t>320I</t>
  </si>
  <si>
    <t>325CI</t>
  </si>
  <si>
    <t>325CI Cabrio</t>
  </si>
  <si>
    <t>325I</t>
  </si>
  <si>
    <t>325i Cabrio</t>
  </si>
  <si>
    <t>325i Coupe</t>
  </si>
  <si>
    <t>325I SDK</t>
  </si>
  <si>
    <t>330CI</t>
  </si>
  <si>
    <t>330CI Cabrio</t>
  </si>
  <si>
    <t>330I</t>
  </si>
  <si>
    <t>335i</t>
  </si>
  <si>
    <t>335i Cabrio</t>
  </si>
  <si>
    <t>335i Coupe</t>
  </si>
  <si>
    <t>525I</t>
  </si>
  <si>
    <t>528I</t>
  </si>
  <si>
    <t>530I</t>
  </si>
  <si>
    <t>535I</t>
  </si>
  <si>
    <t>535i Gran Turismo</t>
  </si>
  <si>
    <t>540I</t>
  </si>
  <si>
    <t>545I</t>
  </si>
  <si>
    <t>550I</t>
  </si>
  <si>
    <t>550i Gran Turismo</t>
  </si>
  <si>
    <t>645CI</t>
  </si>
  <si>
    <t>645CI Cabrio</t>
  </si>
  <si>
    <t>650I</t>
  </si>
  <si>
    <t>650i Cabrio</t>
  </si>
  <si>
    <t>740I</t>
  </si>
  <si>
    <t>745I</t>
  </si>
  <si>
    <t>750I</t>
  </si>
  <si>
    <t>760LI</t>
  </si>
  <si>
    <t>i3</t>
  </si>
  <si>
    <t>i4</t>
  </si>
  <si>
    <t>i5</t>
  </si>
  <si>
    <t>i7</t>
  </si>
  <si>
    <t>i8</t>
  </si>
  <si>
    <t>iX</t>
  </si>
  <si>
    <t>iX1</t>
  </si>
  <si>
    <t>iX2</t>
  </si>
  <si>
    <t>iX3</t>
  </si>
  <si>
    <t>M3</t>
  </si>
  <si>
    <t>M3 Cabrio</t>
  </si>
  <si>
    <t>M3 Sedan</t>
  </si>
  <si>
    <t>M5</t>
  </si>
  <si>
    <t>M6</t>
  </si>
  <si>
    <t>Serie 1 Hatch</t>
  </si>
  <si>
    <t>Serie 1 M Coupe</t>
  </si>
  <si>
    <t>Serie 1 Sedán</t>
  </si>
  <si>
    <t>Serie 2</t>
  </si>
  <si>
    <t>Serie 3</t>
  </si>
  <si>
    <t>Serie 3-</t>
  </si>
  <si>
    <t>Serie 4</t>
  </si>
  <si>
    <t>Serie 5</t>
  </si>
  <si>
    <t>Serie 6</t>
  </si>
  <si>
    <t>Serie 7</t>
  </si>
  <si>
    <t>Serie 8</t>
  </si>
  <si>
    <t>X1</t>
  </si>
  <si>
    <t>X1 Sdrive20i</t>
  </si>
  <si>
    <t>X1 Xdrive 28i</t>
  </si>
  <si>
    <t>X1 Xdrive25i</t>
  </si>
  <si>
    <t>X2</t>
  </si>
  <si>
    <t>X3</t>
  </si>
  <si>
    <t>X3 2.5I</t>
  </si>
  <si>
    <t>X3 3.0I</t>
  </si>
  <si>
    <t>X3 Xdrive 28ia</t>
  </si>
  <si>
    <t>X3 Xdrive35ia</t>
  </si>
  <si>
    <t>X4</t>
  </si>
  <si>
    <t>X5</t>
  </si>
  <si>
    <t>X5 3.0I</t>
  </si>
  <si>
    <t>X5 4.4I</t>
  </si>
  <si>
    <t>X5 4.8I</t>
  </si>
  <si>
    <t>X5 M</t>
  </si>
  <si>
    <t>X5 Xdrive35I</t>
  </si>
  <si>
    <t>X5 Xdrive50I</t>
  </si>
  <si>
    <t>X6</t>
  </si>
  <si>
    <t>X6 M</t>
  </si>
  <si>
    <t>X7</t>
  </si>
  <si>
    <t>XM</t>
  </si>
  <si>
    <t>Z4</t>
  </si>
  <si>
    <t>Z4-</t>
  </si>
  <si>
    <t>Changan</t>
  </si>
  <si>
    <t>ALSVIN</t>
  </si>
  <si>
    <t>CS35 PLUS</t>
  </si>
  <si>
    <t>CS55 PLUS</t>
  </si>
  <si>
    <t>CS55 Plus IDD</t>
  </si>
  <si>
    <t>CS75</t>
  </si>
  <si>
    <t>CS95</t>
  </si>
  <si>
    <t>DEEPAL S07 BEV</t>
  </si>
  <si>
    <t>DEEPAL S07 REEV</t>
  </si>
  <si>
    <t>Eado Plus</t>
  </si>
  <si>
    <t>Compactos</t>
  </si>
  <si>
    <t>Eado Plus IDD</t>
  </si>
  <si>
    <t>HONOR S</t>
  </si>
  <si>
    <t>HUNTER CHASIS</t>
  </si>
  <si>
    <t>HUNTER PLUS</t>
  </si>
  <si>
    <t>HUNTER WORK</t>
  </si>
  <si>
    <t>NEW STAR TRUCK</t>
  </si>
  <si>
    <t>UNI-K</t>
  </si>
  <si>
    <t>Chirey</t>
  </si>
  <si>
    <t>Arrizo 8</t>
  </si>
  <si>
    <t>Tiggo 2</t>
  </si>
  <si>
    <t>Tiggo 4</t>
  </si>
  <si>
    <t>Tiggo 7</t>
  </si>
  <si>
    <t>Tiggo 7 Pro e+</t>
  </si>
  <si>
    <t>Tiggo 8</t>
  </si>
  <si>
    <t>Tiggo 8 Pro e+</t>
  </si>
  <si>
    <t>Chrysler</t>
  </si>
  <si>
    <t>Aspen</t>
  </si>
  <si>
    <t>Atos</t>
  </si>
  <si>
    <t>Attitude</t>
  </si>
  <si>
    <t>Avenger</t>
  </si>
  <si>
    <t>Caliber</t>
  </si>
  <si>
    <t>Challenger</t>
  </si>
  <si>
    <t>Charger</t>
  </si>
  <si>
    <t>Cherokee</t>
  </si>
  <si>
    <t>Chrysler 200</t>
  </si>
  <si>
    <t>Chrysler 300</t>
  </si>
  <si>
    <t>CHRYSLER 300C</t>
  </si>
  <si>
    <t>Chrysler Pacifica</t>
  </si>
  <si>
    <t>Cirrus</t>
  </si>
  <si>
    <t>Cirrus Coupe</t>
  </si>
  <si>
    <t>Commander</t>
  </si>
  <si>
    <t>Commander Xk</t>
  </si>
  <si>
    <t>Crew Cab</t>
  </si>
  <si>
    <t>Crew Cab-</t>
  </si>
  <si>
    <t>Crossfire</t>
  </si>
  <si>
    <t>Dakota</t>
  </si>
  <si>
    <t>Dart</t>
  </si>
  <si>
    <t>Dodge 1000</t>
  </si>
  <si>
    <t>Dodge Neon</t>
  </si>
  <si>
    <t>Durango</t>
  </si>
  <si>
    <t>Grand Caravan</t>
  </si>
  <si>
    <t>Grand Cherokee</t>
  </si>
  <si>
    <t>H100</t>
  </si>
  <si>
    <t>H100 Van</t>
  </si>
  <si>
    <t>H100 Wagon</t>
  </si>
  <si>
    <t>I10</t>
  </si>
  <si>
    <t>Jeep Compass</t>
  </si>
  <si>
    <t>Jeep Compass-</t>
  </si>
  <si>
    <t>Journey</t>
  </si>
  <si>
    <t>JT</t>
  </si>
  <si>
    <t>Liberty</t>
  </si>
  <si>
    <t>Mega Cab</t>
  </si>
  <si>
    <t>Neon</t>
  </si>
  <si>
    <t>Nitro</t>
  </si>
  <si>
    <t>Nuevo Attitude</t>
  </si>
  <si>
    <t>Pacifica</t>
  </si>
  <si>
    <t>Patriot</t>
  </si>
  <si>
    <t>Promaster</t>
  </si>
  <si>
    <t>Promaster Rapid</t>
  </si>
  <si>
    <t>PT Cruiser</t>
  </si>
  <si>
    <t>Pt Cruiser Conv</t>
  </si>
  <si>
    <t>Quad Cab</t>
  </si>
  <si>
    <t>RAM 1200</t>
  </si>
  <si>
    <t>Ram 1500</t>
  </si>
  <si>
    <t>RAM 1500-</t>
  </si>
  <si>
    <t>Ram 2500</t>
  </si>
  <si>
    <t>RAM 2500-</t>
  </si>
  <si>
    <t>RAM 4000</t>
  </si>
  <si>
    <t>RAM 4000 Diesel</t>
  </si>
  <si>
    <t>RAM 700</t>
  </si>
  <si>
    <t>RAM DS</t>
  </si>
  <si>
    <t>Renegade</t>
  </si>
  <si>
    <t>Stratus</t>
  </si>
  <si>
    <t>Verna 3 Ptas</t>
  </si>
  <si>
    <t>Verna 4 Ptas</t>
  </si>
  <si>
    <t>Viper</t>
  </si>
  <si>
    <t>Vision</t>
  </si>
  <si>
    <t>Voyager</t>
  </si>
  <si>
    <t>Voyager Town&amp;Country LTD</t>
  </si>
  <si>
    <t>Voyager Town&amp;Country LX</t>
  </si>
  <si>
    <t>Wagoneer</t>
  </si>
  <si>
    <t>Wrangler</t>
  </si>
  <si>
    <t>Fiat</t>
  </si>
  <si>
    <t>124 Spider</t>
  </si>
  <si>
    <t>500L</t>
  </si>
  <si>
    <t>500X</t>
  </si>
  <si>
    <t>Albea Sedan</t>
  </si>
  <si>
    <t>Argo</t>
  </si>
  <si>
    <t>Bravo</t>
  </si>
  <si>
    <t>Ducato</t>
  </si>
  <si>
    <t>FASTBACK</t>
  </si>
  <si>
    <t>Fiat 500</t>
  </si>
  <si>
    <t>Fiat 500-</t>
  </si>
  <si>
    <t>Grande Punto 3 Ptas</t>
  </si>
  <si>
    <t>Grande Punto 5 Ptas</t>
  </si>
  <si>
    <t>Grande Punto Turbo</t>
  </si>
  <si>
    <t>Idea</t>
  </si>
  <si>
    <t>Linea</t>
  </si>
  <si>
    <t>Mobi</t>
  </si>
  <si>
    <t>Nuevo Palio</t>
  </si>
  <si>
    <t>Palio 1.8r</t>
  </si>
  <si>
    <t>Palio Adventure</t>
  </si>
  <si>
    <t>Palio Hatchback</t>
  </si>
  <si>
    <t>Palio Sedan</t>
  </si>
  <si>
    <t>Panda 4x2d</t>
  </si>
  <si>
    <t>Panda 4x2m</t>
  </si>
  <si>
    <t>Panda 4x4</t>
  </si>
  <si>
    <t>Pulse</t>
  </si>
  <si>
    <t>Stilo</t>
  </si>
  <si>
    <t>Strada Adventure</t>
  </si>
  <si>
    <t>Uno</t>
  </si>
  <si>
    <t>Ford Motor</t>
  </si>
  <si>
    <t>Bronco</t>
  </si>
  <si>
    <t>Bronco Sport</t>
  </si>
  <si>
    <t>Club Wagon</t>
  </si>
  <si>
    <t>Courier</t>
  </si>
  <si>
    <t>Crown Victoria / Police Interceptor</t>
  </si>
  <si>
    <t>E-Transit</t>
  </si>
  <si>
    <t>Econoline</t>
  </si>
  <si>
    <t>Ecosport</t>
  </si>
  <si>
    <t>Edge</t>
  </si>
  <si>
    <t>Escape</t>
  </si>
  <si>
    <t>Escape HEV</t>
  </si>
  <si>
    <t>Excursion</t>
  </si>
  <si>
    <t>Expedition</t>
  </si>
  <si>
    <t>Explorer</t>
  </si>
  <si>
    <t>Explorer Sport Trac</t>
  </si>
  <si>
    <t>F 150</t>
  </si>
  <si>
    <t>F 250</t>
  </si>
  <si>
    <t>F 250 Super Duty</t>
  </si>
  <si>
    <t>F 350</t>
  </si>
  <si>
    <t>F 450</t>
  </si>
  <si>
    <t>F 450 Diesel</t>
  </si>
  <si>
    <t>F 550</t>
  </si>
  <si>
    <t>F 550 Diesel</t>
  </si>
  <si>
    <t>F-350</t>
  </si>
  <si>
    <t>F-450</t>
  </si>
  <si>
    <t>F-550</t>
  </si>
  <si>
    <t>F450 Diesel</t>
  </si>
  <si>
    <t>F550 Diesel</t>
  </si>
  <si>
    <t>Fiesta</t>
  </si>
  <si>
    <t>Fiesta Ikon</t>
  </si>
  <si>
    <t>Fiesta NA 5 DR</t>
  </si>
  <si>
    <t>Fiesta NA Sedan</t>
  </si>
  <si>
    <t>Fiesta Sedan / Ikon Notch</t>
  </si>
  <si>
    <t>Fiesta St</t>
  </si>
  <si>
    <t>Figo 5 DR</t>
  </si>
  <si>
    <t>Figo Sedan</t>
  </si>
  <si>
    <t>Five Hundred</t>
  </si>
  <si>
    <t>Focus 5 Dr</t>
  </si>
  <si>
    <t>Focus Sedan</t>
  </si>
  <si>
    <t>Focus St</t>
  </si>
  <si>
    <t>Focus ZX3</t>
  </si>
  <si>
    <t>Ford GT</t>
  </si>
  <si>
    <t>Freestar</t>
  </si>
  <si>
    <t>Fusion</t>
  </si>
  <si>
    <t>Fusion Hibrido</t>
  </si>
  <si>
    <t>H - 215</t>
  </si>
  <si>
    <t>Ikon Hatch</t>
  </si>
  <si>
    <t>Ka</t>
  </si>
  <si>
    <t>Lobo Crew Cab</t>
  </si>
  <si>
    <t>Lobo Regular Cab</t>
  </si>
  <si>
    <t>Maverick</t>
  </si>
  <si>
    <t>Mondeo</t>
  </si>
  <si>
    <t>Mustang</t>
  </si>
  <si>
    <t>Mustang Mach-E</t>
  </si>
  <si>
    <t>New F150 / F-150</t>
  </si>
  <si>
    <t>Ranger</t>
  </si>
  <si>
    <t>Ranger Chassis</t>
  </si>
  <si>
    <t>Ranger Crew Cab</t>
  </si>
  <si>
    <t>Ranger Larga</t>
  </si>
  <si>
    <t>Sable</t>
  </si>
  <si>
    <t>Territory</t>
  </si>
  <si>
    <t>Transit</t>
  </si>
  <si>
    <t>Transit Courier</t>
  </si>
  <si>
    <t>Transit Pasajeros</t>
  </si>
  <si>
    <t>Foton</t>
  </si>
  <si>
    <t>HI VAN EV</t>
  </si>
  <si>
    <t>HI-VAN</t>
  </si>
  <si>
    <t>MILER</t>
  </si>
  <si>
    <t>S3</t>
  </si>
  <si>
    <t>S3 EV</t>
  </si>
  <si>
    <t>TM 3</t>
  </si>
  <si>
    <t>TM EV</t>
  </si>
  <si>
    <t>TUNLAND</t>
  </si>
  <si>
    <t>Tunland EV</t>
  </si>
  <si>
    <t>VIEW</t>
  </si>
  <si>
    <t>VIEW EV</t>
  </si>
  <si>
    <t>WONDER</t>
  </si>
  <si>
    <t>Wonder EV</t>
  </si>
  <si>
    <t>Geely</t>
  </si>
  <si>
    <t>Cityray</t>
  </si>
  <si>
    <t>Coolray</t>
  </si>
  <si>
    <t>Emgrand</t>
  </si>
  <si>
    <t>EX2</t>
  </si>
  <si>
    <t>EX5</t>
  </si>
  <si>
    <t>EX5 EM-i</t>
  </si>
  <si>
    <t>Geometry C</t>
  </si>
  <si>
    <t>Gx3 Pro</t>
  </si>
  <si>
    <t>Monjaro</t>
  </si>
  <si>
    <t>Okavango</t>
  </si>
  <si>
    <t>Starray</t>
  </si>
  <si>
    <t>General Motors</t>
  </si>
  <si>
    <t>147</t>
  </si>
  <si>
    <t>156</t>
  </si>
  <si>
    <t>9-3 Sport Sedan 4 Ptas</t>
  </si>
  <si>
    <t>9-5 4 Ptas</t>
  </si>
  <si>
    <t>Acadia</t>
  </si>
  <si>
    <t>Astra 3 Ptas</t>
  </si>
  <si>
    <t>Astra 4 Ptas</t>
  </si>
  <si>
    <t>Astra 5 Ptas</t>
  </si>
  <si>
    <t>Ats 4p</t>
  </si>
  <si>
    <t>Avalanche UUV</t>
  </si>
  <si>
    <t>Aveo</t>
  </si>
  <si>
    <t>Aveo HB</t>
  </si>
  <si>
    <t>Aveo-</t>
  </si>
  <si>
    <t>Aztek SUV</t>
  </si>
  <si>
    <t>Beat</t>
  </si>
  <si>
    <t>Beat 4 PTAS.</t>
  </si>
  <si>
    <t>Blazer</t>
  </si>
  <si>
    <t>Blazer EV</t>
  </si>
  <si>
    <t>Bls 4 Ptas</t>
  </si>
  <si>
    <t>Bolt</t>
  </si>
  <si>
    <t>Bolt EUV</t>
  </si>
  <si>
    <t>Brightdrop</t>
  </si>
  <si>
    <t>Camaro</t>
  </si>
  <si>
    <t>Camaro Convertible</t>
  </si>
  <si>
    <t>Canyon</t>
  </si>
  <si>
    <t>Canyon Crew Cab 4x4</t>
  </si>
  <si>
    <t>Captiva Sport</t>
  </si>
  <si>
    <t>Captiva SUV</t>
  </si>
  <si>
    <t>Cavalier 4 Ptas</t>
  </si>
  <si>
    <t>Chevrolet Express Cargo Van</t>
  </si>
  <si>
    <t>Chevrolet Express Cutaway</t>
  </si>
  <si>
    <t>Chevrolet Express MAX Cargo Van</t>
  </si>
  <si>
    <t>Chevrolet Express Passenger Van</t>
  </si>
  <si>
    <t>Chevy 3 Ptas</t>
  </si>
  <si>
    <t>Chevy 4 PTAS</t>
  </si>
  <si>
    <t>Chevy 5 Ptas</t>
  </si>
  <si>
    <t>Cheyenne Cabina Regular</t>
  </si>
  <si>
    <t>Cheyenne Doble Cabina</t>
  </si>
  <si>
    <t>Colorado Cabina Regular</t>
  </si>
  <si>
    <t>Colorado Doble Cabina</t>
  </si>
  <si>
    <t>Corsa 5 Ptas</t>
  </si>
  <si>
    <t>Corsa Sedan 4 Ptas</t>
  </si>
  <si>
    <t>Corvette</t>
  </si>
  <si>
    <t>Corvette 2 Pts. Convertible</t>
  </si>
  <si>
    <t>Cruze 4 Ptas</t>
  </si>
  <si>
    <t>Cruze 4 PTAS-</t>
  </si>
  <si>
    <t>Cruze 5 Ptas</t>
  </si>
  <si>
    <t>Cts 2 Ptas</t>
  </si>
  <si>
    <t>Cts 4 Ptas</t>
  </si>
  <si>
    <t>De Ville 4 Ptas</t>
  </si>
  <si>
    <t>Enclave</t>
  </si>
  <si>
    <t>Encore</t>
  </si>
  <si>
    <t>Envision SUV</t>
  </si>
  <si>
    <t>Envista SUV</t>
  </si>
  <si>
    <t>Epica</t>
  </si>
  <si>
    <t>Equinox EV</t>
  </si>
  <si>
    <t>Equinox Suv</t>
  </si>
  <si>
    <t>Equinox SUV-</t>
  </si>
  <si>
    <t>Escalade ESV SUV AWD</t>
  </si>
  <si>
    <t>Escalade EXT UUV 4X4</t>
  </si>
  <si>
    <t>Escalade IQ Suv</t>
  </si>
  <si>
    <t>Escalade IQL Suv</t>
  </si>
  <si>
    <t>Escalade Suv</t>
  </si>
  <si>
    <t>G3 4 Ptas</t>
  </si>
  <si>
    <t>G3 4 PTAS-</t>
  </si>
  <si>
    <t>G3 5 PTAS-</t>
  </si>
  <si>
    <t>G5 2 Ptas</t>
  </si>
  <si>
    <t>G5 4 Ptas</t>
  </si>
  <si>
    <t>G6 4 Ptas</t>
  </si>
  <si>
    <t>GMC Sierra Cabina Regular</t>
  </si>
  <si>
    <t>GMC Sierra Doble Cabina</t>
  </si>
  <si>
    <t>Grand Am 4 Ptas</t>
  </si>
  <si>
    <t>Groove SUV</t>
  </si>
  <si>
    <t>H2 Sut</t>
  </si>
  <si>
    <t>H2 Suv</t>
  </si>
  <si>
    <t>H3 Suv</t>
  </si>
  <si>
    <t>H3 T</t>
  </si>
  <si>
    <t>HHR 5 PTAS</t>
  </si>
  <si>
    <t>Hummer EV Pickup</t>
  </si>
  <si>
    <t>Hummer EV SUV</t>
  </si>
  <si>
    <t>Impala</t>
  </si>
  <si>
    <t>Kodiak Chassis Cab Class 6 PBV23,900</t>
  </si>
  <si>
    <t>Kodiak Chassis Cab Class 7 PBV33,000</t>
  </si>
  <si>
    <t>Kodiak Chassis Cab Class 8 PBV36,000</t>
  </si>
  <si>
    <t>Lacrosse</t>
  </si>
  <si>
    <t>Luv Cabina Regular</t>
  </si>
  <si>
    <t>Luv Chasis Cabina</t>
  </si>
  <si>
    <t>Luv Doble Cabina</t>
  </si>
  <si>
    <t>Lyriq SUV</t>
  </si>
  <si>
    <t>Malibu 4 Ptas</t>
  </si>
  <si>
    <t>Matiz 5 Ptas</t>
  </si>
  <si>
    <t>Meriva Monocab</t>
  </si>
  <si>
    <t>Montana Crew Cab</t>
  </si>
  <si>
    <t>Montana Sv6 Van</t>
  </si>
  <si>
    <t>Onix</t>
  </si>
  <si>
    <t>Optiq</t>
  </si>
  <si>
    <t>Optra</t>
  </si>
  <si>
    <t>P-30 Fwd Control Chassis</t>
  </si>
  <si>
    <t>Palio 4 Ptas</t>
  </si>
  <si>
    <t>Palio 5 Ptas</t>
  </si>
  <si>
    <t>Palio Adventurer</t>
  </si>
  <si>
    <t>Pontiac Torrent Suv</t>
  </si>
  <si>
    <t>Regal</t>
  </si>
  <si>
    <t>S10</t>
  </si>
  <si>
    <t>S10 Max Cabina Regular</t>
  </si>
  <si>
    <t>S10 Max Chassis</t>
  </si>
  <si>
    <t>S10 Max Doble Cabina</t>
  </si>
  <si>
    <t>Sierra Cabina Regular</t>
  </si>
  <si>
    <t>Sierra Doble Cabina</t>
  </si>
  <si>
    <t>Silverado 1500 Cabina Regular</t>
  </si>
  <si>
    <t>Silverado 1500 Cabina Regular-</t>
  </si>
  <si>
    <t>Silverado 2500 Cabina Extendida</t>
  </si>
  <si>
    <t>Silverado 2500 Cabina Regular</t>
  </si>
  <si>
    <t>Silverado 2500 Cabina Regular-</t>
  </si>
  <si>
    <t>Silverado 2500 Cheyenne Crew Cab 4x4</t>
  </si>
  <si>
    <t>Silverado 2500 Doble Cabina</t>
  </si>
  <si>
    <t>Silverado 2500 Doble Cabina-</t>
  </si>
  <si>
    <t>Silverado 3500 Chassis Cab</t>
  </si>
  <si>
    <t>Silverado 3500 HD Chassis Cab Heavy Duty</t>
  </si>
  <si>
    <t>Silverado Cabina Regular</t>
  </si>
  <si>
    <t>Silverado Doble Cabina</t>
  </si>
  <si>
    <t>Solstice 2 Ptas</t>
  </si>
  <si>
    <t>Sonic</t>
  </si>
  <si>
    <t>Sonic 5 PTS</t>
  </si>
  <si>
    <t>Sonic 5 PTS-</t>
  </si>
  <si>
    <t>Sonic-</t>
  </si>
  <si>
    <t>Sonora Suv</t>
  </si>
  <si>
    <t>Spark</t>
  </si>
  <si>
    <t>Spark EUV 4 dr.</t>
  </si>
  <si>
    <t>Spark EV 5 Ptas.</t>
  </si>
  <si>
    <t>Spark NG</t>
  </si>
  <si>
    <t>Srx Suv</t>
  </si>
  <si>
    <t>SRX SUV-</t>
  </si>
  <si>
    <t>Sts 4 Ptas</t>
  </si>
  <si>
    <t>Suburban Suv</t>
  </si>
  <si>
    <t>Suburban SUV-</t>
  </si>
  <si>
    <t>Sunfire 4 Ptas</t>
  </si>
  <si>
    <t>Sunfire GT 2 Ptas</t>
  </si>
  <si>
    <t>Tahoe</t>
  </si>
  <si>
    <t>Terrain Suv</t>
  </si>
  <si>
    <t>Terrain SUV-</t>
  </si>
  <si>
    <t>Tornado Pickup</t>
  </si>
  <si>
    <t>Tornado Van</t>
  </si>
  <si>
    <t>Tracker</t>
  </si>
  <si>
    <t>Tracker Suv</t>
  </si>
  <si>
    <t>Trailblazer Suv</t>
  </si>
  <si>
    <t>Traverse Suv</t>
  </si>
  <si>
    <t>Trax</t>
  </si>
  <si>
    <t>Uplander Van</t>
  </si>
  <si>
    <t>Vectra 4 Ptas</t>
  </si>
  <si>
    <t>Venture Van</t>
  </si>
  <si>
    <t>Verano</t>
  </si>
  <si>
    <t>Volt 4 Ptas.</t>
  </si>
  <si>
    <t>Xlr 2 Ptas</t>
  </si>
  <si>
    <t>Xt4 Suv</t>
  </si>
  <si>
    <t>XT5 SUV</t>
  </si>
  <si>
    <t>Yukon Suv</t>
  </si>
  <si>
    <t>Yukon XL</t>
  </si>
  <si>
    <t>Zafira Monocab</t>
  </si>
  <si>
    <t>Great Wall Motor</t>
  </si>
  <si>
    <t>HAVAL H6</t>
  </si>
  <si>
    <t>HAVAL Jolion</t>
  </si>
  <si>
    <t>ORA 03</t>
  </si>
  <si>
    <t>Ora 5</t>
  </si>
  <si>
    <t>POER</t>
  </si>
  <si>
    <t>POER 500</t>
  </si>
  <si>
    <t>TANK 300</t>
  </si>
  <si>
    <t>TANK 500</t>
  </si>
  <si>
    <t>Honda</t>
  </si>
  <si>
    <t>Accord</t>
  </si>
  <si>
    <t>Accord 2pts</t>
  </si>
  <si>
    <t>Accord-</t>
  </si>
  <si>
    <t>BR-V</t>
  </si>
  <si>
    <t>Civic</t>
  </si>
  <si>
    <t>Civic 2pts Ta</t>
  </si>
  <si>
    <t>Civic 2pts Tm</t>
  </si>
  <si>
    <t>Civic Ima</t>
  </si>
  <si>
    <t>Civic Si</t>
  </si>
  <si>
    <t>CR-V</t>
  </si>
  <si>
    <t>CR-V-</t>
  </si>
  <si>
    <t>CR-Z</t>
  </si>
  <si>
    <t>Crosstour</t>
  </si>
  <si>
    <t>Fit</t>
  </si>
  <si>
    <t>Fit-</t>
  </si>
  <si>
    <t>Honda City</t>
  </si>
  <si>
    <t>Honda Pilot</t>
  </si>
  <si>
    <t>HR-V-</t>
  </si>
  <si>
    <t>Insight Hybrid</t>
  </si>
  <si>
    <t>Odyssey</t>
  </si>
  <si>
    <t>Prelude</t>
  </si>
  <si>
    <t>Ridgeline</t>
  </si>
  <si>
    <t>Hyundai</t>
  </si>
  <si>
    <t>Accent Hatchback</t>
  </si>
  <si>
    <t>Accent Sedan</t>
  </si>
  <si>
    <t>Creta</t>
  </si>
  <si>
    <t>Elantra</t>
  </si>
  <si>
    <t>Genesis</t>
  </si>
  <si>
    <t>Grand I10</t>
  </si>
  <si>
    <t>Grand I10 Sedán</t>
  </si>
  <si>
    <t>HB20 HATCHBACK</t>
  </si>
  <si>
    <t>HB20 SEDAN</t>
  </si>
  <si>
    <t>Ioniq</t>
  </si>
  <si>
    <t>Ioniq 5</t>
  </si>
  <si>
    <t>IX35</t>
  </si>
  <si>
    <t>Palisade</t>
  </si>
  <si>
    <t>Santa Fe</t>
  </si>
  <si>
    <t>Santa FE 7 P</t>
  </si>
  <si>
    <t>Sonata</t>
  </si>
  <si>
    <t>Starex</t>
  </si>
  <si>
    <t>Tucson</t>
  </si>
  <si>
    <t>Veloster</t>
  </si>
  <si>
    <t>Infiniti</t>
  </si>
  <si>
    <t>FX</t>
  </si>
  <si>
    <t>G37 Coupe</t>
  </si>
  <si>
    <t>G37 Sedan</t>
  </si>
  <si>
    <t>Infiniti Jx</t>
  </si>
  <si>
    <t>M</t>
  </si>
  <si>
    <t>Q50</t>
  </si>
  <si>
    <t>Q60</t>
  </si>
  <si>
    <t>Q70</t>
  </si>
  <si>
    <t>QX</t>
  </si>
  <si>
    <t>QX30</t>
  </si>
  <si>
    <t>QX50</t>
  </si>
  <si>
    <t>QX55</t>
  </si>
  <si>
    <t>QX60</t>
  </si>
  <si>
    <t>QX70</t>
  </si>
  <si>
    <t>QX80</t>
  </si>
  <si>
    <t>Isuzu</t>
  </si>
  <si>
    <t>ELF 200</t>
  </si>
  <si>
    <t>ELF 300</t>
  </si>
  <si>
    <t>ELF 350</t>
  </si>
  <si>
    <t>ELF100</t>
  </si>
  <si>
    <t>JAC</t>
  </si>
  <si>
    <t>E 10X</t>
  </si>
  <si>
    <t>E 30x</t>
  </si>
  <si>
    <t>E Frison T8</t>
  </si>
  <si>
    <t>E J4</t>
  </si>
  <si>
    <t>E J7</t>
  </si>
  <si>
    <t>E Sei 1</t>
  </si>
  <si>
    <t>E Sei 2</t>
  </si>
  <si>
    <t>E Sei 4</t>
  </si>
  <si>
    <t>E SUNRAY</t>
  </si>
  <si>
    <t>E Sunray City</t>
  </si>
  <si>
    <t>E X350</t>
  </si>
  <si>
    <t>ESei4 Pro</t>
  </si>
  <si>
    <t>EX450</t>
  </si>
  <si>
    <t>Frison</t>
  </si>
  <si>
    <t>GML X150 EV</t>
  </si>
  <si>
    <t>J4</t>
  </si>
  <si>
    <t>J7</t>
  </si>
  <si>
    <t>JAC2</t>
  </si>
  <si>
    <t>JAC4</t>
  </si>
  <si>
    <t>JAC6</t>
  </si>
  <si>
    <t>JAC8</t>
  </si>
  <si>
    <t>Sei2</t>
  </si>
  <si>
    <t>Sei3</t>
  </si>
  <si>
    <t>Sei4</t>
  </si>
  <si>
    <t>Sei4 Pro</t>
  </si>
  <si>
    <t>Sei6 Pro</t>
  </si>
  <si>
    <t>Sei7</t>
  </si>
  <si>
    <t>SEI7 PRO</t>
  </si>
  <si>
    <t>SUNRAY</t>
  </si>
  <si>
    <t>Sunray City</t>
  </si>
  <si>
    <t>Traveler</t>
  </si>
  <si>
    <t>X 200</t>
  </si>
  <si>
    <t>X250</t>
  </si>
  <si>
    <t>X350</t>
  </si>
  <si>
    <t>Jaguar</t>
  </si>
  <si>
    <t>E-Pace</t>
  </si>
  <si>
    <t>F Type</t>
  </si>
  <si>
    <t>F-Pace</t>
  </si>
  <si>
    <t>F-Type</t>
  </si>
  <si>
    <t>I-Pace</t>
  </si>
  <si>
    <t>S Type 3.0l</t>
  </si>
  <si>
    <t>S Type 4.2l</t>
  </si>
  <si>
    <t>X Type 2.5l</t>
  </si>
  <si>
    <t>X Type 3.0l</t>
  </si>
  <si>
    <t>XE</t>
  </si>
  <si>
    <t>XF</t>
  </si>
  <si>
    <t>XF 4.2L</t>
  </si>
  <si>
    <t>XF 5.0L</t>
  </si>
  <si>
    <t>XJ</t>
  </si>
  <si>
    <t>Xj Sedan Series</t>
  </si>
  <si>
    <t>XK</t>
  </si>
  <si>
    <t>Xk Series</t>
  </si>
  <si>
    <t>JETOUR</t>
  </si>
  <si>
    <t>Dashing</t>
  </si>
  <si>
    <t>T2</t>
  </si>
  <si>
    <t>X70</t>
  </si>
  <si>
    <t>X70 Plus</t>
  </si>
  <si>
    <t>Jetour Soueast</t>
  </si>
  <si>
    <t>G700 PHEV</t>
  </si>
  <si>
    <t>S06 i-DM</t>
  </si>
  <si>
    <t>S07</t>
  </si>
  <si>
    <t>S08 i-DM</t>
  </si>
  <si>
    <t>S09</t>
  </si>
  <si>
    <t>T1</t>
  </si>
  <si>
    <t>T1 i-DM</t>
  </si>
  <si>
    <t>T2 i-DM</t>
  </si>
  <si>
    <t>KIA</t>
  </si>
  <si>
    <t>EV6</t>
  </si>
  <si>
    <t>Forte</t>
  </si>
  <si>
    <t>Forte Hatchback</t>
  </si>
  <si>
    <t>Forte-</t>
  </si>
  <si>
    <t>K4 Hatchback</t>
  </si>
  <si>
    <t>K4 Sedán</t>
  </si>
  <si>
    <t>KIA K3 Hatchback</t>
  </si>
  <si>
    <t>KIA K3 Sedán</t>
  </si>
  <si>
    <t>KIA Niro</t>
  </si>
  <si>
    <t>KIA Río Hatchback</t>
  </si>
  <si>
    <t>Kia Río Hatchback-</t>
  </si>
  <si>
    <t>KIA Río Sedan</t>
  </si>
  <si>
    <t>KIA Río Sedan-</t>
  </si>
  <si>
    <t>KIA Óptima</t>
  </si>
  <si>
    <t>Sedona</t>
  </si>
  <si>
    <t>Seltos</t>
  </si>
  <si>
    <t>Seltos-</t>
  </si>
  <si>
    <t>Sonet</t>
  </si>
  <si>
    <t>Sorento</t>
  </si>
  <si>
    <t>Soul</t>
  </si>
  <si>
    <t>SPORTAGE</t>
  </si>
  <si>
    <t>Sportage HEV</t>
  </si>
  <si>
    <t>Stinger</t>
  </si>
  <si>
    <t>Telluride</t>
  </si>
  <si>
    <t>Land Rover</t>
  </si>
  <si>
    <t>Defender</t>
  </si>
  <si>
    <t>Discovery</t>
  </si>
  <si>
    <t>Discovery Sport</t>
  </si>
  <si>
    <t>Evoque</t>
  </si>
  <si>
    <t>Freelander 2.5</t>
  </si>
  <si>
    <t>Lr2</t>
  </si>
  <si>
    <t>Lr3/Lr4</t>
  </si>
  <si>
    <t>Range Rover</t>
  </si>
  <si>
    <t>Range Rover Evoque</t>
  </si>
  <si>
    <t>Range Rover Sport</t>
  </si>
  <si>
    <t>Range Rover Velar</t>
  </si>
  <si>
    <t>Leapmotor</t>
  </si>
  <si>
    <t>B10</t>
  </si>
  <si>
    <t>Lexus</t>
  </si>
  <si>
    <t>ES</t>
  </si>
  <si>
    <t>GX</t>
  </si>
  <si>
    <t>IS</t>
  </si>
  <si>
    <t>LC</t>
  </si>
  <si>
    <t>LS</t>
  </si>
  <si>
    <t>LX</t>
  </si>
  <si>
    <t>NX</t>
  </si>
  <si>
    <t>RX</t>
  </si>
  <si>
    <t>TX</t>
  </si>
  <si>
    <t>UX</t>
  </si>
  <si>
    <t>Lincoln</t>
  </si>
  <si>
    <t>Aviator</t>
  </si>
  <si>
    <t>Aviator Grand Touring</t>
  </si>
  <si>
    <t>Corsair</t>
  </si>
  <si>
    <t>Lincoln Continental</t>
  </si>
  <si>
    <t>Lincoln Ls</t>
  </si>
  <si>
    <t>Mariner</t>
  </si>
  <si>
    <t>Mark Lt</t>
  </si>
  <si>
    <t>Milan</t>
  </si>
  <si>
    <t>MKC</t>
  </si>
  <si>
    <t>Mks</t>
  </si>
  <si>
    <t>MKZ</t>
  </si>
  <si>
    <t>MKZ Hibrido</t>
  </si>
  <si>
    <t>MKZ-</t>
  </si>
  <si>
    <t>Montego</t>
  </si>
  <si>
    <t>NAUTILUS</t>
  </si>
  <si>
    <t>Navigator</t>
  </si>
  <si>
    <t>Town Car</t>
  </si>
  <si>
    <t>Lynk&amp;Co</t>
  </si>
  <si>
    <t>01</t>
  </si>
  <si>
    <t>02</t>
  </si>
  <si>
    <t>08</t>
  </si>
  <si>
    <t>09</t>
  </si>
  <si>
    <t>Mazda</t>
  </si>
  <si>
    <t>BT-50</t>
  </si>
  <si>
    <t>CX-3</t>
  </si>
  <si>
    <t>CX-30</t>
  </si>
  <si>
    <t>CX-5</t>
  </si>
  <si>
    <t>CX-50</t>
  </si>
  <si>
    <t>Cx-7</t>
  </si>
  <si>
    <t>CX-70</t>
  </si>
  <si>
    <t>CX-9</t>
  </si>
  <si>
    <t>CX-90</t>
  </si>
  <si>
    <t>Mazda 2</t>
  </si>
  <si>
    <t>Mazda 2 Hatchback</t>
  </si>
  <si>
    <t>Mazda 2 Sedán</t>
  </si>
  <si>
    <t>Mazda 2-</t>
  </si>
  <si>
    <t>Mazda 3 Hatchback</t>
  </si>
  <si>
    <t>Mazda 3 Sedán</t>
  </si>
  <si>
    <t>Mazda 3 Sedán-</t>
  </si>
  <si>
    <t>Mazda 5</t>
  </si>
  <si>
    <t>Mazda 6</t>
  </si>
  <si>
    <t>Mx-5</t>
  </si>
  <si>
    <t>Mercedes Benz</t>
  </si>
  <si>
    <t>A 160</t>
  </si>
  <si>
    <t>A 190</t>
  </si>
  <si>
    <t>AMG GT</t>
  </si>
  <si>
    <t>B 200</t>
  </si>
  <si>
    <t>C 200 K</t>
  </si>
  <si>
    <t>C 230 K</t>
  </si>
  <si>
    <t>C 280</t>
  </si>
  <si>
    <t>C 320</t>
  </si>
  <si>
    <t>C 350</t>
  </si>
  <si>
    <t>C 55 Amg</t>
  </si>
  <si>
    <t>C 63 Amg</t>
  </si>
  <si>
    <t>Cab Chassis</t>
  </si>
  <si>
    <t>Cargo Van</t>
  </si>
  <si>
    <t>Cl 230 K</t>
  </si>
  <si>
    <t>Cl 500</t>
  </si>
  <si>
    <t>CLA</t>
  </si>
  <si>
    <t>Clase A hatchback</t>
  </si>
  <si>
    <t>Clase A Sedan</t>
  </si>
  <si>
    <t>Clase B</t>
  </si>
  <si>
    <t>Clase C 250 Coupe</t>
  </si>
  <si>
    <t>Clase C 350 Coupe</t>
  </si>
  <si>
    <t>Clase C coupe</t>
  </si>
  <si>
    <t>Clase C Sedan</t>
  </si>
  <si>
    <t>Clase E coupe</t>
  </si>
  <si>
    <t>Clase E sedan</t>
  </si>
  <si>
    <t>Clase G</t>
  </si>
  <si>
    <t>Clase GLE</t>
  </si>
  <si>
    <t>Clase GLS</t>
  </si>
  <si>
    <t>Clase S coupe</t>
  </si>
  <si>
    <t>Clase S sedan</t>
  </si>
  <si>
    <t>Clase SL</t>
  </si>
  <si>
    <t>Clase V</t>
  </si>
  <si>
    <t>CLE</t>
  </si>
  <si>
    <t>Clk 280</t>
  </si>
  <si>
    <t>Clk 280 C</t>
  </si>
  <si>
    <t>Clk 320</t>
  </si>
  <si>
    <t>Clk 320 C</t>
  </si>
  <si>
    <t>Clk 350</t>
  </si>
  <si>
    <t>Clk 350 C</t>
  </si>
  <si>
    <t>Clk 500</t>
  </si>
  <si>
    <t>Clk 500 C</t>
  </si>
  <si>
    <t>CLS</t>
  </si>
  <si>
    <t>Cls 350</t>
  </si>
  <si>
    <t>Cls 500</t>
  </si>
  <si>
    <t>E 250 Coupe</t>
  </si>
  <si>
    <t>E 280</t>
  </si>
  <si>
    <t>E 350</t>
  </si>
  <si>
    <t>E 350 Convertible</t>
  </si>
  <si>
    <t>E 350 Coupe</t>
  </si>
  <si>
    <t>E 500</t>
  </si>
  <si>
    <t>E 500 Convertible</t>
  </si>
  <si>
    <t>E 500 Coupe</t>
  </si>
  <si>
    <t>E 55 Amg</t>
  </si>
  <si>
    <t>E 63 Amg</t>
  </si>
  <si>
    <t>E250</t>
  </si>
  <si>
    <t>EQA</t>
  </si>
  <si>
    <t>EQB</t>
  </si>
  <si>
    <t>EQC</t>
  </si>
  <si>
    <t>EQE</t>
  </si>
  <si>
    <t>EQE SUV</t>
  </si>
  <si>
    <t>EQS</t>
  </si>
  <si>
    <t>EQS SUV</t>
  </si>
  <si>
    <t>G 500</t>
  </si>
  <si>
    <t>Gl 450</t>
  </si>
  <si>
    <t>Gl 500</t>
  </si>
  <si>
    <t>GLA</t>
  </si>
  <si>
    <t>GLB</t>
  </si>
  <si>
    <t>GLC</t>
  </si>
  <si>
    <t>GLK 280</t>
  </si>
  <si>
    <t>GLK 350</t>
  </si>
  <si>
    <t>Ml 350</t>
  </si>
  <si>
    <t>Ml 500</t>
  </si>
  <si>
    <t>Ml 63 Amg</t>
  </si>
  <si>
    <t>R 350</t>
  </si>
  <si>
    <t>R 500</t>
  </si>
  <si>
    <t>S 430</t>
  </si>
  <si>
    <t>S 500</t>
  </si>
  <si>
    <t>Sl 500</t>
  </si>
  <si>
    <t>Sl 55 Amg</t>
  </si>
  <si>
    <t>SLC</t>
  </si>
  <si>
    <t>Slk 200 K</t>
  </si>
  <si>
    <t>Slk 350</t>
  </si>
  <si>
    <t>Sls Amg</t>
  </si>
  <si>
    <t>Sprinter</t>
  </si>
  <si>
    <t>Vito</t>
  </si>
  <si>
    <t>Vito Carga</t>
  </si>
  <si>
    <t>Vito Pasaje</t>
  </si>
  <si>
    <t>Wagon</t>
  </si>
  <si>
    <t>MG Motor</t>
  </si>
  <si>
    <t>CYBERSTER</t>
  </si>
  <si>
    <t>eHS</t>
  </si>
  <si>
    <t>GT</t>
  </si>
  <si>
    <t>HS</t>
  </si>
  <si>
    <t>HS PHEV</t>
  </si>
  <si>
    <t>HSHEV</t>
  </si>
  <si>
    <t>IMLS7</t>
  </si>
  <si>
    <t>MG One</t>
  </si>
  <si>
    <t>MG3</t>
  </si>
  <si>
    <t>MG3HEV</t>
  </si>
  <si>
    <t>MG4</t>
  </si>
  <si>
    <t>MG5</t>
  </si>
  <si>
    <t>MG7</t>
  </si>
  <si>
    <t>P9</t>
  </si>
  <si>
    <t>RX5</t>
  </si>
  <si>
    <t>RX8</t>
  </si>
  <si>
    <t>RX9</t>
  </si>
  <si>
    <t>ZS</t>
  </si>
  <si>
    <t>ZSEV</t>
  </si>
  <si>
    <t>ZSHEV</t>
  </si>
  <si>
    <t>MG ROVER</t>
  </si>
  <si>
    <t>Mg Tf</t>
  </si>
  <si>
    <t>Mg Zr</t>
  </si>
  <si>
    <t>Mg Zt</t>
  </si>
  <si>
    <t>R75</t>
  </si>
  <si>
    <t>Mini</t>
  </si>
  <si>
    <t>Cooper</t>
  </si>
  <si>
    <t>Cooper Conv</t>
  </si>
  <si>
    <t>Cooper S</t>
  </si>
  <si>
    <t>Cooper S Clubman</t>
  </si>
  <si>
    <t>Cooper S Conv</t>
  </si>
  <si>
    <t>Cooper S Jcw</t>
  </si>
  <si>
    <t>Countryman S</t>
  </si>
  <si>
    <t>MINI 3 PTAS</t>
  </si>
  <si>
    <t>MINI 5 PTAS</t>
  </si>
  <si>
    <t>MINI Aceman</t>
  </si>
  <si>
    <t>MINI CLUBMAN</t>
  </si>
  <si>
    <t>MINI CONVERTIBLE</t>
  </si>
  <si>
    <t>MINI COUNTRYMAN</t>
  </si>
  <si>
    <t>MINI Countryman E</t>
  </si>
  <si>
    <t>MINI COUPE</t>
  </si>
  <si>
    <t>MINI E</t>
  </si>
  <si>
    <t>MINI PACEMAN</t>
  </si>
  <si>
    <t>MINI ROADSTER</t>
  </si>
  <si>
    <t>Mitsubishi</t>
  </si>
  <si>
    <t>ASX</t>
  </si>
  <si>
    <t>Eclipse</t>
  </si>
  <si>
    <t>Eclipse Conv</t>
  </si>
  <si>
    <t>Eclipse Cross</t>
  </si>
  <si>
    <t>Endeavor</t>
  </si>
  <si>
    <t>Galant</t>
  </si>
  <si>
    <t>Grandis</t>
  </si>
  <si>
    <t>L200</t>
  </si>
  <si>
    <t>Lancer</t>
  </si>
  <si>
    <t>Lancer Evolution</t>
  </si>
  <si>
    <t>Mirage</t>
  </si>
  <si>
    <t>Mirage G4</t>
  </si>
  <si>
    <t>Montero</t>
  </si>
  <si>
    <t>Montero Limited</t>
  </si>
  <si>
    <t>Montero Sport</t>
  </si>
  <si>
    <t>Outlander</t>
  </si>
  <si>
    <t>Outlander PHEV</t>
  </si>
  <si>
    <t>Outlander Sport</t>
  </si>
  <si>
    <t>Space Star</t>
  </si>
  <si>
    <t>Xpander</t>
  </si>
  <si>
    <t>MOTORNATION</t>
  </si>
  <si>
    <t>BAIC BJ20</t>
  </si>
  <si>
    <t>BAIC BJ40</t>
  </si>
  <si>
    <t>BAIC D20</t>
  </si>
  <si>
    <t>BAIC EU5</t>
  </si>
  <si>
    <t>BAIC M50S</t>
  </si>
  <si>
    <t>BAIC U5</t>
  </si>
  <si>
    <t>BAIC X25</t>
  </si>
  <si>
    <t>BAIC X30</t>
  </si>
  <si>
    <t>BAIC X35</t>
  </si>
  <si>
    <t>BAIC X55</t>
  </si>
  <si>
    <t>BAIC X65</t>
  </si>
  <si>
    <t>CHANGAN ALSVIN</t>
  </si>
  <si>
    <t>CHANGAN CS35PLUS</t>
  </si>
  <si>
    <t>CHANGAN CS55PLUS</t>
  </si>
  <si>
    <t>CHANGAN CS75PLUS</t>
  </si>
  <si>
    <t>CHANGAN HUNTER</t>
  </si>
  <si>
    <t>CHANGAN UNI-K</t>
  </si>
  <si>
    <t>CHANGAN UNI-T</t>
  </si>
  <si>
    <t>DFSK 500</t>
  </si>
  <si>
    <t>DFSK 600</t>
  </si>
  <si>
    <t>DFSK E5</t>
  </si>
  <si>
    <t>DFSK EC35</t>
  </si>
  <si>
    <t>GLORY 500</t>
  </si>
  <si>
    <t>JMC EV-BLACK</t>
  </si>
  <si>
    <t>JMC GRAND AVENUE</t>
  </si>
  <si>
    <t>JMC VIGUS</t>
  </si>
  <si>
    <t>SERES 5 EV</t>
  </si>
  <si>
    <t>SERES 5 MAX</t>
  </si>
  <si>
    <t>STAR TRUCK</t>
  </si>
  <si>
    <t>T77</t>
  </si>
  <si>
    <t>350 Z</t>
  </si>
  <si>
    <t>370 Z</t>
  </si>
  <si>
    <t>Almera 4 Pts</t>
  </si>
  <si>
    <t>Almera Dep</t>
  </si>
  <si>
    <t>Altima</t>
  </si>
  <si>
    <t>Altima Coupe</t>
  </si>
  <si>
    <t>Aprio</t>
  </si>
  <si>
    <t>Armada</t>
  </si>
  <si>
    <t>Cabstar Mediano</t>
  </si>
  <si>
    <t>Cabstar Small</t>
  </si>
  <si>
    <t>Chasis Largo</t>
  </si>
  <si>
    <t>Chasis Largo Diesel</t>
  </si>
  <si>
    <t>Estacas Largo</t>
  </si>
  <si>
    <t>Frontier Diesel</t>
  </si>
  <si>
    <t>Frontier L4</t>
  </si>
  <si>
    <t>Frontier V4</t>
  </si>
  <si>
    <t>Frontier V6</t>
  </si>
  <si>
    <t>GT-R</t>
  </si>
  <si>
    <t>Infinity I35</t>
  </si>
  <si>
    <t>Infinity Q45-M45</t>
  </si>
  <si>
    <t>Juke</t>
  </si>
  <si>
    <t>KAIT</t>
  </si>
  <si>
    <t>Kicks</t>
  </si>
  <si>
    <t>Leaf</t>
  </si>
  <si>
    <t>Magnite</t>
  </si>
  <si>
    <t>March</t>
  </si>
  <si>
    <t>Maxima</t>
  </si>
  <si>
    <t>Micra</t>
  </si>
  <si>
    <t>Murano</t>
  </si>
  <si>
    <t>Note</t>
  </si>
  <si>
    <t>NP300</t>
  </si>
  <si>
    <t>NV 200 Cargo</t>
  </si>
  <si>
    <t>NV 200 NY TAXI</t>
  </si>
  <si>
    <t>NV2500 V6 Toldo Alto</t>
  </si>
  <si>
    <t>NV2500 V6 Toldo Bajo</t>
  </si>
  <si>
    <t>NV2500 V8 Toldo Alto</t>
  </si>
  <si>
    <t>NV2500 V8 Toldo Bajo</t>
  </si>
  <si>
    <t>Pathfinder</t>
  </si>
  <si>
    <t>Pickup Doble Cabina</t>
  </si>
  <si>
    <t>Pickup Doble Cabina Diesel</t>
  </si>
  <si>
    <t>Pickup King Cab STD</t>
  </si>
  <si>
    <t>Pickup Largo</t>
  </si>
  <si>
    <t>Pickup Largo Diesel</t>
  </si>
  <si>
    <t>Platina 4 PTS</t>
  </si>
  <si>
    <t>Quest</t>
  </si>
  <si>
    <t>Rogue</t>
  </si>
  <si>
    <t>Sentra</t>
  </si>
  <si>
    <t>Sentra 4 PTS</t>
  </si>
  <si>
    <t>Sentra SE R</t>
  </si>
  <si>
    <t>Tiida 5 PTS</t>
  </si>
  <si>
    <t>Tiida Sedan</t>
  </si>
  <si>
    <t>Titan</t>
  </si>
  <si>
    <t>Tsuru 4 PTS</t>
  </si>
  <si>
    <t>Urvan Panel</t>
  </si>
  <si>
    <t>Urvan Panel Diesel</t>
  </si>
  <si>
    <t>Urvan Pasajeros</t>
  </si>
  <si>
    <t>Urvan Pasajeros Diesel</t>
  </si>
  <si>
    <t>Xterra</t>
  </si>
  <si>
    <t>Xtrail</t>
  </si>
  <si>
    <t>Z</t>
  </si>
  <si>
    <t>Omoda</t>
  </si>
  <si>
    <t>C5</t>
  </si>
  <si>
    <t>Jaecoo 7</t>
  </si>
  <si>
    <t>O5</t>
  </si>
  <si>
    <t>Peugeot</t>
  </si>
  <si>
    <t>2008</t>
  </si>
  <si>
    <t>206 3p</t>
  </si>
  <si>
    <t>206 5p</t>
  </si>
  <si>
    <t>206 Cc</t>
  </si>
  <si>
    <t>206 Sw</t>
  </si>
  <si>
    <t>207 3p</t>
  </si>
  <si>
    <t>207 CC</t>
  </si>
  <si>
    <t>207 Compact</t>
  </si>
  <si>
    <t>207 Compact 3p</t>
  </si>
  <si>
    <t>207 Compact 5p</t>
  </si>
  <si>
    <t>207 Rc</t>
  </si>
  <si>
    <t>207 Sedan</t>
  </si>
  <si>
    <t>208</t>
  </si>
  <si>
    <t>3008</t>
  </si>
  <si>
    <t>301</t>
  </si>
  <si>
    <t>307 3p</t>
  </si>
  <si>
    <t>307 4p</t>
  </si>
  <si>
    <t>307 5p</t>
  </si>
  <si>
    <t>307 Break</t>
  </si>
  <si>
    <t>307 Cc</t>
  </si>
  <si>
    <t>307 Sw</t>
  </si>
  <si>
    <t>308</t>
  </si>
  <si>
    <t>308 Cc</t>
  </si>
  <si>
    <t>406 Coupe</t>
  </si>
  <si>
    <t>406 St Aut</t>
  </si>
  <si>
    <t>406 Sv V6</t>
  </si>
  <si>
    <t>407</t>
  </si>
  <si>
    <t>5008</t>
  </si>
  <si>
    <t>508</t>
  </si>
  <si>
    <t>607 Pack</t>
  </si>
  <si>
    <t>E-Partner</t>
  </si>
  <si>
    <t>Expert Cargo Van</t>
  </si>
  <si>
    <t>Expert Hdi</t>
  </si>
  <si>
    <t>Grand Raid</t>
  </si>
  <si>
    <t>Grand Raid Hdi</t>
  </si>
  <si>
    <t>LANDTREK</t>
  </si>
  <si>
    <t>Manager Hdi</t>
  </si>
  <si>
    <t>Nuevo 207</t>
  </si>
  <si>
    <t>Partner</t>
  </si>
  <si>
    <t>Partner Rapid</t>
  </si>
  <si>
    <t>Partner Tepee Outdoor</t>
  </si>
  <si>
    <t>Rcz</t>
  </si>
  <si>
    <t>RIFTER</t>
  </si>
  <si>
    <t>Porsche</t>
  </si>
  <si>
    <t>718 Boxster</t>
  </si>
  <si>
    <t>911 Carrera</t>
  </si>
  <si>
    <t>911 Carrera / Turbo / GT</t>
  </si>
  <si>
    <t>911 Turbo</t>
  </si>
  <si>
    <t>Boxster</t>
  </si>
  <si>
    <t>Cayenne</t>
  </si>
  <si>
    <t>Cayman</t>
  </si>
  <si>
    <t>Gt3 / Gt2 / Carrera Gt</t>
  </si>
  <si>
    <t>Macan</t>
  </si>
  <si>
    <t>Panamera</t>
  </si>
  <si>
    <t>Taycan</t>
  </si>
  <si>
    <t>Renault</t>
  </si>
  <si>
    <t>Arkana</t>
  </si>
  <si>
    <t>Boreal</t>
  </si>
  <si>
    <t>Captur</t>
  </si>
  <si>
    <t>Clio</t>
  </si>
  <si>
    <t>Clio Renault Sport</t>
  </si>
  <si>
    <t>Clio RS</t>
  </si>
  <si>
    <t>Duster</t>
  </si>
  <si>
    <t>Euro Clio</t>
  </si>
  <si>
    <t>Fluence</t>
  </si>
  <si>
    <t>Kangoo</t>
  </si>
  <si>
    <t>Kangoo 7 Plazas</t>
  </si>
  <si>
    <t>Kangoo Diesel</t>
  </si>
  <si>
    <t>Kangoo Vp</t>
  </si>
  <si>
    <t>Kangoo ZE</t>
  </si>
  <si>
    <t>Kardian</t>
  </si>
  <si>
    <t>Koleos</t>
  </si>
  <si>
    <t>Kwid</t>
  </si>
  <si>
    <t>Kwid e-Tech</t>
  </si>
  <si>
    <t>Laguna</t>
  </si>
  <si>
    <t>Logan</t>
  </si>
  <si>
    <t>Master</t>
  </si>
  <si>
    <t>Master E- Tech eléctrico</t>
  </si>
  <si>
    <t>MEGANE E-TECH</t>
  </si>
  <si>
    <t>Megane II 3 Ptas</t>
  </si>
  <si>
    <t>Megane II 3 Ptas Sport</t>
  </si>
  <si>
    <t>Megane II 5 Ptas</t>
  </si>
  <si>
    <t>Megane Ii Cc</t>
  </si>
  <si>
    <t>Megane II Gt 3 Ptas</t>
  </si>
  <si>
    <t>Megane II Gt 5 Ptas</t>
  </si>
  <si>
    <t>Megane II Sedan</t>
  </si>
  <si>
    <t>Nueva Koleos</t>
  </si>
  <si>
    <t>Oroch</t>
  </si>
  <si>
    <t>Safrane</t>
  </si>
  <si>
    <t>Sandero</t>
  </si>
  <si>
    <t>Sandero R.S. 2.0</t>
  </si>
  <si>
    <t>Scala</t>
  </si>
  <si>
    <t>Scenic</t>
  </si>
  <si>
    <t>Scenic II</t>
  </si>
  <si>
    <t>Stepway</t>
  </si>
  <si>
    <t>Traffic Carga</t>
  </si>
  <si>
    <t>Traffic Pasajeros</t>
  </si>
  <si>
    <t>Traffic Vu L2h2</t>
  </si>
  <si>
    <t>Twizy</t>
  </si>
  <si>
    <t>ZOE</t>
  </si>
  <si>
    <t>SEAT</t>
  </si>
  <si>
    <t>Alhambra</t>
  </si>
  <si>
    <t>Altea</t>
  </si>
  <si>
    <t>Arona</t>
  </si>
  <si>
    <t>Ateca</t>
  </si>
  <si>
    <t>Cordoba</t>
  </si>
  <si>
    <t>CUPRA Formentor</t>
  </si>
  <si>
    <t>CUPRA Terramar</t>
  </si>
  <si>
    <t>Exeo</t>
  </si>
  <si>
    <t>Freetrack</t>
  </si>
  <si>
    <t>Ibiza</t>
  </si>
  <si>
    <t>Ibiza 2 Ptas</t>
  </si>
  <si>
    <t>Ibiza 4 Ptas</t>
  </si>
  <si>
    <t>Leon</t>
  </si>
  <si>
    <t>Leon Cupra</t>
  </si>
  <si>
    <t>Leon Sc 2p</t>
  </si>
  <si>
    <t>Leon ST</t>
  </si>
  <si>
    <t>Nuevo Toledo</t>
  </si>
  <si>
    <t>Tarraco</t>
  </si>
  <si>
    <t>Toledo</t>
  </si>
  <si>
    <t>Smart</t>
  </si>
  <si>
    <t>Forfour</t>
  </si>
  <si>
    <t>FORTWO</t>
  </si>
  <si>
    <t>Otros Smart</t>
  </si>
  <si>
    <t>Roadster</t>
  </si>
  <si>
    <t>Subaru</t>
  </si>
  <si>
    <t>B9 Tribeca</t>
  </si>
  <si>
    <t>Crosstrek</t>
  </si>
  <si>
    <t>Crosstrek MHEV</t>
  </si>
  <si>
    <t>Forester</t>
  </si>
  <si>
    <t>Forester e-BOXER HEV</t>
  </si>
  <si>
    <t>Impreza</t>
  </si>
  <si>
    <t>Impreza HB</t>
  </si>
  <si>
    <t>Legacy</t>
  </si>
  <si>
    <t>Legacy 2.0</t>
  </si>
  <si>
    <t>Legacy 2.5i</t>
  </si>
  <si>
    <t>Legacy 3.0</t>
  </si>
  <si>
    <t>Legacy 3.6</t>
  </si>
  <si>
    <t>Outback</t>
  </si>
  <si>
    <t>Subaru BRZ</t>
  </si>
  <si>
    <t>Trailseeker</t>
  </si>
  <si>
    <t>WRX</t>
  </si>
  <si>
    <t>WRX STI</t>
  </si>
  <si>
    <t>XV</t>
  </si>
  <si>
    <t>Suzuki</t>
  </si>
  <si>
    <t>Aerio Ta</t>
  </si>
  <si>
    <t>Aerio Tm</t>
  </si>
  <si>
    <t>Baleno</t>
  </si>
  <si>
    <t>Ciaz</t>
  </si>
  <si>
    <t>DZIRE</t>
  </si>
  <si>
    <t>Ertiga</t>
  </si>
  <si>
    <t>FRONX</t>
  </si>
  <si>
    <t>Grand Vitara</t>
  </si>
  <si>
    <t>Grand Vitara 4x4</t>
  </si>
  <si>
    <t>Ignis</t>
  </si>
  <si>
    <t>JIMNY</t>
  </si>
  <si>
    <t>Kizashi</t>
  </si>
  <si>
    <t>S Cross</t>
  </si>
  <si>
    <t>Swift</t>
  </si>
  <si>
    <t>SWIFT BG</t>
  </si>
  <si>
    <t>Sx4 Sedan Ta</t>
  </si>
  <si>
    <t>Sx4 Sedan Tm</t>
  </si>
  <si>
    <t>Sx4 X-Over Ta</t>
  </si>
  <si>
    <t>Sx4 X-Over Tm</t>
  </si>
  <si>
    <t>Vitara</t>
  </si>
  <si>
    <t>XL7</t>
  </si>
  <si>
    <t>Toyota</t>
  </si>
  <si>
    <t>4Runner</t>
  </si>
  <si>
    <t>Avanza</t>
  </si>
  <si>
    <t>C-HR</t>
  </si>
  <si>
    <t>Camry</t>
  </si>
  <si>
    <t>Corolla</t>
  </si>
  <si>
    <t>Corolla Cross</t>
  </si>
  <si>
    <t>Fjcruiser</t>
  </si>
  <si>
    <t>GR Corolla</t>
  </si>
  <si>
    <t>GR Supra</t>
  </si>
  <si>
    <t>GR Yaris</t>
  </si>
  <si>
    <t>Hiace P</t>
  </si>
  <si>
    <t>Hiace V</t>
  </si>
  <si>
    <t>Highlander</t>
  </si>
  <si>
    <t>Hilux Cc</t>
  </si>
  <si>
    <t>Hilux Dc</t>
  </si>
  <si>
    <t>Hilux Sc</t>
  </si>
  <si>
    <t>Lcruiser</t>
  </si>
  <si>
    <t>Matrix</t>
  </si>
  <si>
    <t>Mr2</t>
  </si>
  <si>
    <t>Prius</t>
  </si>
  <si>
    <t>Prius-C</t>
  </si>
  <si>
    <t>RAIZE</t>
  </si>
  <si>
    <t>Rav4</t>
  </si>
  <si>
    <t>Rush</t>
  </si>
  <si>
    <t>Sequoia</t>
  </si>
  <si>
    <t>Sienna</t>
  </si>
  <si>
    <t>Solara</t>
  </si>
  <si>
    <t>Tacoma</t>
  </si>
  <si>
    <t>Tacoma-</t>
  </si>
  <si>
    <t>Tundra</t>
  </si>
  <si>
    <t>Yaris Hatchback</t>
  </si>
  <si>
    <t>Yaris Sedan</t>
  </si>
  <si>
    <t>Yaris-R</t>
  </si>
  <si>
    <t>Volkswagen</t>
  </si>
  <si>
    <t>Amarok</t>
  </si>
  <si>
    <t>Beetle</t>
  </si>
  <si>
    <t>Beetle Cabrio</t>
  </si>
  <si>
    <t>Bora</t>
  </si>
  <si>
    <t>Bora TDI</t>
  </si>
  <si>
    <t>Crafter</t>
  </si>
  <si>
    <t>Crafter chasis</t>
  </si>
  <si>
    <t>Cross Sport</t>
  </si>
  <si>
    <t>Crossfox</t>
  </si>
  <si>
    <t>Derby</t>
  </si>
  <si>
    <t>e-Crafter</t>
  </si>
  <si>
    <t>EOS</t>
  </si>
  <si>
    <t>Eurovan Carga</t>
  </si>
  <si>
    <t>Eurovan Pasajeros</t>
  </si>
  <si>
    <t>Gol</t>
  </si>
  <si>
    <t>Gol Sedan</t>
  </si>
  <si>
    <t>Golf</t>
  </si>
  <si>
    <t>Golf Gti</t>
  </si>
  <si>
    <t>Golf Variant-/Crossgolf</t>
  </si>
  <si>
    <t>Golf-</t>
  </si>
  <si>
    <t>GTI</t>
  </si>
  <si>
    <t>ID.4</t>
  </si>
  <si>
    <t>Jetta</t>
  </si>
  <si>
    <t>Jetta 4 PTAS</t>
  </si>
  <si>
    <t>Jetta TDI</t>
  </si>
  <si>
    <t>Lupo 2 Ptas</t>
  </si>
  <si>
    <t>Lupo 4 Ptas</t>
  </si>
  <si>
    <t>Nivus</t>
  </si>
  <si>
    <t>Nuevo Jetta</t>
  </si>
  <si>
    <t>Nuevo Jetta TDI</t>
  </si>
  <si>
    <t>Passat</t>
  </si>
  <si>
    <t>Passat Cc</t>
  </si>
  <si>
    <t>Pointer 2 Ptas</t>
  </si>
  <si>
    <t>Pointer 4 Ptas</t>
  </si>
  <si>
    <t>Pointer Pick Up</t>
  </si>
  <si>
    <t>Pointer Wagon</t>
  </si>
  <si>
    <t>Polo 4 Ptas</t>
  </si>
  <si>
    <t>Polo 5 Ptas</t>
  </si>
  <si>
    <t>Polo GTI</t>
  </si>
  <si>
    <t>Routan</t>
  </si>
  <si>
    <t>Saveiro</t>
  </si>
  <si>
    <t>Sedan</t>
  </si>
  <si>
    <t>Sharan</t>
  </si>
  <si>
    <t>Sport Van</t>
  </si>
  <si>
    <t>Sportwagen</t>
  </si>
  <si>
    <t>T-Cross</t>
  </si>
  <si>
    <t>Taigun</t>
  </si>
  <si>
    <t>Taos</t>
  </si>
  <si>
    <t>Teramont</t>
  </si>
  <si>
    <t>Tiguan</t>
  </si>
  <si>
    <t>Tiguan-</t>
  </si>
  <si>
    <t>Touareg</t>
  </si>
  <si>
    <t>Transporter Carga</t>
  </si>
  <si>
    <t>Transporter Pasajeros</t>
  </si>
  <si>
    <t>UP!</t>
  </si>
  <si>
    <t>Vento</t>
  </si>
  <si>
    <t>Virtus</t>
  </si>
  <si>
    <t>Volkswagen Caddy</t>
  </si>
  <si>
    <t>Volkswagen Tera</t>
  </si>
  <si>
    <t>Vw Van</t>
  </si>
  <si>
    <t>Volvo</t>
  </si>
  <si>
    <t>C30 2.4i</t>
  </si>
  <si>
    <t>C30 T5</t>
  </si>
  <si>
    <t>C40</t>
  </si>
  <si>
    <t>C70 Cabrio</t>
  </si>
  <si>
    <t>C70 T5</t>
  </si>
  <si>
    <t>EX30</t>
  </si>
  <si>
    <t>EX90</t>
  </si>
  <si>
    <t>S 60 1.6</t>
  </si>
  <si>
    <t>S40 2.0t</t>
  </si>
  <si>
    <t>S40 T5</t>
  </si>
  <si>
    <t>S60</t>
  </si>
  <si>
    <t>S60 2.5t</t>
  </si>
  <si>
    <t>S60 CC</t>
  </si>
  <si>
    <t>S60 II</t>
  </si>
  <si>
    <t>S60 III</t>
  </si>
  <si>
    <t>S60 R</t>
  </si>
  <si>
    <t>S60 T6</t>
  </si>
  <si>
    <t>S80 2.5t</t>
  </si>
  <si>
    <t>S80 3.2</t>
  </si>
  <si>
    <t>S80 T6</t>
  </si>
  <si>
    <t>S80 V8</t>
  </si>
  <si>
    <t>S90</t>
  </si>
  <si>
    <t>V40</t>
  </si>
  <si>
    <t>V40 II</t>
  </si>
  <si>
    <t>V40 T4</t>
  </si>
  <si>
    <t>V40 T5</t>
  </si>
  <si>
    <t>V40cc</t>
  </si>
  <si>
    <t>V40cc T5 Awd</t>
  </si>
  <si>
    <t>V40cc T5 Fwd</t>
  </si>
  <si>
    <t>V50 T5</t>
  </si>
  <si>
    <t>V60</t>
  </si>
  <si>
    <t>V60 CC</t>
  </si>
  <si>
    <t>XC40</t>
  </si>
  <si>
    <t>XC60</t>
  </si>
  <si>
    <t>XC60 II</t>
  </si>
  <si>
    <t>Xc70 2.5t</t>
  </si>
  <si>
    <t>Xc90</t>
  </si>
  <si>
    <t>XC90 3.2</t>
  </si>
  <si>
    <t>XC90 II</t>
  </si>
  <si>
    <t>Xc90 T6</t>
  </si>
  <si>
    <t>XC90 V8</t>
  </si>
  <si>
    <t>Zeekr</t>
  </si>
  <si>
    <t>001</t>
  </si>
  <si>
    <t>7X</t>
  </si>
  <si>
    <t>X</t>
  </si>
  <si>
    <t>Otra marca</t>
  </si>
  <si>
    <t>Otro modelo</t>
  </si>
  <si>
    <t>Por clasificar</t>
  </si>
  <si>
    <t>Fuente: vehiculos-clasificacion.json (versión 2026-07-12, 1365 filas; 42 duplicadas depuradas, se conservó la primera aparición). Mantener ordenado por marca. La fila 'Otra marca / Otro modelo' la agregó Claude para vehículos fuera de catálogo; eliminarla si no se desea.</t>
  </si>
  <si>
    <t>marcas</t>
  </si>
  <si>
    <t>ventana</t>
  </si>
  <si>
    <t>baja</t>
  </si>
  <si>
    <t>nueva</t>
  </si>
  <si>
    <t>excelente</t>
  </si>
  <si>
    <t>flexible</t>
  </si>
  <si>
    <t>inmediato</t>
  </si>
  <si>
    <t>foráneo</t>
  </si>
  <si>
    <t>manual</t>
  </si>
  <si>
    <t>mañana</t>
  </si>
  <si>
    <t>alta</t>
  </si>
  <si>
    <t>rescate mecánico</t>
  </si>
  <si>
    <t>eléctrica</t>
  </si>
  <si>
    <t>detalles estéticos menores</t>
  </si>
  <si>
    <t>urgente</t>
  </si>
  <si>
    <t>rayones o golpes visibles</t>
  </si>
  <si>
    <t>noche</t>
  </si>
  <si>
    <t>Prioridad y modalidad son propuesta mía: ajustar a los valores reales de la app. El resto lo definió el cliente.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</si>
</sst>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 hh:mm"/>
  </numFmts>
  <fonts count="10" x14ac:knownFonts="1">
    <font>
      <color theme="1"/>
      <family val="2"/>
      <scheme val="minor"/>
      <sz val="11"/>
      <name val="Calibri"/>
    </font>
    <font>
      <b/>
      <charset val="1"/>
      <sz val="14"/>
      <name val="Arial"/>
    </font>
    <font>
      <charset val="1"/>
      <sz val="10"/>
      <name val="Arial"/>
    </font>
    <font>
      <b/>
      <charset val="1"/>
      <sz val="11"/>
      <name val="Arial"/>
    </font>
    <font>
      <b/>
      <charset val="1"/>
      <color rgb="FFFFFFFF"/>
      <sz val="11"/>
      <name val="Arial"/>
    </font>
    <font>
      <b/>
      <charset val="1"/>
      <color rgb="FFFFFFFF"/>
      <sz val="10"/>
      <name val="Arial"/>
    </font>
    <font>
      <i/>
      <charset val="1"/>
      <sz val="10"/>
      <name val="Arial"/>
    </font>
    <font>
      <charset val="1"/>
      <sz val="9"/>
      <name val="Arial"/>
    </font>
    <font>
      <charset val="1"/>
      <color rgb="FF7F7F7F"/>
      <sz val="9"/>
      <name val="Arial"/>
    </font>
    <font>
      <i/>
      <charset val="1"/>
      <color rgb="FFC00000"/>
      <sz val="9"/>
      <name val="Arial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75B6"/>
        <bgColor rgb="FF0066CC"/>
      </patternFill>
    </fill>
    <fill>
      <patternFill patternType="solid">
        <fgColor rgb="FF7F8FA9"/>
        <bgColor rgb="FF7F7F7F"/>
      </patternFill>
    </fill>
    <fill>
      <patternFill patternType="solid">
        <fgColor rgb="FF7F7F7F"/>
        <bgColor rgb="FF7F8FA9"/>
      </patternFill>
    </fill>
    <fill>
      <patternFill patternType="solid">
        <fgColor rgb="FFFFF2CC"/>
        <bgColor rgb="FFEDEDED"/>
      </patternFill>
    </fill>
    <fill>
      <patternFill patternType="solid">
        <fgColor rgb="FFEDEDED"/>
        <bgColor rgb="FFFFF2C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 applyAlignment="1">
      <alignment vertical="bottom"/>
    </xf>
    <xf numFmtId="0" fontId="2" fillId="0" borderId="0" xfId="0" applyFont="1" applyAlignment="1">
      <alignment vertical="bottom"/>
    </xf>
    <xf numFmtId="0" fontId="3" fillId="0" borderId="0" xfId="0" applyFont="1" applyAlignment="1">
      <alignment vertical="bottom"/>
    </xf>
    <xf numFmtId="0" fontId="4" fillId="2" borderId="0" xfId="0" applyFont="1" applyFill="1" applyAlignment="1">
      <alignment vertical="bottom"/>
    </xf>
    <xf numFmtId="0" fontId="4" fillId="3" borderId="0" xfId="0" applyFont="1" applyFill="1" applyAlignment="1">
      <alignment vertical="bottom"/>
    </xf>
    <xf numFmtId="0" fontId="4" fillId="4" borderId="0" xfId="0" applyFont="1" applyFill="1" applyAlignment="1">
      <alignment vertical="bottom"/>
    </xf>
    <xf numFmtId="0" fontId="4" fillId="5" borderId="0" xfId="0" applyFont="1" applyFill="1" applyAlignment="1">
      <alignment vertical="bottom"/>
    </xf>
    <xf numFmtId="0" fontId="5" fillId="2" borderId="0" xfId="0" applyFont="1" applyFill="1" applyAlignment="1">
      <alignment vertical="bottom"/>
    </xf>
    <xf numFmtId="0" fontId="2" fillId="0" borderId="1" xfId="0" applyFont="1" applyBorder="1" applyAlignment="1">
      <alignment vertical="top" wrapText="1"/>
    </xf>
    <xf numFmtId="0" fontId="5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49" fontId="6" fillId="6" borderId="1" xfId="0" applyNumberFormat="1" applyFont="1" applyFill="1" applyBorder="1" applyAlignment="1">
      <alignment vertical="bottom"/>
    </xf>
    <xf numFmtId="49" fontId="2" fillId="0" borderId="1" xfId="0" applyNumberFormat="1" applyFont="1" applyBorder="1" applyAlignment="1">
      <alignment vertical="bottom"/>
    </xf>
    <xf numFmtId="49" fontId="6" fillId="7" borderId="1" xfId="0" applyNumberFormat="1" applyFont="1" applyFill="1" applyBorder="1" applyAlignment="1">
      <alignment vertical="bottom"/>
    </xf>
    <xf numFmtId="1" fontId="6" fillId="6" borderId="1" xfId="0" applyNumberFormat="1" applyFont="1" applyFill="1" applyBorder="1" applyAlignment="1">
      <alignment vertical="bottom"/>
    </xf>
    <xf numFmtId="164" fontId="6" fillId="6" borderId="1" xfId="0" applyNumberFormat="1" applyFont="1" applyFill="1" applyBorder="1" applyAlignment="1">
      <alignment vertical="bottom"/>
    </xf>
    <xf numFmtId="49" fontId="2" fillId="7" borderId="1" xfId="0" applyNumberFormat="1" applyFont="1" applyFill="1" applyBorder="1" applyAlignment="1">
      <alignment vertical="bottom"/>
    </xf>
    <xf numFmtId="1" fontId="2" fillId="0" borderId="1" xfId="0" applyNumberFormat="1" applyFont="1" applyBorder="1" applyAlignment="1">
      <alignment vertical="bottom"/>
    </xf>
    <xf numFmtId="164" fontId="2" fillId="0" borderId="1" xfId="0" applyNumberFormat="1" applyFont="1" applyBorder="1" applyAlignment="1">
      <alignment vertical="bottom"/>
    </xf>
    <xf numFmtId="0" fontId="5" fillId="2" borderId="0" xfId="0" applyFont="1" applyFill="1" applyAlignment="1">
      <alignment horizontal="center" vertical="bottom"/>
    </xf>
    <xf numFmtId="0" fontId="7" fillId="0" borderId="0" xfId="0" applyFont="1" applyAlignment="1">
      <alignment vertical="bottom"/>
    </xf>
    <xf numFmtId="0" fontId="8" fillId="0" borderId="0" xfId="0" applyFont="1" applyAlignment="1">
      <alignment vertical="bottom"/>
    </xf>
    <xf numFmtId="0" fontId="9" fillId="0" borderId="0" xfId="0" applyFont="1" applyAlignment="1">
      <alignment vertical="bottom"/>
    </xf>
  </cellXfs>
  <cellStyles count="1">
    <cellStyle name="Normal" xfId="0" builtinId="0"/>
  </cellStyles>
  <dxfs count="5">
    <dxf>
      <font>
        <b/>
        <charset val="1"/>
        <color rgb="FF006100"/>
        <name val="Arial"/>
      </font>
      <fill>
        <patternFill>
          <bgColor rgb="FFC6EFCE"/>
        </patternFill>
      </fill>
    </dxf>
    <dxf>
      <font>
        <b/>
        <charset val="1"/>
        <color rgb="FF9C0006"/>
        <name val="Arial"/>
      </font>
      <fill>
        <patternFill>
          <bgColor rgb="FFFFC7CE"/>
        </patternFill>
      </fill>
    </dxf>
    <dxf>
      <font>
        <charset val="1"/>
        <color rgb="FF9C0006"/>
        <name val="Arial"/>
      </font>
      <fill>
        <patternFill>
          <bgColor rgb="FFFFC7CE"/>
        </patternFill>
      </fill>
    </dxf>
    <dxf>
      <font>
        <charset val="1"/>
        <color rgb="FF9C0006"/>
        <name val="Arial"/>
      </font>
      <fill>
        <patternFill>
          <bgColor rgb="FFFFC7CE"/>
        </patternFill>
      </fill>
    </dxf>
    <dxf>
      <font>
        <charset val="1"/>
        <color rgb="FF9C0006"/>
        <name val="Arial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2"/>
  <sheetViews>
    <sheetView workbookViewId="0" zoomScale="100" zoomScaleNormal="100" view="normal">
      <selection activeCell="A1" sqref="A1"/>
    </sheetView>
  </sheetViews>
  <sheetFormatPr defaultRowHeight="15" outlineLevelRow="0" outlineLevelCol="0" x14ac:dyDescent="0" defaultColWidth="8.6796875"/>
  <cols>
    <col min="1" max="1" width="32" customWidth="1"/>
    <col min="2" max="2" width="16" customWidth="1"/>
    <col min="3" max="3" width="14" customWidth="1"/>
    <col min="4" max="4" width="90" customWidth="1"/>
  </cols>
  <sheetData>
    <row r="1" ht="17.35" customHeight="1" spans="1:1" x14ac:dyDescent="0.25">
      <c r="A1" s="1" t="s">
        <v>0</v>
      </c>
    </row>
    <row r="3" ht="15" customHeight="1" spans="1:1" x14ac:dyDescent="0.25">
      <c r="A3" s="2" t="s">
        <v>1</v>
      </c>
    </row>
    <row r="4" ht="15" customHeight="1" spans="1:1" x14ac:dyDescent="0.25">
      <c r="A4" s="2" t="s">
        <v>2</v>
      </c>
    </row>
    <row r="5" ht="15" customHeight="1" spans="1:1" x14ac:dyDescent="0.25">
      <c r="A5" s="2" t="s">
        <v>3</v>
      </c>
    </row>
    <row r="6" ht="15" customHeight="1" spans="1:1" x14ac:dyDescent="0.25">
      <c r="A6" s="2" t="s">
        <v>4</v>
      </c>
    </row>
    <row r="7" ht="15" customHeight="1" spans="1:1" x14ac:dyDescent="0.25">
      <c r="A7" s="2" t="s">
        <v>5</v>
      </c>
    </row>
    <row r="8" ht="15" customHeight="1" spans="1:1" x14ac:dyDescent="0.25">
      <c r="A8" s="2" t="s">
        <v>6</v>
      </c>
    </row>
    <row r="10" ht="15" customHeight="1" spans="1:1" x14ac:dyDescent="0.25">
      <c r="A10" s="3" t="s">
        <v>7</v>
      </c>
    </row>
    <row r="11" ht="15" customHeight="1" spans="1:1" x14ac:dyDescent="0.25">
      <c r="A11" s="4" t="s">
        <v>8</v>
      </c>
    </row>
    <row r="12" ht="15" customHeight="1" spans="1:1" x14ac:dyDescent="0.25">
      <c r="A12" s="5" t="s">
        <v>9</v>
      </c>
    </row>
    <row r="13" ht="15" customHeight="1" spans="1:1" x14ac:dyDescent="0.25">
      <c r="A13" s="6" t="s">
        <v>10</v>
      </c>
    </row>
    <row r="14" ht="15" customHeight="1" spans="1:1" x14ac:dyDescent="0.25">
      <c r="A14" s="7" t="s">
        <v>11</v>
      </c>
    </row>
    <row r="17" ht="15" customHeight="1" spans="1:4" x14ac:dyDescent="0.25">
      <c r="A17" s="8" t="s">
        <v>12</v>
      </c>
      <c r="B17" s="8" t="s">
        <v>13</v>
      </c>
      <c r="C17" s="8" t="s">
        <v>8</v>
      </c>
      <c r="D17" s="8" t="s">
        <v>14</v>
      </c>
    </row>
    <row r="18" ht="15" customHeight="1" spans="1:4" x14ac:dyDescent="0.25">
      <c r="A18" s="9" t="s">
        <v>15</v>
      </c>
      <c r="B18" s="9" t="s">
        <v>16</v>
      </c>
      <c r="C18" s="9" t="s">
        <v>17</v>
      </c>
      <c r="D18" s="9" t="s">
        <v>18</v>
      </c>
    </row>
    <row r="19" ht="15" customHeight="1" spans="1:4" x14ac:dyDescent="0.25">
      <c r="A19" s="9" t="s">
        <v>19</v>
      </c>
      <c r="B19" s="9" t="s">
        <v>16</v>
      </c>
      <c r="C19" s="9" t="s">
        <v>20</v>
      </c>
      <c r="D19" s="9" t="s">
        <v>21</v>
      </c>
    </row>
    <row r="20" ht="15" customHeight="1" spans="1:4" x14ac:dyDescent="0.25">
      <c r="A20" s="9" t="s">
        <v>22</v>
      </c>
      <c r="B20" s="9" t="s">
        <v>16</v>
      </c>
      <c r="C20" s="9" t="s">
        <v>20</v>
      </c>
      <c r="D20" s="9" t="s">
        <v>23</v>
      </c>
    </row>
    <row r="21" ht="15" customHeight="1" spans="1:4" x14ac:dyDescent="0.25">
      <c r="A21" s="9" t="s">
        <v>24</v>
      </c>
      <c r="B21" s="9" t="s">
        <v>16</v>
      </c>
      <c r="C21" s="9" t="s">
        <v>20</v>
      </c>
      <c r="D21" s="9" t="s">
        <v>25</v>
      </c>
    </row>
    <row r="22" ht="15" customHeight="1" spans="1:4" x14ac:dyDescent="0.25">
      <c r="A22" s="9" t="s">
        <v>26</v>
      </c>
      <c r="B22" s="9" t="s">
        <v>16</v>
      </c>
      <c r="C22" s="9" t="s">
        <v>17</v>
      </c>
      <c r="D22" s="9" t="s">
        <v>27</v>
      </c>
    </row>
    <row r="23" ht="15" customHeight="1" spans="1:4" x14ac:dyDescent="0.25">
      <c r="A23" s="9" t="s">
        <v>28</v>
      </c>
      <c r="B23" s="9" t="s">
        <v>29</v>
      </c>
      <c r="C23" s="9" t="s">
        <v>30</v>
      </c>
      <c r="D23" s="9" t="s">
        <v>31</v>
      </c>
    </row>
    <row r="24" ht="15" customHeight="1" spans="1:4" x14ac:dyDescent="0.25">
      <c r="A24" s="9" t="s">
        <v>32</v>
      </c>
      <c r="B24" s="9" t="s">
        <v>29</v>
      </c>
      <c r="C24" s="9" t="s">
        <v>30</v>
      </c>
      <c r="D24" s="9" t="s">
        <v>33</v>
      </c>
    </row>
    <row r="25" ht="15" customHeight="1" spans="1:4" x14ac:dyDescent="0.25">
      <c r="A25" s="9" t="s">
        <v>34</v>
      </c>
      <c r="B25" s="9" t="s">
        <v>29</v>
      </c>
      <c r="C25" s="9" t="s">
        <v>17</v>
      </c>
      <c r="D25" s="9" t="s">
        <v>35</v>
      </c>
    </row>
    <row r="26" ht="15" customHeight="1" spans="1:4" x14ac:dyDescent="0.25">
      <c r="A26" s="9" t="s">
        <v>36</v>
      </c>
      <c r="B26" s="9" t="s">
        <v>29</v>
      </c>
      <c r="C26" s="9" t="s">
        <v>17</v>
      </c>
      <c r="D26" s="9" t="s">
        <v>37</v>
      </c>
    </row>
    <row r="27" ht="15" customHeight="1" spans="1:4" x14ac:dyDescent="0.25">
      <c r="A27" s="9" t="s">
        <v>38</v>
      </c>
      <c r="B27" s="9" t="s">
        <v>29</v>
      </c>
      <c r="C27" s="9" t="s">
        <v>39</v>
      </c>
      <c r="D27" s="9" t="s">
        <v>40</v>
      </c>
    </row>
    <row r="28" ht="15" customHeight="1" spans="1:4" x14ac:dyDescent="0.25">
      <c r="A28" s="9" t="s">
        <v>41</v>
      </c>
      <c r="B28" s="9" t="s">
        <v>29</v>
      </c>
      <c r="C28" s="9" t="s">
        <v>39</v>
      </c>
      <c r="D28" s="9" t="s">
        <v>42</v>
      </c>
    </row>
    <row r="29" ht="15" customHeight="1" spans="1:4" x14ac:dyDescent="0.25">
      <c r="A29" s="9" t="s">
        <v>43</v>
      </c>
      <c r="B29" s="9" t="s">
        <v>29</v>
      </c>
      <c r="C29" s="9" t="s">
        <v>39</v>
      </c>
      <c r="D29" s="9" t="s">
        <v>44</v>
      </c>
    </row>
    <row r="30" ht="15" customHeight="1" spans="1:4" x14ac:dyDescent="0.25">
      <c r="A30" s="9" t="s">
        <v>45</v>
      </c>
      <c r="B30" s="9" t="s">
        <v>29</v>
      </c>
      <c r="C30" s="9" t="s">
        <v>39</v>
      </c>
      <c r="D30" s="9" t="s">
        <v>46</v>
      </c>
    </row>
    <row r="31" ht="15" customHeight="1" spans="1:4" x14ac:dyDescent="0.25">
      <c r="A31" s="9" t="s">
        <v>47</v>
      </c>
      <c r="B31" s="9" t="s">
        <v>29</v>
      </c>
      <c r="C31" s="9" t="s">
        <v>20</v>
      </c>
      <c r="D31" s="9" t="s">
        <v>48</v>
      </c>
    </row>
    <row r="32" ht="15" customHeight="1" spans="1:4" x14ac:dyDescent="0.25">
      <c r="A32" s="9" t="s">
        <v>49</v>
      </c>
      <c r="B32" s="9" t="s">
        <v>29</v>
      </c>
      <c r="C32" s="9" t="s">
        <v>20</v>
      </c>
      <c r="D32" s="9" t="s">
        <v>50</v>
      </c>
    </row>
    <row r="33" ht="15" customHeight="1" spans="1:4" x14ac:dyDescent="0.25">
      <c r="A33" s="9" t="s">
        <v>51</v>
      </c>
      <c r="B33" s="9" t="s">
        <v>29</v>
      </c>
      <c r="C33" s="9" t="s">
        <v>20</v>
      </c>
      <c r="D33" s="9" t="s">
        <v>52</v>
      </c>
    </row>
    <row r="34" ht="15" customHeight="1" spans="1:4" x14ac:dyDescent="0.25">
      <c r="A34" s="9" t="s">
        <v>53</v>
      </c>
      <c r="B34" s="9" t="s">
        <v>29</v>
      </c>
      <c r="C34" s="9" t="s">
        <v>20</v>
      </c>
      <c r="D34" s="9" t="s">
        <v>54</v>
      </c>
    </row>
    <row r="35" ht="15" customHeight="1" spans="1:4" x14ac:dyDescent="0.25">
      <c r="A35" s="9" t="s">
        <v>55</v>
      </c>
      <c r="B35" s="9" t="s">
        <v>29</v>
      </c>
      <c r="C35" s="9" t="s">
        <v>20</v>
      </c>
      <c r="D35" s="9" t="s">
        <v>56</v>
      </c>
    </row>
    <row r="36" ht="15" customHeight="1" spans="1:4" x14ac:dyDescent="0.25">
      <c r="A36" s="9" t="s">
        <v>57</v>
      </c>
      <c r="B36" s="9" t="s">
        <v>58</v>
      </c>
      <c r="C36" s="9" t="s">
        <v>17</v>
      </c>
      <c r="D36" s="9" t="s">
        <v>59</v>
      </c>
    </row>
    <row r="37" ht="15" customHeight="1" spans="1:4" x14ac:dyDescent="0.25">
      <c r="A37" s="9" t="s">
        <v>60</v>
      </c>
      <c r="B37" s="9" t="s">
        <v>58</v>
      </c>
      <c r="C37" s="9" t="s">
        <v>17</v>
      </c>
      <c r="D37" s="9" t="s">
        <v>61</v>
      </c>
    </row>
    <row r="38" ht="15" customHeight="1" spans="1:4" x14ac:dyDescent="0.25">
      <c r="A38" s="9" t="s">
        <v>62</v>
      </c>
      <c r="B38" s="9" t="s">
        <v>58</v>
      </c>
      <c r="C38" s="9" t="s">
        <v>17</v>
      </c>
      <c r="D38" s="9" t="s">
        <v>63</v>
      </c>
    </row>
    <row r="39" ht="15" customHeight="1" spans="1:4" x14ac:dyDescent="0.25">
      <c r="A39" s="9" t="s">
        <v>64</v>
      </c>
      <c r="B39" s="9" t="s">
        <v>58</v>
      </c>
      <c r="C39" s="9" t="s">
        <v>17</v>
      </c>
      <c r="D39" s="9" t="s">
        <v>61</v>
      </c>
    </row>
    <row r="40" ht="15" customHeight="1" spans="1:4" x14ac:dyDescent="0.25">
      <c r="A40" s="9" t="s">
        <v>65</v>
      </c>
      <c r="B40" s="9" t="s">
        <v>66</v>
      </c>
      <c r="C40" s="9" t="s">
        <v>30</v>
      </c>
      <c r="D40" s="9" t="s">
        <v>67</v>
      </c>
    </row>
    <row r="41" ht="15" customHeight="1" spans="1:4" x14ac:dyDescent="0.25">
      <c r="A41" s="9" t="s">
        <v>68</v>
      </c>
      <c r="B41" s="9" t="s">
        <v>66</v>
      </c>
      <c r="C41" s="9" t="s">
        <v>30</v>
      </c>
      <c r="D41" s="9" t="s">
        <v>69</v>
      </c>
    </row>
    <row r="42" ht="15" customHeight="1" spans="1:4" x14ac:dyDescent="0.25">
      <c r="A42" s="9" t="s">
        <v>70</v>
      </c>
      <c r="B42" s="9" t="s">
        <v>66</v>
      </c>
      <c r="C42" s="9" t="s">
        <v>39</v>
      </c>
      <c r="D42" s="9" t="s">
        <v>71</v>
      </c>
    </row>
    <row r="43" ht="15" customHeight="1" spans="1:4" x14ac:dyDescent="0.25">
      <c r="A43" s="9" t="s">
        <v>72</v>
      </c>
      <c r="B43" s="9" t="s">
        <v>66</v>
      </c>
      <c r="C43" s="9" t="s">
        <v>39</v>
      </c>
      <c r="D43" s="9" t="s">
        <v>71</v>
      </c>
    </row>
    <row r="44" ht="15" customHeight="1" spans="1:4" x14ac:dyDescent="0.25">
      <c r="A44" s="9" t="s">
        <v>73</v>
      </c>
      <c r="B44" s="9" t="s">
        <v>66</v>
      </c>
      <c r="C44" s="9" t="s">
        <v>30</v>
      </c>
      <c r="D44" s="9" t="s">
        <v>74</v>
      </c>
    </row>
    <row r="45" ht="15" customHeight="1" spans="1:4" x14ac:dyDescent="0.25">
      <c r="A45" s="9" t="s">
        <v>75</v>
      </c>
      <c r="B45" s="9" t="s">
        <v>66</v>
      </c>
      <c r="C45" s="9" t="s">
        <v>30</v>
      </c>
      <c r="D45" s="9" t="s">
        <v>76</v>
      </c>
    </row>
    <row r="46" ht="15" customHeight="1" spans="1:4" x14ac:dyDescent="0.25">
      <c r="A46" s="9" t="s">
        <v>77</v>
      </c>
      <c r="B46" s="9" t="s">
        <v>66</v>
      </c>
      <c r="C46" s="9" t="s">
        <v>20</v>
      </c>
      <c r="D46" s="9" t="s">
        <v>78</v>
      </c>
    </row>
    <row r="47" ht="15" customHeight="1" spans="1:4" x14ac:dyDescent="0.25">
      <c r="A47" s="9" t="s">
        <v>79</v>
      </c>
      <c r="B47" s="9" t="s">
        <v>80</v>
      </c>
      <c r="C47" s="9" t="s">
        <v>30</v>
      </c>
      <c r="D47" s="9" t="s">
        <v>81</v>
      </c>
    </row>
    <row r="48" ht="15" customHeight="1" spans="1:4" x14ac:dyDescent="0.25">
      <c r="A48" s="9" t="s">
        <v>82</v>
      </c>
      <c r="B48" s="9" t="s">
        <v>80</v>
      </c>
      <c r="C48" s="9" t="s">
        <v>30</v>
      </c>
      <c r="D48" s="9" t="s">
        <v>83</v>
      </c>
    </row>
    <row r="49" ht="15" customHeight="1" spans="1:4" x14ac:dyDescent="0.25">
      <c r="A49" s="9" t="s">
        <v>84</v>
      </c>
      <c r="B49" s="9" t="s">
        <v>80</v>
      </c>
      <c r="C49" s="9" t="s">
        <v>39</v>
      </c>
      <c r="D49" s="9" t="s">
        <v>71</v>
      </c>
    </row>
    <row r="50" ht="15" customHeight="1" spans="1:4" x14ac:dyDescent="0.25">
      <c r="A50" s="9" t="s">
        <v>85</v>
      </c>
      <c r="B50" s="9" t="s">
        <v>80</v>
      </c>
      <c r="C50" s="9" t="s">
        <v>39</v>
      </c>
      <c r="D50" s="9" t="s">
        <v>71</v>
      </c>
    </row>
    <row r="51" ht="15" customHeight="1" spans="1:4" x14ac:dyDescent="0.25">
      <c r="A51" s="9" t="s">
        <v>86</v>
      </c>
      <c r="B51" s="9" t="s">
        <v>80</v>
      </c>
      <c r="C51" s="9" t="s">
        <v>30</v>
      </c>
      <c r="D51" s="9" t="s">
        <v>87</v>
      </c>
    </row>
    <row r="52" ht="15" customHeight="1" spans="1:4" x14ac:dyDescent="0.25">
      <c r="A52" s="9" t="s">
        <v>88</v>
      </c>
      <c r="B52" s="9" t="s">
        <v>80</v>
      </c>
      <c r="C52" s="9" t="s">
        <v>30</v>
      </c>
      <c r="D52" s="9" t="s">
        <v>76</v>
      </c>
    </row>
    <row r="53" ht="15" customHeight="1" spans="1:4" x14ac:dyDescent="0.25">
      <c r="A53" s="9" t="s">
        <v>89</v>
      </c>
      <c r="B53" s="9" t="s">
        <v>80</v>
      </c>
      <c r="C53" s="9" t="s">
        <v>20</v>
      </c>
      <c r="D53" s="9" t="s">
        <v>78</v>
      </c>
    </row>
    <row r="54" ht="15" customHeight="1" spans="1:4" x14ac:dyDescent="0.25">
      <c r="A54" s="9" t="s">
        <v>90</v>
      </c>
      <c r="B54" s="9" t="s">
        <v>91</v>
      </c>
      <c r="C54" s="9" t="s">
        <v>17</v>
      </c>
      <c r="D54" s="9" t="s">
        <v>92</v>
      </c>
    </row>
    <row r="55" ht="15" customHeight="1" spans="1:4" x14ac:dyDescent="0.25">
      <c r="A55" s="9" t="s">
        <v>93</v>
      </c>
      <c r="B55" s="9" t="s">
        <v>91</v>
      </c>
      <c r="C55" s="9" t="s">
        <v>30</v>
      </c>
      <c r="D55" s="9" t="s">
        <v>94</v>
      </c>
    </row>
    <row r="56" ht="15" customHeight="1" spans="1:4" x14ac:dyDescent="0.25">
      <c r="A56" s="9" t="s">
        <v>95</v>
      </c>
      <c r="B56" s="9" t="s">
        <v>91</v>
      </c>
      <c r="C56" s="9" t="s">
        <v>20</v>
      </c>
      <c r="D56" s="9" t="s">
        <v>96</v>
      </c>
    </row>
    <row r="57" ht="15" customHeight="1" spans="1:4" x14ac:dyDescent="0.25">
      <c r="A57" s="9" t="s">
        <v>97</v>
      </c>
      <c r="B57" s="9" t="s">
        <v>91</v>
      </c>
      <c r="C57" s="9" t="s">
        <v>30</v>
      </c>
      <c r="D57" s="9" t="s">
        <v>98</v>
      </c>
    </row>
    <row r="58" ht="15" customHeight="1" spans="1:4" x14ac:dyDescent="0.25">
      <c r="A58" s="9" t="s">
        <v>99</v>
      </c>
      <c r="B58" s="9" t="s">
        <v>91</v>
      </c>
      <c r="C58" s="9" t="s">
        <v>20</v>
      </c>
      <c r="D58" s="9" t="s">
        <v>96</v>
      </c>
    </row>
    <row r="59" ht="15" customHeight="1" spans="1:4" x14ac:dyDescent="0.25">
      <c r="A59" s="9" t="s">
        <v>100</v>
      </c>
      <c r="B59" s="9" t="s">
        <v>91</v>
      </c>
      <c r="C59" s="9" t="s">
        <v>30</v>
      </c>
      <c r="D59" s="9" t="s">
        <v>101</v>
      </c>
    </row>
    <row r="60" ht="15" customHeight="1" spans="1:4" x14ac:dyDescent="0.25">
      <c r="A60" s="9" t="s">
        <v>102</v>
      </c>
      <c r="B60" s="9" t="s">
        <v>91</v>
      </c>
      <c r="C60" s="9" t="s">
        <v>20</v>
      </c>
      <c r="D60" s="9" t="s">
        <v>50</v>
      </c>
    </row>
    <row r="61" ht="15" customHeight="1" spans="1:4" x14ac:dyDescent="0.25">
      <c r="A61" s="9" t="s">
        <v>103</v>
      </c>
      <c r="B61" s="9" t="s">
        <v>104</v>
      </c>
      <c r="C61" s="9" t="s">
        <v>20</v>
      </c>
      <c r="D61" s="9" t="s">
        <v>105</v>
      </c>
    </row>
    <row r="62" ht="15" customHeight="1" spans="1:4" x14ac:dyDescent="0.25">
      <c r="A62" s="9" t="s">
        <v>106</v>
      </c>
      <c r="B62" s="9" t="s">
        <v>104</v>
      </c>
      <c r="C62" s="9" t="s">
        <v>20</v>
      </c>
      <c r="D62" s="9" t="s">
        <v>107</v>
      </c>
    </row>
    <row r="63" ht="15" customHeight="1" spans="1:4" x14ac:dyDescent="0.25">
      <c r="A63" s="9" t="s">
        <v>108</v>
      </c>
      <c r="B63" s="9" t="s">
        <v>109</v>
      </c>
      <c r="C63" s="9" t="s">
        <v>39</v>
      </c>
      <c r="D63" s="9" t="s">
        <v>110</v>
      </c>
    </row>
    <row r="65" ht="15" customHeight="1" spans="1:1" x14ac:dyDescent="0.25">
      <c r="A65" s="3" t="s">
        <v>111</v>
      </c>
    </row>
    <row r="66" ht="15" customHeight="1" spans="1:1" x14ac:dyDescent="0.25">
      <c r="A66" s="2" t="s">
        <v>112</v>
      </c>
    </row>
    <row r="67" ht="15" customHeight="1" spans="1:1" x14ac:dyDescent="0.25">
      <c r="A67" s="2" t="s">
        <v>113</v>
      </c>
    </row>
    <row r="68" ht="15" customHeight="1" spans="1:1" x14ac:dyDescent="0.25">
      <c r="A68" s="2" t="s">
        <v>114</v>
      </c>
    </row>
    <row r="69" ht="15" customHeight="1" spans="1:1" x14ac:dyDescent="0.25">
      <c r="A69" s="2" t="s">
        <v>115</v>
      </c>
    </row>
    <row r="70" ht="15" customHeight="1" spans="1:1" x14ac:dyDescent="0.25">
      <c r="A70" s="2" t="s">
        <v>116</v>
      </c>
    </row>
    <row r="71" ht="15" customHeight="1" spans="1:1" x14ac:dyDescent="0.25">
      <c r="A71" s="2" t="s">
        <v>117</v>
      </c>
    </row>
    <row r="72" ht="15" customHeight="1" spans="1:1" x14ac:dyDescent="0.25">
      <c r="A72" s="2" t="s">
        <v>118</v>
      </c>
    </row>
  </sheetData>
  <pageMargins left="0.75" right="0.75" top="1" bottom="1" header="0.511811023622047" footer="0.511811023622047"/>
  <pageSetup paperSize="9" orientation="portrait" horizontalDpi="300" verticalDpi="300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501"/>
  <sheetViews>
    <sheetView workbookViewId="0" zoomScale="100" zoomScaleNormal="100" view="normal">
      <pane xSplit="1" ySplit="1" topLeftCell="B2" activePane="bottomRight" state="frozen"/>
      <selection pane="bottomRight" activeCell="A1" sqref="A1"/>
    </sheetView>
  </sheetViews>
  <sheetFormatPr defaultRowHeight="15" outlineLevelRow="0" outlineLevelCol="0" x14ac:dyDescent="0" defaultColWidth="8.6796875"/>
  <cols>
    <col min="1" max="1" width="18" customWidth="1"/>
    <col min="2" max="6" width="14" customWidth="1"/>
    <col min="7" max="7" width="22" customWidth="1"/>
    <col min="8" max="8" width="16" customWidth="1"/>
    <col min="9" max="9" width="22" customWidth="1"/>
    <col min="10" max="10" width="14" customWidth="1"/>
    <col min="11" max="11" width="17" customWidth="1"/>
    <col min="12" max="12" width="15" customWidth="1"/>
    <col min="13" max="13" width="17" customWidth="1"/>
    <col min="14" max="16" width="14" customWidth="1"/>
    <col min="17" max="17" width="16" customWidth="1"/>
    <col min="18" max="18" width="26" customWidth="1"/>
    <col min="19" max="19" width="22" customWidth="1"/>
    <col min="20" max="20" width="18" customWidth="1"/>
    <col min="21" max="21" width="22" customWidth="1"/>
    <col min="22" max="22" width="18" customWidth="1"/>
    <col min="23" max="23" width="14" customWidth="1"/>
    <col min="24" max="24" width="22" customWidth="1"/>
    <col min="25" max="26" width="18" customWidth="1"/>
    <col min="27" max="27" width="22" customWidth="1"/>
    <col min="28" max="28" width="14" customWidth="1"/>
    <col min="29" max="29" width="26" customWidth="1"/>
    <col min="30" max="30" width="14" customWidth="1"/>
    <col min="31" max="31" width="22" customWidth="1"/>
    <col min="32" max="33" width="18" customWidth="1"/>
    <col min="34" max="34" width="22" customWidth="1"/>
    <col min="35" max="35" width="14" customWidth="1"/>
    <col min="36" max="36" width="26" customWidth="1"/>
    <col min="37" max="37" width="16" customWidth="1"/>
    <col min="38" max="38" width="18" customWidth="1"/>
    <col min="39" max="42" width="16" customWidth="1"/>
    <col min="43" max="43" width="30" customWidth="1"/>
    <col min="44" max="46" width="14" customWidth="1"/>
  </cols>
  <sheetData>
    <row r="1" ht="43.5" customHeight="1" spans="1:46" x14ac:dyDescent="0.25">
      <c r="A1" s="10" t="s">
        <v>15</v>
      </c>
      <c r="B1" s="11" t="s">
        <v>19</v>
      </c>
      <c r="C1" s="11" t="s">
        <v>22</v>
      </c>
      <c r="D1" s="11" t="s">
        <v>24</v>
      </c>
      <c r="E1" s="10" t="s">
        <v>26</v>
      </c>
      <c r="F1" s="12" t="s">
        <v>28</v>
      </c>
      <c r="G1" s="12" t="s">
        <v>32</v>
      </c>
      <c r="H1" s="10" t="s">
        <v>34</v>
      </c>
      <c r="I1" s="10" t="s">
        <v>36</v>
      </c>
      <c r="J1" s="13" t="s">
        <v>38</v>
      </c>
      <c r="K1" s="13" t="s">
        <v>41</v>
      </c>
      <c r="L1" s="13" t="s">
        <v>43</v>
      </c>
      <c r="M1" s="13" t="s">
        <v>45</v>
      </c>
      <c r="N1" s="11" t="s">
        <v>47</v>
      </c>
      <c r="O1" s="11" t="s">
        <v>49</v>
      </c>
      <c r="P1" s="11" t="s">
        <v>51</v>
      </c>
      <c r="Q1" s="11" t="s">
        <v>53</v>
      </c>
      <c r="R1" s="11" t="s">
        <v>55</v>
      </c>
      <c r="S1" s="10" t="s">
        <v>57</v>
      </c>
      <c r="T1" s="10" t="s">
        <v>60</v>
      </c>
      <c r="U1" s="10" t="s">
        <v>62</v>
      </c>
      <c r="V1" s="10" t="s">
        <v>64</v>
      </c>
      <c r="W1" s="12" t="s">
        <v>65</v>
      </c>
      <c r="X1" s="12" t="s">
        <v>68</v>
      </c>
      <c r="Y1" s="13" t="s">
        <v>70</v>
      </c>
      <c r="Z1" s="13" t="s">
        <v>72</v>
      </c>
      <c r="AA1" s="12" t="s">
        <v>73</v>
      </c>
      <c r="AB1" s="12" t="s">
        <v>75</v>
      </c>
      <c r="AC1" s="11" t="s">
        <v>77</v>
      </c>
      <c r="AD1" s="12" t="s">
        <v>79</v>
      </c>
      <c r="AE1" s="12" t="s">
        <v>82</v>
      </c>
      <c r="AF1" s="13" t="s">
        <v>84</v>
      </c>
      <c r="AG1" s="13" t="s">
        <v>85</v>
      </c>
      <c r="AH1" s="12" t="s">
        <v>86</v>
      </c>
      <c r="AI1" s="12" t="s">
        <v>88</v>
      </c>
      <c r="AJ1" s="11" t="s">
        <v>89</v>
      </c>
      <c r="AK1" s="10" t="s">
        <v>90</v>
      </c>
      <c r="AL1" s="12" t="s">
        <v>93</v>
      </c>
      <c r="AM1" s="11" t="s">
        <v>95</v>
      </c>
      <c r="AN1" s="12" t="s">
        <v>97</v>
      </c>
      <c r="AO1" s="11" t="s">
        <v>99</v>
      </c>
      <c r="AP1" s="12" t="s">
        <v>100</v>
      </c>
      <c r="AQ1" s="11" t="s">
        <v>102</v>
      </c>
      <c r="AR1" s="11" t="s">
        <v>103</v>
      </c>
      <c r="AS1" s="11" t="s">
        <v>106</v>
      </c>
      <c r="AT1" s="13" t="s">
        <v>108</v>
      </c>
    </row>
    <row r="2" ht="15" customHeight="1" spans="1:46" x14ac:dyDescent="0.25">
      <c r="A2" s="14" t="s">
        <v>119</v>
      </c>
      <c r="B2" s="14" t="s">
        <v>120</v>
      </c>
      <c r="C2" s="14" t="s">
        <v>121</v>
      </c>
      <c r="D2" s="14" t="s">
        <v>122</v>
      </c>
      <c r="E2" s="14" t="s">
        <v>123</v>
      </c>
      <c r="F2" s="14" t="s">
        <v>124</v>
      </c>
      <c r="G2" s="15"/>
      <c r="H2" s="14" t="s">
        <v>125</v>
      </c>
      <c r="I2" s="14" t="s">
        <v>126</v>
      </c>
      <c r="J2" s="16" t="str">
        <f>IF(OR(H2="",I2=""),"",IFERROR(INDEX(Catalogo_Vehiculos!$C$2:$C$1325,MATCH(TRUE(),INDEX(Catalogo_Vehiculos!$G$2:$G$1325=H2&amp;"|"&amp;I2,0),0)),"No en catálogo"))</f>
        <v>Media</v>
      </c>
      <c r="K2" s="16" t="str">
        <f>IF(OR(H2="",I2=""),"",IFERROR(INDEX(Catalogo_Vehiculos!$D$2:$D$1325,MATCH(TRUE(),INDEX(Catalogo_Vehiculos!$G$2:$G$1325=H2&amp;"|"&amp;I2,0),0)),"No en catálogo"))</f>
        <v>Automóviles</v>
      </c>
      <c r="L2" s="16" t="str">
        <f>IF(OR(H2="",I2=""),"",IFERROR(INDEX(Catalogo_Vehiculos!$E$2:$E$1325,MATCH(TRUE(),INDEX(Catalogo_Vehiculos!$G$2:$G$1325=H2&amp;"|"&amp;I2,0),0)),"No en catálogo"))</f>
        <v>Compactos</v>
      </c>
      <c r="M2" s="16" t="str">
        <f>IF(OR(H2="",I2=""),"",IFERROR(INDEX(Catalogo_Vehiculos!$F$2:$F$1325,MATCH(TRUE(),INDEX(Catalogo_Vehiculos!$G$2:$G$1325=H2&amp;"|"&amp;I2,0),0)),"No en catálogo"))</f>
        <v>Ligero A</v>
      </c>
      <c r="N2" s="17">
        <v>2024</v>
      </c>
      <c r="O2" s="14" t="s">
        <v>127</v>
      </c>
      <c r="P2" s="14" t="s">
        <v>128</v>
      </c>
      <c r="Q2" s="14" t="s">
        <v>129</v>
      </c>
      <c r="R2" s="14" t="s">
        <v>130</v>
      </c>
      <c r="S2" s="14" t="s">
        <v>131</v>
      </c>
      <c r="T2" s="14" t="s">
        <v>132</v>
      </c>
      <c r="U2" s="14" t="s">
        <v>133</v>
      </c>
      <c r="V2" s="14" t="s">
        <v>134</v>
      </c>
      <c r="W2" s="14" t="s">
        <v>135</v>
      </c>
      <c r="X2" s="14" t="s">
        <v>136</v>
      </c>
      <c r="Y2" s="16" t="s">
        <v>137</v>
      </c>
      <c r="Z2" s="16" t="s">
        <v>138</v>
      </c>
      <c r="AA2" s="14" t="s">
        <v>139</v>
      </c>
      <c r="AB2" s="14" t="s">
        <v>140</v>
      </c>
      <c r="AC2" s="14" t="s">
        <v>141</v>
      </c>
      <c r="AD2" s="14" t="s">
        <v>142</v>
      </c>
      <c r="AE2" s="14" t="s">
        <v>143</v>
      </c>
      <c r="AF2" s="16" t="s">
        <v>144</v>
      </c>
      <c r="AG2" s="16" t="s">
        <v>138</v>
      </c>
      <c r="AH2" s="14" t="s">
        <v>145</v>
      </c>
      <c r="AI2" s="14" t="s">
        <v>146</v>
      </c>
      <c r="AJ2" s="14" t="s">
        <v>147</v>
      </c>
      <c r="AK2" s="14" t="s">
        <v>148</v>
      </c>
      <c r="AL2" s="18">
        <v>46313.5</v>
      </c>
      <c r="AM2" s="14" t="s">
        <v>149</v>
      </c>
      <c r="AN2" s="14" t="s">
        <v>150</v>
      </c>
      <c r="AO2" s="14" t="s">
        <v>151</v>
      </c>
      <c r="AP2" s="15"/>
      <c r="AQ2" s="14" t="s">
        <v>152</v>
      </c>
      <c r="AR2" s="15"/>
      <c r="AS2" s="15"/>
      <c r="AT2" s="16" t="str">
        <f>IF(COUNTA(A2:I2)+COUNTA(N2:X2)+COUNTA(AA2:AE2)+COUNTA(AH2:AS2)=0,"",IF(AND(A2&lt;&gt;"",E2&lt;&gt;"",OR(F2&lt;&gt;"",G2&lt;&gt;""),H2&lt;&gt;"",I2&lt;&gt;"",J2&lt;&gt;"No en catálogo",S2&lt;&gt;"",T2&lt;&gt;"",U2&lt;&gt;"",V2&lt;&gt;"",OR(AR2&lt;&gt;"",AND(W2&lt;&gt;"",X2&lt;&gt;"",AA2&lt;&gt;"",AB2&lt;&gt;"")),OR(AS2&lt;&gt;"",AND(AD2&lt;&gt;"",AE2&lt;&gt;"",AH2&lt;&gt;"",AI2&lt;&gt;"")),AK2&lt;&gt;"",OR(AK2&lt;&gt;"programado",AL2&lt;&gt;""),OR(AM2&lt;&gt;"específica",AN2&lt;&gt;""),OR(AO2&lt;&gt;"específica",AP2&lt;&gt;"")),"OK","Revisar"))</f>
        <v>OK</v>
      </c>
    </row>
    <row r="3" ht="15" customHeight="1" spans="1:46" x14ac:dyDescent="0.25">
      <c r="A3" s="15"/>
      <c r="B3" s="15"/>
      <c r="C3" s="15"/>
      <c r="D3" s="15"/>
      <c r="E3" s="15"/>
      <c r="F3" s="15"/>
      <c r="G3" s="15"/>
      <c r="H3" s="15"/>
      <c r="I3" s="15"/>
      <c r="J3" s="19">
        <f>IF(OR(H3="",I3=""),"",IFERROR(INDEX(Catalogo_Vehiculos!$C$2:$C$1325,MATCH(TRUE(),INDEX(Catalogo_Vehiculos!$G$2:$G$1325=H3&amp;"|"&amp;I3,0),0)),"No en catálogo"))</f>
      </c>
      <c r="K3" s="19">
        <f>IF(OR(H3="",I3=""),"",IFERROR(INDEX(Catalogo_Vehiculos!$D$2:$D$1325,MATCH(TRUE(),INDEX(Catalogo_Vehiculos!$G$2:$G$1325=H3&amp;"|"&amp;I3,0),0)),"No en catálogo"))</f>
      </c>
      <c r="L3" s="19">
        <f>IF(OR(H3="",I3=""),"",IFERROR(INDEX(Catalogo_Vehiculos!$E$2:$E$1325,MATCH(TRUE(),INDEX(Catalogo_Vehiculos!$G$2:$G$1325=H3&amp;"|"&amp;I3,0),0)),"No en catálogo"))</f>
      </c>
      <c r="M3" s="19">
        <f>IF(OR(H3="",I3=""),"",IFERROR(INDEX(Catalogo_Vehiculos!$F$2:$F$1325,MATCH(TRUE(),INDEX(Catalogo_Vehiculos!$G$2:$G$1325=H3&amp;"|"&amp;I3,0),0)),"No en catálogo"))</f>
      </c>
      <c r="N3" s="20"/>
      <c r="O3" s="15"/>
      <c r="P3" s="15"/>
      <c r="Q3" s="15"/>
      <c r="R3" s="15"/>
      <c r="S3" s="15"/>
      <c r="T3" s="15"/>
      <c r="U3" s="15"/>
      <c r="V3" s="15"/>
      <c r="W3" s="15"/>
      <c r="X3" s="15"/>
      <c r="Y3" s="19"/>
      <c r="Z3" s="19"/>
      <c r="AA3" s="15"/>
      <c r="AB3" s="15"/>
      <c r="AC3" s="15"/>
      <c r="AD3" s="15"/>
      <c r="AE3" s="15"/>
      <c r="AF3" s="19"/>
      <c r="AG3" s="19"/>
      <c r="AH3" s="15"/>
      <c r="AI3" s="15"/>
      <c r="AJ3" s="15"/>
      <c r="AK3" s="15"/>
      <c r="AL3" s="21"/>
      <c r="AM3" s="15"/>
      <c r="AN3" s="15"/>
      <c r="AO3" s="15"/>
      <c r="AP3" s="15"/>
      <c r="AQ3" s="15"/>
      <c r="AR3" s="15"/>
      <c r="AS3" s="15"/>
      <c r="AT3" s="19" t="str">
        <f>IF(COUNTA(A3:I3)+COUNTA(N3:X3)+COUNTA(AA3:AE3)+COUNTA(AH3:AS3)=0,"",IF(AND(A3&lt;&gt;"",E3&lt;&gt;"",OR(F3&lt;&gt;"",G3&lt;&gt;""),H3&lt;&gt;"",I3&lt;&gt;"",J3&lt;&gt;"No en catálogo",S3&lt;&gt;"",T3&lt;&gt;"",U3&lt;&gt;"",V3&lt;&gt;"",OR(AR3&lt;&gt;"",AND(W3&lt;&gt;"",X3&lt;&gt;"",AA3&lt;&gt;"",AB3&lt;&gt;"")),OR(AS3&lt;&gt;"",AND(AD3&lt;&gt;"",AE3&lt;&gt;"",AH3&lt;&gt;"",AI3&lt;&gt;"")),AK3&lt;&gt;"",OR(AK3&lt;&gt;"programado",AL3&lt;&gt;""),OR(AM3&lt;&gt;"específica",AN3&lt;&gt;""),OR(AO3&lt;&gt;"específica",AP3&lt;&gt;"")),"OK","Revisar"))</f>
        <v/>
      </c>
    </row>
    <row r="4" ht="15" customHeight="1" spans="1:46" x14ac:dyDescent="0.25">
      <c r="A4" s="15"/>
      <c r="B4" s="15"/>
      <c r="C4" s="15"/>
      <c r="D4" s="15"/>
      <c r="E4" s="15"/>
      <c r="F4" s="15"/>
      <c r="G4" s="15"/>
      <c r="H4" s="15"/>
      <c r="I4" s="15"/>
      <c r="J4" s="19">
        <f>IF(OR(H4="",I4=""),"",IFERROR(INDEX(Catalogo_Vehiculos!$C$2:$C$1325,MATCH(TRUE(),INDEX(Catalogo_Vehiculos!$G$2:$G$1325=H4&amp;"|"&amp;I4,0),0)),"No en catálogo"))</f>
      </c>
      <c r="K4" s="19">
        <f>IF(OR(H4="",I4=""),"",IFERROR(INDEX(Catalogo_Vehiculos!$D$2:$D$1325,MATCH(TRUE(),INDEX(Catalogo_Vehiculos!$G$2:$G$1325=H4&amp;"|"&amp;I4,0),0)),"No en catálogo"))</f>
      </c>
      <c r="L4" s="19">
        <f>IF(OR(H4="",I4=""),"",IFERROR(INDEX(Catalogo_Vehiculos!$E$2:$E$1325,MATCH(TRUE(),INDEX(Catalogo_Vehiculos!$G$2:$G$1325=H4&amp;"|"&amp;I4,0),0)),"No en catálogo"))</f>
      </c>
      <c r="M4" s="19">
        <f>IF(OR(H4="",I4=""),"",IFERROR(INDEX(Catalogo_Vehiculos!$F$2:$F$1325,MATCH(TRUE(),INDEX(Catalogo_Vehiculos!$G$2:$G$1325=H4&amp;"|"&amp;I4,0),0)),"No en catálogo"))</f>
      </c>
      <c r="N4" s="20"/>
      <c r="O4" s="15"/>
      <c r="P4" s="15"/>
      <c r="Q4" s="15"/>
      <c r="R4" s="15"/>
      <c r="S4" s="15"/>
      <c r="T4" s="15"/>
      <c r="U4" s="15"/>
      <c r="V4" s="15"/>
      <c r="W4" s="15"/>
      <c r="X4" s="15"/>
      <c r="Y4" s="19"/>
      <c r="Z4" s="19"/>
      <c r="AA4" s="15"/>
      <c r="AB4" s="15"/>
      <c r="AC4" s="15"/>
      <c r="AD4" s="15"/>
      <c r="AE4" s="15"/>
      <c r="AF4" s="19"/>
      <c r="AG4" s="19"/>
      <c r="AH4" s="15"/>
      <c r="AI4" s="15"/>
      <c r="AJ4" s="15"/>
      <c r="AK4" s="15"/>
      <c r="AL4" s="21"/>
      <c r="AM4" s="15"/>
      <c r="AN4" s="15"/>
      <c r="AO4" s="15"/>
      <c r="AP4" s="15"/>
      <c r="AQ4" s="15"/>
      <c r="AR4" s="15"/>
      <c r="AS4" s="15"/>
      <c r="AT4" s="19" t="str">
        <f>IF(COUNTA(A4:I4)+COUNTA(N4:X4)+COUNTA(AA4:AE4)+COUNTA(AH4:AS4)=0,"",IF(AND(A4&lt;&gt;"",E4&lt;&gt;"",OR(F4&lt;&gt;"",G4&lt;&gt;""),H4&lt;&gt;"",I4&lt;&gt;"",J4&lt;&gt;"No en catálogo",S4&lt;&gt;"",T4&lt;&gt;"",U4&lt;&gt;"",V4&lt;&gt;"",OR(AR4&lt;&gt;"",AND(W4&lt;&gt;"",X4&lt;&gt;"",AA4&lt;&gt;"",AB4&lt;&gt;"")),OR(AS4&lt;&gt;"",AND(AD4&lt;&gt;"",AE4&lt;&gt;"",AH4&lt;&gt;"",AI4&lt;&gt;"")),AK4&lt;&gt;"",OR(AK4&lt;&gt;"programado",AL4&lt;&gt;""),OR(AM4&lt;&gt;"específica",AN4&lt;&gt;""),OR(AO4&lt;&gt;"específica",AP4&lt;&gt;"")),"OK","Revisar"))</f>
        <v/>
      </c>
    </row>
    <row r="5" ht="15" customHeight="1" spans="1:46" x14ac:dyDescent="0.25">
      <c r="A5" s="15"/>
      <c r="B5" s="15"/>
      <c r="C5" s="15"/>
      <c r="D5" s="15"/>
      <c r="E5" s="15"/>
      <c r="F5" s="15"/>
      <c r="G5" s="15"/>
      <c r="H5" s="15"/>
      <c r="I5" s="15"/>
      <c r="J5" s="19">
        <f>IF(OR(H5="",I5=""),"",IFERROR(INDEX(Catalogo_Vehiculos!$C$2:$C$1325,MATCH(TRUE(),INDEX(Catalogo_Vehiculos!$G$2:$G$1325=H5&amp;"|"&amp;I5,0),0)),"No en catálogo"))</f>
      </c>
      <c r="K5" s="19">
        <f>IF(OR(H5="",I5=""),"",IFERROR(INDEX(Catalogo_Vehiculos!$D$2:$D$1325,MATCH(TRUE(),INDEX(Catalogo_Vehiculos!$G$2:$G$1325=H5&amp;"|"&amp;I5,0),0)),"No en catálogo"))</f>
      </c>
      <c r="L5" s="19">
        <f>IF(OR(H5="",I5=""),"",IFERROR(INDEX(Catalogo_Vehiculos!$E$2:$E$1325,MATCH(TRUE(),INDEX(Catalogo_Vehiculos!$G$2:$G$1325=H5&amp;"|"&amp;I5,0),0)),"No en catálogo"))</f>
      </c>
      <c r="M5" s="19">
        <f>IF(OR(H5="",I5=""),"",IFERROR(INDEX(Catalogo_Vehiculos!$F$2:$F$1325,MATCH(TRUE(),INDEX(Catalogo_Vehiculos!$G$2:$G$1325=H5&amp;"|"&amp;I5,0),0)),"No en catálogo"))</f>
      </c>
      <c r="N5" s="20"/>
      <c r="O5" s="15"/>
      <c r="P5" s="15"/>
      <c r="Q5" s="15"/>
      <c r="R5" s="15"/>
      <c r="S5" s="15"/>
      <c r="T5" s="15"/>
      <c r="U5" s="15"/>
      <c r="V5" s="15"/>
      <c r="W5" s="15"/>
      <c r="X5" s="15"/>
      <c r="Y5" s="19"/>
      <c r="Z5" s="19"/>
      <c r="AA5" s="15"/>
      <c r="AB5" s="15"/>
      <c r="AC5" s="15"/>
      <c r="AD5" s="15"/>
      <c r="AE5" s="15"/>
      <c r="AF5" s="19"/>
      <c r="AG5" s="19"/>
      <c r="AH5" s="15"/>
      <c r="AI5" s="15"/>
      <c r="AJ5" s="15"/>
      <c r="AK5" s="15"/>
      <c r="AL5" s="21"/>
      <c r="AM5" s="15"/>
      <c r="AN5" s="15"/>
      <c r="AO5" s="15"/>
      <c r="AP5" s="15"/>
      <c r="AQ5" s="15"/>
      <c r="AR5" s="15"/>
      <c r="AS5" s="15"/>
      <c r="AT5" s="19" t="str">
        <f>IF(COUNTA(A5:I5)+COUNTA(N5:X5)+COUNTA(AA5:AE5)+COUNTA(AH5:AS5)=0,"",IF(AND(A5&lt;&gt;"",E5&lt;&gt;"",OR(F5&lt;&gt;"",G5&lt;&gt;""),H5&lt;&gt;"",I5&lt;&gt;"",J5&lt;&gt;"No en catálogo",S5&lt;&gt;"",T5&lt;&gt;"",U5&lt;&gt;"",V5&lt;&gt;"",OR(AR5&lt;&gt;"",AND(W5&lt;&gt;"",X5&lt;&gt;"",AA5&lt;&gt;"",AB5&lt;&gt;"")),OR(AS5&lt;&gt;"",AND(AD5&lt;&gt;"",AE5&lt;&gt;"",AH5&lt;&gt;"",AI5&lt;&gt;"")),AK5&lt;&gt;"",OR(AK5&lt;&gt;"programado",AL5&lt;&gt;""),OR(AM5&lt;&gt;"específica",AN5&lt;&gt;""),OR(AO5&lt;&gt;"específica",AP5&lt;&gt;"")),"OK","Revisar"))</f>
        <v/>
      </c>
    </row>
    <row r="6" ht="15" customHeight="1" spans="1:46" x14ac:dyDescent="0.25">
      <c r="A6" s="15"/>
      <c r="B6" s="15"/>
      <c r="C6" s="15"/>
      <c r="D6" s="15"/>
      <c r="E6" s="15"/>
      <c r="F6" s="15"/>
      <c r="G6" s="15"/>
      <c r="H6" s="15"/>
      <c r="I6" s="15"/>
      <c r="J6" s="19">
        <f>IF(OR(H6="",I6=""),"",IFERROR(INDEX(Catalogo_Vehiculos!$C$2:$C$1325,MATCH(TRUE(),INDEX(Catalogo_Vehiculos!$G$2:$G$1325=H6&amp;"|"&amp;I6,0),0)),"No en catálogo"))</f>
      </c>
      <c r="K6" s="19">
        <f>IF(OR(H6="",I6=""),"",IFERROR(INDEX(Catalogo_Vehiculos!$D$2:$D$1325,MATCH(TRUE(),INDEX(Catalogo_Vehiculos!$G$2:$G$1325=H6&amp;"|"&amp;I6,0),0)),"No en catálogo"))</f>
      </c>
      <c r="L6" s="19">
        <f>IF(OR(H6="",I6=""),"",IFERROR(INDEX(Catalogo_Vehiculos!$E$2:$E$1325,MATCH(TRUE(),INDEX(Catalogo_Vehiculos!$G$2:$G$1325=H6&amp;"|"&amp;I6,0),0)),"No en catálogo"))</f>
      </c>
      <c r="M6" s="19">
        <f>IF(OR(H6="",I6=""),"",IFERROR(INDEX(Catalogo_Vehiculos!$F$2:$F$1325,MATCH(TRUE(),INDEX(Catalogo_Vehiculos!$G$2:$G$1325=H6&amp;"|"&amp;I6,0),0)),"No en catálogo"))</f>
      </c>
      <c r="N6" s="20"/>
      <c r="O6" s="15"/>
      <c r="P6" s="15"/>
      <c r="Q6" s="15"/>
      <c r="R6" s="15"/>
      <c r="S6" s="15"/>
      <c r="T6" s="15"/>
      <c r="U6" s="15"/>
      <c r="V6" s="15"/>
      <c r="W6" s="15"/>
      <c r="X6" s="15"/>
      <c r="Y6" s="19"/>
      <c r="Z6" s="19"/>
      <c r="AA6" s="15"/>
      <c r="AB6" s="15"/>
      <c r="AC6" s="15"/>
      <c r="AD6" s="15"/>
      <c r="AE6" s="15"/>
      <c r="AF6" s="19"/>
      <c r="AG6" s="19"/>
      <c r="AH6" s="15"/>
      <c r="AI6" s="15"/>
      <c r="AJ6" s="15"/>
      <c r="AK6" s="15"/>
      <c r="AL6" s="21"/>
      <c r="AM6" s="15"/>
      <c r="AN6" s="15"/>
      <c r="AO6" s="15"/>
      <c r="AP6" s="15"/>
      <c r="AQ6" s="15"/>
      <c r="AR6" s="15"/>
      <c r="AS6" s="15"/>
      <c r="AT6" s="19" t="str">
        <f>IF(COUNTA(A6:I6)+COUNTA(N6:X6)+COUNTA(AA6:AE6)+COUNTA(AH6:AS6)=0,"",IF(AND(A6&lt;&gt;"",E6&lt;&gt;"",OR(F6&lt;&gt;"",G6&lt;&gt;""),H6&lt;&gt;"",I6&lt;&gt;"",J6&lt;&gt;"No en catálogo",S6&lt;&gt;"",T6&lt;&gt;"",U6&lt;&gt;"",V6&lt;&gt;"",OR(AR6&lt;&gt;"",AND(W6&lt;&gt;"",X6&lt;&gt;"",AA6&lt;&gt;"",AB6&lt;&gt;"")),OR(AS6&lt;&gt;"",AND(AD6&lt;&gt;"",AE6&lt;&gt;"",AH6&lt;&gt;"",AI6&lt;&gt;"")),AK6&lt;&gt;"",OR(AK6&lt;&gt;"programado",AL6&lt;&gt;""),OR(AM6&lt;&gt;"específica",AN6&lt;&gt;""),OR(AO6&lt;&gt;"específica",AP6&lt;&gt;"")),"OK","Revisar"))</f>
        <v/>
      </c>
    </row>
    <row r="7" ht="15" customHeight="1" spans="1:46" x14ac:dyDescent="0.25">
      <c r="A7" s="15"/>
      <c r="B7" s="15"/>
      <c r="C7" s="15"/>
      <c r="D7" s="15"/>
      <c r="E7" s="15"/>
      <c r="F7" s="15"/>
      <c r="G7" s="15"/>
      <c r="H7" s="15"/>
      <c r="I7" s="15"/>
      <c r="J7" s="19">
        <f>IF(OR(H7="",I7=""),"",IFERROR(INDEX(Catalogo_Vehiculos!$C$2:$C$1325,MATCH(TRUE(),INDEX(Catalogo_Vehiculos!$G$2:$G$1325=H7&amp;"|"&amp;I7,0),0)),"No en catálogo"))</f>
      </c>
      <c r="K7" s="19">
        <f>IF(OR(H7="",I7=""),"",IFERROR(INDEX(Catalogo_Vehiculos!$D$2:$D$1325,MATCH(TRUE(),INDEX(Catalogo_Vehiculos!$G$2:$G$1325=H7&amp;"|"&amp;I7,0),0)),"No en catálogo"))</f>
      </c>
      <c r="L7" s="19">
        <f>IF(OR(H7="",I7=""),"",IFERROR(INDEX(Catalogo_Vehiculos!$E$2:$E$1325,MATCH(TRUE(),INDEX(Catalogo_Vehiculos!$G$2:$G$1325=H7&amp;"|"&amp;I7,0),0)),"No en catálogo"))</f>
      </c>
      <c r="M7" s="19">
        <f>IF(OR(H7="",I7=""),"",IFERROR(INDEX(Catalogo_Vehiculos!$F$2:$F$1325,MATCH(TRUE(),INDEX(Catalogo_Vehiculos!$G$2:$G$1325=H7&amp;"|"&amp;I7,0),0)),"No en catálogo"))</f>
      </c>
      <c r="N7" s="20"/>
      <c r="O7" s="15"/>
      <c r="P7" s="15"/>
      <c r="Q7" s="15"/>
      <c r="R7" s="15"/>
      <c r="S7" s="15"/>
      <c r="T7" s="15"/>
      <c r="U7" s="15"/>
      <c r="V7" s="15"/>
      <c r="W7" s="15"/>
      <c r="X7" s="15"/>
      <c r="Y7" s="19"/>
      <c r="Z7" s="19"/>
      <c r="AA7" s="15"/>
      <c r="AB7" s="15"/>
      <c r="AC7" s="15"/>
      <c r="AD7" s="15"/>
      <c r="AE7" s="15"/>
      <c r="AF7" s="19"/>
      <c r="AG7" s="19"/>
      <c r="AH7" s="15"/>
      <c r="AI7" s="15"/>
      <c r="AJ7" s="15"/>
      <c r="AK7" s="15"/>
      <c r="AL7" s="21"/>
      <c r="AM7" s="15"/>
      <c r="AN7" s="15"/>
      <c r="AO7" s="15"/>
      <c r="AP7" s="15"/>
      <c r="AQ7" s="15"/>
      <c r="AR7" s="15"/>
      <c r="AS7" s="15"/>
      <c r="AT7" s="19" t="str">
        <f>IF(COUNTA(A7:I7)+COUNTA(N7:X7)+COUNTA(AA7:AE7)+COUNTA(AH7:AS7)=0,"",IF(AND(A7&lt;&gt;"",E7&lt;&gt;"",OR(F7&lt;&gt;"",G7&lt;&gt;""),H7&lt;&gt;"",I7&lt;&gt;"",J7&lt;&gt;"No en catálogo",S7&lt;&gt;"",T7&lt;&gt;"",U7&lt;&gt;"",V7&lt;&gt;"",OR(AR7&lt;&gt;"",AND(W7&lt;&gt;"",X7&lt;&gt;"",AA7&lt;&gt;"",AB7&lt;&gt;"")),OR(AS7&lt;&gt;"",AND(AD7&lt;&gt;"",AE7&lt;&gt;"",AH7&lt;&gt;"",AI7&lt;&gt;"")),AK7&lt;&gt;"",OR(AK7&lt;&gt;"programado",AL7&lt;&gt;""),OR(AM7&lt;&gt;"específica",AN7&lt;&gt;""),OR(AO7&lt;&gt;"específica",AP7&lt;&gt;"")),"OK","Revisar"))</f>
        <v/>
      </c>
    </row>
    <row r="8" ht="15" customHeight="1" spans="1:46" x14ac:dyDescent="0.25">
      <c r="A8" s="15"/>
      <c r="B8" s="15"/>
      <c r="C8" s="15"/>
      <c r="D8" s="15"/>
      <c r="E8" s="15"/>
      <c r="F8" s="15"/>
      <c r="G8" s="15"/>
      <c r="H8" s="15"/>
      <c r="I8" s="15"/>
      <c r="J8" s="19">
        <f>IF(OR(H8="",I8=""),"",IFERROR(INDEX(Catalogo_Vehiculos!$C$2:$C$1325,MATCH(TRUE(),INDEX(Catalogo_Vehiculos!$G$2:$G$1325=H8&amp;"|"&amp;I8,0),0)),"No en catálogo"))</f>
      </c>
      <c r="K8" s="19">
        <f>IF(OR(H8="",I8=""),"",IFERROR(INDEX(Catalogo_Vehiculos!$D$2:$D$1325,MATCH(TRUE(),INDEX(Catalogo_Vehiculos!$G$2:$G$1325=H8&amp;"|"&amp;I8,0),0)),"No en catálogo"))</f>
      </c>
      <c r="L8" s="19">
        <f>IF(OR(H8="",I8=""),"",IFERROR(INDEX(Catalogo_Vehiculos!$E$2:$E$1325,MATCH(TRUE(),INDEX(Catalogo_Vehiculos!$G$2:$G$1325=H8&amp;"|"&amp;I8,0),0)),"No en catálogo"))</f>
      </c>
      <c r="M8" s="19">
        <f>IF(OR(H8="",I8=""),"",IFERROR(INDEX(Catalogo_Vehiculos!$F$2:$F$1325,MATCH(TRUE(),INDEX(Catalogo_Vehiculos!$G$2:$G$1325=H8&amp;"|"&amp;I8,0),0)),"No en catálogo"))</f>
      </c>
      <c r="N8" s="20"/>
      <c r="O8" s="15"/>
      <c r="P8" s="15"/>
      <c r="Q8" s="15"/>
      <c r="R8" s="15"/>
      <c r="S8" s="15"/>
      <c r="T8" s="15"/>
      <c r="U8" s="15"/>
      <c r="V8" s="15"/>
      <c r="W8" s="15"/>
      <c r="X8" s="15"/>
      <c r="Y8" s="19"/>
      <c r="Z8" s="19"/>
      <c r="AA8" s="15"/>
      <c r="AB8" s="15"/>
      <c r="AC8" s="15"/>
      <c r="AD8" s="15"/>
      <c r="AE8" s="15"/>
      <c r="AF8" s="19"/>
      <c r="AG8" s="19"/>
      <c r="AH8" s="15"/>
      <c r="AI8" s="15"/>
      <c r="AJ8" s="15"/>
      <c r="AK8" s="15"/>
      <c r="AL8" s="21"/>
      <c r="AM8" s="15"/>
      <c r="AN8" s="15"/>
      <c r="AO8" s="15"/>
      <c r="AP8" s="15"/>
      <c r="AQ8" s="15"/>
      <c r="AR8" s="15"/>
      <c r="AS8" s="15"/>
      <c r="AT8" s="19" t="str">
        <f>IF(COUNTA(A8:I8)+COUNTA(N8:X8)+COUNTA(AA8:AE8)+COUNTA(AH8:AS8)=0,"",IF(AND(A8&lt;&gt;"",E8&lt;&gt;"",OR(F8&lt;&gt;"",G8&lt;&gt;""),H8&lt;&gt;"",I8&lt;&gt;"",J8&lt;&gt;"No en catálogo",S8&lt;&gt;"",T8&lt;&gt;"",U8&lt;&gt;"",V8&lt;&gt;"",OR(AR8&lt;&gt;"",AND(W8&lt;&gt;"",X8&lt;&gt;"",AA8&lt;&gt;"",AB8&lt;&gt;"")),OR(AS8&lt;&gt;"",AND(AD8&lt;&gt;"",AE8&lt;&gt;"",AH8&lt;&gt;"",AI8&lt;&gt;"")),AK8&lt;&gt;"",OR(AK8&lt;&gt;"programado",AL8&lt;&gt;""),OR(AM8&lt;&gt;"específica",AN8&lt;&gt;""),OR(AO8&lt;&gt;"específica",AP8&lt;&gt;"")),"OK","Revisar"))</f>
        <v/>
      </c>
    </row>
    <row r="9" ht="15" customHeight="1" spans="1:46" x14ac:dyDescent="0.25">
      <c r="A9" s="15"/>
      <c r="B9" s="15"/>
      <c r="C9" s="15"/>
      <c r="D9" s="15"/>
      <c r="E9" s="15"/>
      <c r="F9" s="15"/>
      <c r="G9" s="15"/>
      <c r="H9" s="15"/>
      <c r="I9" s="15"/>
      <c r="J9" s="19">
        <f>IF(OR(H9="",I9=""),"",IFERROR(INDEX(Catalogo_Vehiculos!$C$2:$C$1325,MATCH(TRUE(),INDEX(Catalogo_Vehiculos!$G$2:$G$1325=H9&amp;"|"&amp;I9,0),0)),"No en catálogo"))</f>
      </c>
      <c r="K9" s="19">
        <f>IF(OR(H9="",I9=""),"",IFERROR(INDEX(Catalogo_Vehiculos!$D$2:$D$1325,MATCH(TRUE(),INDEX(Catalogo_Vehiculos!$G$2:$G$1325=H9&amp;"|"&amp;I9,0),0)),"No en catálogo"))</f>
      </c>
      <c r="L9" s="19">
        <f>IF(OR(H9="",I9=""),"",IFERROR(INDEX(Catalogo_Vehiculos!$E$2:$E$1325,MATCH(TRUE(),INDEX(Catalogo_Vehiculos!$G$2:$G$1325=H9&amp;"|"&amp;I9,0),0)),"No en catálogo"))</f>
      </c>
      <c r="M9" s="19">
        <f>IF(OR(H9="",I9=""),"",IFERROR(INDEX(Catalogo_Vehiculos!$F$2:$F$1325,MATCH(TRUE(),INDEX(Catalogo_Vehiculos!$G$2:$G$1325=H9&amp;"|"&amp;I9,0),0)),"No en catálogo"))</f>
      </c>
      <c r="N9" s="20"/>
      <c r="O9" s="15"/>
      <c r="P9" s="15"/>
      <c r="Q9" s="15"/>
      <c r="R9" s="15"/>
      <c r="S9" s="15"/>
      <c r="T9" s="15"/>
      <c r="U9" s="15"/>
      <c r="V9" s="15"/>
      <c r="W9" s="15"/>
      <c r="X9" s="15"/>
      <c r="Y9" s="19"/>
      <c r="Z9" s="19"/>
      <c r="AA9" s="15"/>
      <c r="AB9" s="15"/>
      <c r="AC9" s="15"/>
      <c r="AD9" s="15"/>
      <c r="AE9" s="15"/>
      <c r="AF9" s="19"/>
      <c r="AG9" s="19"/>
      <c r="AH9" s="15"/>
      <c r="AI9" s="15"/>
      <c r="AJ9" s="15"/>
      <c r="AK9" s="15"/>
      <c r="AL9" s="21"/>
      <c r="AM9" s="15"/>
      <c r="AN9" s="15"/>
      <c r="AO9" s="15"/>
      <c r="AP9" s="15"/>
      <c r="AQ9" s="15"/>
      <c r="AR9" s="15"/>
      <c r="AS9" s="15"/>
      <c r="AT9" s="19" t="str">
        <f>IF(COUNTA(A9:I9)+COUNTA(N9:X9)+COUNTA(AA9:AE9)+COUNTA(AH9:AS9)=0,"",IF(AND(A9&lt;&gt;"",E9&lt;&gt;"",OR(F9&lt;&gt;"",G9&lt;&gt;""),H9&lt;&gt;"",I9&lt;&gt;"",J9&lt;&gt;"No en catálogo",S9&lt;&gt;"",T9&lt;&gt;"",U9&lt;&gt;"",V9&lt;&gt;"",OR(AR9&lt;&gt;"",AND(W9&lt;&gt;"",X9&lt;&gt;"",AA9&lt;&gt;"",AB9&lt;&gt;"")),OR(AS9&lt;&gt;"",AND(AD9&lt;&gt;"",AE9&lt;&gt;"",AH9&lt;&gt;"",AI9&lt;&gt;"")),AK9&lt;&gt;"",OR(AK9&lt;&gt;"programado",AL9&lt;&gt;""),OR(AM9&lt;&gt;"específica",AN9&lt;&gt;""),OR(AO9&lt;&gt;"específica",AP9&lt;&gt;"")),"OK","Revisar"))</f>
        <v/>
      </c>
    </row>
    <row r="10" ht="15" customHeight="1" spans="1:46" x14ac:dyDescent="0.25">
      <c r="A10" s="15"/>
      <c r="B10" s="15"/>
      <c r="C10" s="15"/>
      <c r="D10" s="15"/>
      <c r="E10" s="15"/>
      <c r="F10" s="15"/>
      <c r="G10" s="15"/>
      <c r="H10" s="15"/>
      <c r="I10" s="15"/>
      <c r="J10" s="19">
        <f>IF(OR(H10="",I10=""),"",IFERROR(INDEX(Catalogo_Vehiculos!$C$2:$C$1325,MATCH(TRUE(),INDEX(Catalogo_Vehiculos!$G$2:$G$1325=H10&amp;"|"&amp;I10,0),0)),"No en catálogo"))</f>
      </c>
      <c r="K10" s="19">
        <f>IF(OR(H10="",I10=""),"",IFERROR(INDEX(Catalogo_Vehiculos!$D$2:$D$1325,MATCH(TRUE(),INDEX(Catalogo_Vehiculos!$G$2:$G$1325=H10&amp;"|"&amp;I10,0),0)),"No en catálogo"))</f>
      </c>
      <c r="L10" s="19">
        <f>IF(OR(H10="",I10=""),"",IFERROR(INDEX(Catalogo_Vehiculos!$E$2:$E$1325,MATCH(TRUE(),INDEX(Catalogo_Vehiculos!$G$2:$G$1325=H10&amp;"|"&amp;I10,0),0)),"No en catálogo"))</f>
      </c>
      <c r="M10" s="19">
        <f>IF(OR(H10="",I10=""),"",IFERROR(INDEX(Catalogo_Vehiculos!$F$2:$F$1325,MATCH(TRUE(),INDEX(Catalogo_Vehiculos!$G$2:$G$1325=H10&amp;"|"&amp;I10,0),0)),"No en catálogo"))</f>
      </c>
      <c r="N10" s="20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9"/>
      <c r="Z10" s="19"/>
      <c r="AA10" s="15"/>
      <c r="AB10" s="15"/>
      <c r="AC10" s="15"/>
      <c r="AD10" s="15"/>
      <c r="AE10" s="15"/>
      <c r="AF10" s="19"/>
      <c r="AG10" s="19"/>
      <c r="AH10" s="15"/>
      <c r="AI10" s="15"/>
      <c r="AJ10" s="15"/>
      <c r="AK10" s="15"/>
      <c r="AL10" s="21"/>
      <c r="AM10" s="15"/>
      <c r="AN10" s="15"/>
      <c r="AO10" s="15"/>
      <c r="AP10" s="15"/>
      <c r="AQ10" s="15"/>
      <c r="AR10" s="15"/>
      <c r="AS10" s="15"/>
      <c r="AT10" s="19" t="str">
        <f>IF(COUNTA(A10:I10)+COUNTA(N10:X10)+COUNTA(AA10:AE10)+COUNTA(AH10:AS10)=0,"",IF(AND(A10&lt;&gt;"",E10&lt;&gt;"",OR(F10&lt;&gt;"",G10&lt;&gt;""),H10&lt;&gt;"",I10&lt;&gt;"",J10&lt;&gt;"No en catálogo",S10&lt;&gt;"",T10&lt;&gt;"",U10&lt;&gt;"",V10&lt;&gt;"",OR(AR10&lt;&gt;"",AND(W10&lt;&gt;"",X10&lt;&gt;"",AA10&lt;&gt;"",AB10&lt;&gt;"")),OR(AS10&lt;&gt;"",AND(AD10&lt;&gt;"",AE10&lt;&gt;"",AH10&lt;&gt;"",AI10&lt;&gt;"")),AK10&lt;&gt;"",OR(AK10&lt;&gt;"programado",AL10&lt;&gt;""),OR(AM10&lt;&gt;"específica",AN10&lt;&gt;""),OR(AO10&lt;&gt;"específica",AP10&lt;&gt;"")),"OK","Revisar"))</f>
        <v/>
      </c>
    </row>
    <row r="11" ht="15" customHeight="1" spans="1:46" x14ac:dyDescent="0.25">
      <c r="A11" s="15"/>
      <c r="B11" s="15"/>
      <c r="C11" s="15"/>
      <c r="D11" s="15"/>
      <c r="E11" s="15"/>
      <c r="F11" s="15"/>
      <c r="G11" s="15"/>
      <c r="H11" s="15"/>
      <c r="I11" s="15"/>
      <c r="J11" s="19">
        <f>IF(OR(H11="",I11=""),"",IFERROR(INDEX(Catalogo_Vehiculos!$C$2:$C$1325,MATCH(TRUE(),INDEX(Catalogo_Vehiculos!$G$2:$G$1325=H11&amp;"|"&amp;I11,0),0)),"No en catálogo"))</f>
      </c>
      <c r="K11" s="19">
        <f>IF(OR(H11="",I11=""),"",IFERROR(INDEX(Catalogo_Vehiculos!$D$2:$D$1325,MATCH(TRUE(),INDEX(Catalogo_Vehiculos!$G$2:$G$1325=H11&amp;"|"&amp;I11,0),0)),"No en catálogo"))</f>
      </c>
      <c r="L11" s="19">
        <f>IF(OR(H11="",I11=""),"",IFERROR(INDEX(Catalogo_Vehiculos!$E$2:$E$1325,MATCH(TRUE(),INDEX(Catalogo_Vehiculos!$G$2:$G$1325=H11&amp;"|"&amp;I11,0),0)),"No en catálogo"))</f>
      </c>
      <c r="M11" s="19">
        <f>IF(OR(H11="",I11=""),"",IFERROR(INDEX(Catalogo_Vehiculos!$F$2:$F$1325,MATCH(TRUE(),INDEX(Catalogo_Vehiculos!$G$2:$G$1325=H11&amp;"|"&amp;I11,0),0)),"No en catálogo"))</f>
      </c>
      <c r="N11" s="20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9"/>
      <c r="Z11" s="19"/>
      <c r="AA11" s="15"/>
      <c r="AB11" s="15"/>
      <c r="AC11" s="15"/>
      <c r="AD11" s="15"/>
      <c r="AE11" s="15"/>
      <c r="AF11" s="19"/>
      <c r="AG11" s="19"/>
      <c r="AH11" s="15"/>
      <c r="AI11" s="15"/>
      <c r="AJ11" s="15"/>
      <c r="AK11" s="15"/>
      <c r="AL11" s="21"/>
      <c r="AM11" s="15"/>
      <c r="AN11" s="15"/>
      <c r="AO11" s="15"/>
      <c r="AP11" s="15"/>
      <c r="AQ11" s="15"/>
      <c r="AR11" s="15"/>
      <c r="AS11" s="15"/>
      <c r="AT11" s="19" t="str">
        <f>IF(COUNTA(A11:I11)+COUNTA(N11:X11)+COUNTA(AA11:AE11)+COUNTA(AH11:AS11)=0,"",IF(AND(A11&lt;&gt;"",E11&lt;&gt;"",OR(F11&lt;&gt;"",G11&lt;&gt;""),H11&lt;&gt;"",I11&lt;&gt;"",J11&lt;&gt;"No en catálogo",S11&lt;&gt;"",T11&lt;&gt;"",U11&lt;&gt;"",V11&lt;&gt;"",OR(AR11&lt;&gt;"",AND(W11&lt;&gt;"",X11&lt;&gt;"",AA11&lt;&gt;"",AB11&lt;&gt;"")),OR(AS11&lt;&gt;"",AND(AD11&lt;&gt;"",AE11&lt;&gt;"",AH11&lt;&gt;"",AI11&lt;&gt;"")),AK11&lt;&gt;"",OR(AK11&lt;&gt;"programado",AL11&lt;&gt;""),OR(AM11&lt;&gt;"específica",AN11&lt;&gt;""),OR(AO11&lt;&gt;"específica",AP11&lt;&gt;"")),"OK","Revisar"))</f>
        <v/>
      </c>
    </row>
    <row r="12" ht="15" customHeight="1" spans="1:46" x14ac:dyDescent="0.25">
      <c r="A12" s="15"/>
      <c r="B12" s="15"/>
      <c r="C12" s="15"/>
      <c r="D12" s="15"/>
      <c r="E12" s="15"/>
      <c r="F12" s="15"/>
      <c r="G12" s="15"/>
      <c r="H12" s="15"/>
      <c r="I12" s="15"/>
      <c r="J12" s="19">
        <f>IF(OR(H12="",I12=""),"",IFERROR(INDEX(Catalogo_Vehiculos!$C$2:$C$1325,MATCH(TRUE(),INDEX(Catalogo_Vehiculos!$G$2:$G$1325=H12&amp;"|"&amp;I12,0),0)),"No en catálogo"))</f>
      </c>
      <c r="K12" s="19">
        <f>IF(OR(H12="",I12=""),"",IFERROR(INDEX(Catalogo_Vehiculos!$D$2:$D$1325,MATCH(TRUE(),INDEX(Catalogo_Vehiculos!$G$2:$G$1325=H12&amp;"|"&amp;I12,0),0)),"No en catálogo"))</f>
      </c>
      <c r="L12" s="19">
        <f>IF(OR(H12="",I12=""),"",IFERROR(INDEX(Catalogo_Vehiculos!$E$2:$E$1325,MATCH(TRUE(),INDEX(Catalogo_Vehiculos!$G$2:$G$1325=H12&amp;"|"&amp;I12,0),0)),"No en catálogo"))</f>
      </c>
      <c r="M12" s="19">
        <f>IF(OR(H12="",I12=""),"",IFERROR(INDEX(Catalogo_Vehiculos!$F$2:$F$1325,MATCH(TRUE(),INDEX(Catalogo_Vehiculos!$G$2:$G$1325=H12&amp;"|"&amp;I12,0),0)),"No en catálogo"))</f>
      </c>
      <c r="N12" s="20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9"/>
      <c r="Z12" s="19"/>
      <c r="AA12" s="15"/>
      <c r="AB12" s="15"/>
      <c r="AC12" s="15"/>
      <c r="AD12" s="15"/>
      <c r="AE12" s="15"/>
      <c r="AF12" s="19"/>
      <c r="AG12" s="19"/>
      <c r="AH12" s="15"/>
      <c r="AI12" s="15"/>
      <c r="AJ12" s="15"/>
      <c r="AK12" s="15"/>
      <c r="AL12" s="21"/>
      <c r="AM12" s="15"/>
      <c r="AN12" s="15"/>
      <c r="AO12" s="15"/>
      <c r="AP12" s="15"/>
      <c r="AQ12" s="15"/>
      <c r="AR12" s="15"/>
      <c r="AS12" s="15"/>
      <c r="AT12" s="19" t="str">
        <f>IF(COUNTA(A12:I12)+COUNTA(N12:X12)+COUNTA(AA12:AE12)+COUNTA(AH12:AS12)=0,"",IF(AND(A12&lt;&gt;"",E12&lt;&gt;"",OR(F12&lt;&gt;"",G12&lt;&gt;""),H12&lt;&gt;"",I12&lt;&gt;"",J12&lt;&gt;"No en catálogo",S12&lt;&gt;"",T12&lt;&gt;"",U12&lt;&gt;"",V12&lt;&gt;"",OR(AR12&lt;&gt;"",AND(W12&lt;&gt;"",X12&lt;&gt;"",AA12&lt;&gt;"",AB12&lt;&gt;"")),OR(AS12&lt;&gt;"",AND(AD12&lt;&gt;"",AE12&lt;&gt;"",AH12&lt;&gt;"",AI12&lt;&gt;"")),AK12&lt;&gt;"",OR(AK12&lt;&gt;"programado",AL12&lt;&gt;""),OR(AM12&lt;&gt;"específica",AN12&lt;&gt;""),OR(AO12&lt;&gt;"específica",AP12&lt;&gt;"")),"OK","Revisar"))</f>
        <v/>
      </c>
    </row>
    <row r="13" ht="15" customHeight="1" spans="1:46" x14ac:dyDescent="0.25">
      <c r="A13" s="15"/>
      <c r="B13" s="15"/>
      <c r="C13" s="15"/>
      <c r="D13" s="15"/>
      <c r="E13" s="15"/>
      <c r="F13" s="15"/>
      <c r="G13" s="15"/>
      <c r="H13" s="15"/>
      <c r="I13" s="15"/>
      <c r="J13" s="19">
        <f>IF(OR(H13="",I13=""),"",IFERROR(INDEX(Catalogo_Vehiculos!$C$2:$C$1325,MATCH(TRUE(),INDEX(Catalogo_Vehiculos!$G$2:$G$1325=H13&amp;"|"&amp;I13,0),0)),"No en catálogo"))</f>
      </c>
      <c r="K13" s="19">
        <f>IF(OR(H13="",I13=""),"",IFERROR(INDEX(Catalogo_Vehiculos!$D$2:$D$1325,MATCH(TRUE(),INDEX(Catalogo_Vehiculos!$G$2:$G$1325=H13&amp;"|"&amp;I13,0),0)),"No en catálogo"))</f>
      </c>
      <c r="L13" s="19">
        <f>IF(OR(H13="",I13=""),"",IFERROR(INDEX(Catalogo_Vehiculos!$E$2:$E$1325,MATCH(TRUE(),INDEX(Catalogo_Vehiculos!$G$2:$G$1325=H13&amp;"|"&amp;I13,0),0)),"No en catálogo"))</f>
      </c>
      <c r="M13" s="19">
        <f>IF(OR(H13="",I13=""),"",IFERROR(INDEX(Catalogo_Vehiculos!$F$2:$F$1325,MATCH(TRUE(),INDEX(Catalogo_Vehiculos!$G$2:$G$1325=H13&amp;"|"&amp;I13,0),0)),"No en catálogo"))</f>
      </c>
      <c r="N13" s="20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9"/>
      <c r="Z13" s="19"/>
      <c r="AA13" s="15"/>
      <c r="AB13" s="15"/>
      <c r="AC13" s="15"/>
      <c r="AD13" s="15"/>
      <c r="AE13" s="15"/>
      <c r="AF13" s="19"/>
      <c r="AG13" s="19"/>
      <c r="AH13" s="15"/>
      <c r="AI13" s="15"/>
      <c r="AJ13" s="15"/>
      <c r="AK13" s="15"/>
      <c r="AL13" s="21"/>
      <c r="AM13" s="15"/>
      <c r="AN13" s="15"/>
      <c r="AO13" s="15"/>
      <c r="AP13" s="15"/>
      <c r="AQ13" s="15"/>
      <c r="AR13" s="15"/>
      <c r="AS13" s="15"/>
      <c r="AT13" s="19" t="str">
        <f>IF(COUNTA(A13:I13)+COUNTA(N13:X13)+COUNTA(AA13:AE13)+COUNTA(AH13:AS13)=0,"",IF(AND(A13&lt;&gt;"",E13&lt;&gt;"",OR(F13&lt;&gt;"",G13&lt;&gt;""),H13&lt;&gt;"",I13&lt;&gt;"",J13&lt;&gt;"No en catálogo",S13&lt;&gt;"",T13&lt;&gt;"",U13&lt;&gt;"",V13&lt;&gt;"",OR(AR13&lt;&gt;"",AND(W13&lt;&gt;"",X13&lt;&gt;"",AA13&lt;&gt;"",AB13&lt;&gt;"")),OR(AS13&lt;&gt;"",AND(AD13&lt;&gt;"",AE13&lt;&gt;"",AH13&lt;&gt;"",AI13&lt;&gt;"")),AK13&lt;&gt;"",OR(AK13&lt;&gt;"programado",AL13&lt;&gt;""),OR(AM13&lt;&gt;"específica",AN13&lt;&gt;""),OR(AO13&lt;&gt;"específica",AP13&lt;&gt;"")),"OK","Revisar"))</f>
        <v/>
      </c>
    </row>
    <row r="14" ht="15" customHeight="1" spans="1:46" x14ac:dyDescent="0.25">
      <c r="A14" s="15"/>
      <c r="B14" s="15"/>
      <c r="C14" s="15"/>
      <c r="D14" s="15"/>
      <c r="E14" s="15"/>
      <c r="F14" s="15"/>
      <c r="G14" s="15"/>
      <c r="H14" s="15"/>
      <c r="I14" s="15"/>
      <c r="J14" s="19">
        <f>IF(OR(H14="",I14=""),"",IFERROR(INDEX(Catalogo_Vehiculos!$C$2:$C$1325,MATCH(TRUE(),INDEX(Catalogo_Vehiculos!$G$2:$G$1325=H14&amp;"|"&amp;I14,0),0)),"No en catálogo"))</f>
      </c>
      <c r="K14" s="19">
        <f>IF(OR(H14="",I14=""),"",IFERROR(INDEX(Catalogo_Vehiculos!$D$2:$D$1325,MATCH(TRUE(),INDEX(Catalogo_Vehiculos!$G$2:$G$1325=H14&amp;"|"&amp;I14,0),0)),"No en catálogo"))</f>
      </c>
      <c r="L14" s="19">
        <f>IF(OR(H14="",I14=""),"",IFERROR(INDEX(Catalogo_Vehiculos!$E$2:$E$1325,MATCH(TRUE(),INDEX(Catalogo_Vehiculos!$G$2:$G$1325=H14&amp;"|"&amp;I14,0),0)),"No en catálogo"))</f>
      </c>
      <c r="M14" s="19">
        <f>IF(OR(H14="",I14=""),"",IFERROR(INDEX(Catalogo_Vehiculos!$F$2:$F$1325,MATCH(TRUE(),INDEX(Catalogo_Vehiculos!$G$2:$G$1325=H14&amp;"|"&amp;I14,0),0)),"No en catálogo"))</f>
      </c>
      <c r="N14" s="20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9"/>
      <c r="Z14" s="19"/>
      <c r="AA14" s="15"/>
      <c r="AB14" s="15"/>
      <c r="AC14" s="15"/>
      <c r="AD14" s="15"/>
      <c r="AE14" s="15"/>
      <c r="AF14" s="19"/>
      <c r="AG14" s="19"/>
      <c r="AH14" s="15"/>
      <c r="AI14" s="15"/>
      <c r="AJ14" s="15"/>
      <c r="AK14" s="15"/>
      <c r="AL14" s="21"/>
      <c r="AM14" s="15"/>
      <c r="AN14" s="15"/>
      <c r="AO14" s="15"/>
      <c r="AP14" s="15"/>
      <c r="AQ14" s="15"/>
      <c r="AR14" s="15"/>
      <c r="AS14" s="15"/>
      <c r="AT14" s="19" t="str">
        <f>IF(COUNTA(A14:I14)+COUNTA(N14:X14)+COUNTA(AA14:AE14)+COUNTA(AH14:AS14)=0,"",IF(AND(A14&lt;&gt;"",E14&lt;&gt;"",OR(F14&lt;&gt;"",G14&lt;&gt;""),H14&lt;&gt;"",I14&lt;&gt;"",J14&lt;&gt;"No en catálogo",S14&lt;&gt;"",T14&lt;&gt;"",U14&lt;&gt;"",V14&lt;&gt;"",OR(AR14&lt;&gt;"",AND(W14&lt;&gt;"",X14&lt;&gt;"",AA14&lt;&gt;"",AB14&lt;&gt;"")),OR(AS14&lt;&gt;"",AND(AD14&lt;&gt;"",AE14&lt;&gt;"",AH14&lt;&gt;"",AI14&lt;&gt;"")),AK14&lt;&gt;"",OR(AK14&lt;&gt;"programado",AL14&lt;&gt;""),OR(AM14&lt;&gt;"específica",AN14&lt;&gt;""),OR(AO14&lt;&gt;"específica",AP14&lt;&gt;"")),"OK","Revisar"))</f>
        <v/>
      </c>
    </row>
    <row r="15" ht="15" customHeight="1" spans="1:46" x14ac:dyDescent="0.25">
      <c r="A15" s="15"/>
      <c r="B15" s="15"/>
      <c r="C15" s="15"/>
      <c r="D15" s="15"/>
      <c r="E15" s="15"/>
      <c r="F15" s="15"/>
      <c r="G15" s="15"/>
      <c r="H15" s="15"/>
      <c r="I15" s="15"/>
      <c r="J15" s="19">
        <f>IF(OR(H15="",I15=""),"",IFERROR(INDEX(Catalogo_Vehiculos!$C$2:$C$1325,MATCH(TRUE(),INDEX(Catalogo_Vehiculos!$G$2:$G$1325=H15&amp;"|"&amp;I15,0),0)),"No en catálogo"))</f>
      </c>
      <c r="K15" s="19">
        <f>IF(OR(H15="",I15=""),"",IFERROR(INDEX(Catalogo_Vehiculos!$D$2:$D$1325,MATCH(TRUE(),INDEX(Catalogo_Vehiculos!$G$2:$G$1325=H15&amp;"|"&amp;I15,0),0)),"No en catálogo"))</f>
      </c>
      <c r="L15" s="19">
        <f>IF(OR(H15="",I15=""),"",IFERROR(INDEX(Catalogo_Vehiculos!$E$2:$E$1325,MATCH(TRUE(),INDEX(Catalogo_Vehiculos!$G$2:$G$1325=H15&amp;"|"&amp;I15,0),0)),"No en catálogo"))</f>
      </c>
      <c r="M15" s="19">
        <f>IF(OR(H15="",I15=""),"",IFERROR(INDEX(Catalogo_Vehiculos!$F$2:$F$1325,MATCH(TRUE(),INDEX(Catalogo_Vehiculos!$G$2:$G$1325=H15&amp;"|"&amp;I15,0),0)),"No en catálogo"))</f>
      </c>
      <c r="N15" s="20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9"/>
      <c r="Z15" s="19"/>
      <c r="AA15" s="15"/>
      <c r="AB15" s="15"/>
      <c r="AC15" s="15"/>
      <c r="AD15" s="15"/>
      <c r="AE15" s="15"/>
      <c r="AF15" s="19"/>
      <c r="AG15" s="19"/>
      <c r="AH15" s="15"/>
      <c r="AI15" s="15"/>
      <c r="AJ15" s="15"/>
      <c r="AK15" s="15"/>
      <c r="AL15" s="21"/>
      <c r="AM15" s="15"/>
      <c r="AN15" s="15"/>
      <c r="AO15" s="15"/>
      <c r="AP15" s="15"/>
      <c r="AQ15" s="15"/>
      <c r="AR15" s="15"/>
      <c r="AS15" s="15"/>
      <c r="AT15" s="19" t="str">
        <f>IF(COUNTA(A15:I15)+COUNTA(N15:X15)+COUNTA(AA15:AE15)+COUNTA(AH15:AS15)=0,"",IF(AND(A15&lt;&gt;"",E15&lt;&gt;"",OR(F15&lt;&gt;"",G15&lt;&gt;""),H15&lt;&gt;"",I15&lt;&gt;"",J15&lt;&gt;"No en catálogo",S15&lt;&gt;"",T15&lt;&gt;"",U15&lt;&gt;"",V15&lt;&gt;"",OR(AR15&lt;&gt;"",AND(W15&lt;&gt;"",X15&lt;&gt;"",AA15&lt;&gt;"",AB15&lt;&gt;"")),OR(AS15&lt;&gt;"",AND(AD15&lt;&gt;"",AE15&lt;&gt;"",AH15&lt;&gt;"",AI15&lt;&gt;"")),AK15&lt;&gt;"",OR(AK15&lt;&gt;"programado",AL15&lt;&gt;""),OR(AM15&lt;&gt;"específica",AN15&lt;&gt;""),OR(AO15&lt;&gt;"específica",AP15&lt;&gt;"")),"OK","Revisar"))</f>
        <v/>
      </c>
    </row>
    <row r="16" ht="15" customHeight="1" spans="1:46" x14ac:dyDescent="0.25">
      <c r="A16" s="15"/>
      <c r="B16" s="15"/>
      <c r="C16" s="15"/>
      <c r="D16" s="15"/>
      <c r="E16" s="15"/>
      <c r="F16" s="15"/>
      <c r="G16" s="15"/>
      <c r="H16" s="15"/>
      <c r="I16" s="15"/>
      <c r="J16" s="19">
        <f>IF(OR(H16="",I16=""),"",IFERROR(INDEX(Catalogo_Vehiculos!$C$2:$C$1325,MATCH(TRUE(),INDEX(Catalogo_Vehiculos!$G$2:$G$1325=H16&amp;"|"&amp;I16,0),0)),"No en catálogo"))</f>
      </c>
      <c r="K16" s="19">
        <f>IF(OR(H16="",I16=""),"",IFERROR(INDEX(Catalogo_Vehiculos!$D$2:$D$1325,MATCH(TRUE(),INDEX(Catalogo_Vehiculos!$G$2:$G$1325=H16&amp;"|"&amp;I16,0),0)),"No en catálogo"))</f>
      </c>
      <c r="L16" s="19">
        <f>IF(OR(H16="",I16=""),"",IFERROR(INDEX(Catalogo_Vehiculos!$E$2:$E$1325,MATCH(TRUE(),INDEX(Catalogo_Vehiculos!$G$2:$G$1325=H16&amp;"|"&amp;I16,0),0)),"No en catálogo"))</f>
      </c>
      <c r="M16" s="19">
        <f>IF(OR(H16="",I16=""),"",IFERROR(INDEX(Catalogo_Vehiculos!$F$2:$F$1325,MATCH(TRUE(),INDEX(Catalogo_Vehiculos!$G$2:$G$1325=H16&amp;"|"&amp;I16,0),0)),"No en catálogo"))</f>
      </c>
      <c r="N16" s="20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9"/>
      <c r="Z16" s="19"/>
      <c r="AA16" s="15"/>
      <c r="AB16" s="15"/>
      <c r="AC16" s="15"/>
      <c r="AD16" s="15"/>
      <c r="AE16" s="15"/>
      <c r="AF16" s="19"/>
      <c r="AG16" s="19"/>
      <c r="AH16" s="15"/>
      <c r="AI16" s="15"/>
      <c r="AJ16" s="15"/>
      <c r="AK16" s="15"/>
      <c r="AL16" s="21"/>
      <c r="AM16" s="15"/>
      <c r="AN16" s="15"/>
      <c r="AO16" s="15"/>
      <c r="AP16" s="15"/>
      <c r="AQ16" s="15"/>
      <c r="AR16" s="15"/>
      <c r="AS16" s="15"/>
      <c r="AT16" s="19" t="str">
        <f>IF(COUNTA(A16:I16)+COUNTA(N16:X16)+COUNTA(AA16:AE16)+COUNTA(AH16:AS16)=0,"",IF(AND(A16&lt;&gt;"",E16&lt;&gt;"",OR(F16&lt;&gt;"",G16&lt;&gt;""),H16&lt;&gt;"",I16&lt;&gt;"",J16&lt;&gt;"No en catálogo",S16&lt;&gt;"",T16&lt;&gt;"",U16&lt;&gt;"",V16&lt;&gt;"",OR(AR16&lt;&gt;"",AND(W16&lt;&gt;"",X16&lt;&gt;"",AA16&lt;&gt;"",AB16&lt;&gt;"")),OR(AS16&lt;&gt;"",AND(AD16&lt;&gt;"",AE16&lt;&gt;"",AH16&lt;&gt;"",AI16&lt;&gt;"")),AK16&lt;&gt;"",OR(AK16&lt;&gt;"programado",AL16&lt;&gt;""),OR(AM16&lt;&gt;"específica",AN16&lt;&gt;""),OR(AO16&lt;&gt;"específica",AP16&lt;&gt;"")),"OK","Revisar"))</f>
        <v/>
      </c>
    </row>
    <row r="17" ht="15" customHeight="1" spans="1:46" x14ac:dyDescent="0.25">
      <c r="A17" s="15"/>
      <c r="B17" s="15"/>
      <c r="C17" s="15"/>
      <c r="D17" s="15"/>
      <c r="E17" s="15"/>
      <c r="F17" s="15"/>
      <c r="G17" s="15"/>
      <c r="H17" s="15"/>
      <c r="I17" s="15"/>
      <c r="J17" s="19">
        <f>IF(OR(H17="",I17=""),"",IFERROR(INDEX(Catalogo_Vehiculos!$C$2:$C$1325,MATCH(TRUE(),INDEX(Catalogo_Vehiculos!$G$2:$G$1325=H17&amp;"|"&amp;I17,0),0)),"No en catálogo"))</f>
      </c>
      <c r="K17" s="19">
        <f>IF(OR(H17="",I17=""),"",IFERROR(INDEX(Catalogo_Vehiculos!$D$2:$D$1325,MATCH(TRUE(),INDEX(Catalogo_Vehiculos!$G$2:$G$1325=H17&amp;"|"&amp;I17,0),0)),"No en catálogo"))</f>
      </c>
      <c r="L17" s="19">
        <f>IF(OR(H17="",I17=""),"",IFERROR(INDEX(Catalogo_Vehiculos!$E$2:$E$1325,MATCH(TRUE(),INDEX(Catalogo_Vehiculos!$G$2:$G$1325=H17&amp;"|"&amp;I17,0),0)),"No en catálogo"))</f>
      </c>
      <c r="M17" s="19">
        <f>IF(OR(H17="",I17=""),"",IFERROR(INDEX(Catalogo_Vehiculos!$F$2:$F$1325,MATCH(TRUE(),INDEX(Catalogo_Vehiculos!$G$2:$G$1325=H17&amp;"|"&amp;I17,0),0)),"No en catálogo"))</f>
      </c>
      <c r="N17" s="20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9"/>
      <c r="Z17" s="19"/>
      <c r="AA17" s="15"/>
      <c r="AB17" s="15"/>
      <c r="AC17" s="15"/>
      <c r="AD17" s="15"/>
      <c r="AE17" s="15"/>
      <c r="AF17" s="19"/>
      <c r="AG17" s="19"/>
      <c r="AH17" s="15"/>
      <c r="AI17" s="15"/>
      <c r="AJ17" s="15"/>
      <c r="AK17" s="15"/>
      <c r="AL17" s="21"/>
      <c r="AM17" s="15"/>
      <c r="AN17" s="15"/>
      <c r="AO17" s="15"/>
      <c r="AP17" s="15"/>
      <c r="AQ17" s="15"/>
      <c r="AR17" s="15"/>
      <c r="AS17" s="15"/>
      <c r="AT17" s="19" t="str">
        <f>IF(COUNTA(A17:I17)+COUNTA(N17:X17)+COUNTA(AA17:AE17)+COUNTA(AH17:AS17)=0,"",IF(AND(A17&lt;&gt;"",E17&lt;&gt;"",OR(F17&lt;&gt;"",G17&lt;&gt;""),H17&lt;&gt;"",I17&lt;&gt;"",J17&lt;&gt;"No en catálogo",S17&lt;&gt;"",T17&lt;&gt;"",U17&lt;&gt;"",V17&lt;&gt;"",OR(AR17&lt;&gt;"",AND(W17&lt;&gt;"",X17&lt;&gt;"",AA17&lt;&gt;"",AB17&lt;&gt;"")),OR(AS17&lt;&gt;"",AND(AD17&lt;&gt;"",AE17&lt;&gt;"",AH17&lt;&gt;"",AI17&lt;&gt;"")),AK17&lt;&gt;"",OR(AK17&lt;&gt;"programado",AL17&lt;&gt;""),OR(AM17&lt;&gt;"específica",AN17&lt;&gt;""),OR(AO17&lt;&gt;"específica",AP17&lt;&gt;"")),"OK","Revisar"))</f>
        <v/>
      </c>
    </row>
    <row r="18" ht="15" customHeight="1" spans="1:46" x14ac:dyDescent="0.25">
      <c r="A18" s="15"/>
      <c r="B18" s="15"/>
      <c r="C18" s="15"/>
      <c r="D18" s="15"/>
      <c r="E18" s="15"/>
      <c r="F18" s="15"/>
      <c r="G18" s="15"/>
      <c r="H18" s="15"/>
      <c r="I18" s="15"/>
      <c r="J18" s="19">
        <f>IF(OR(H18="",I18=""),"",IFERROR(INDEX(Catalogo_Vehiculos!$C$2:$C$1325,MATCH(TRUE(),INDEX(Catalogo_Vehiculos!$G$2:$G$1325=H18&amp;"|"&amp;I18,0),0)),"No en catálogo"))</f>
      </c>
      <c r="K18" s="19">
        <f>IF(OR(H18="",I18=""),"",IFERROR(INDEX(Catalogo_Vehiculos!$D$2:$D$1325,MATCH(TRUE(),INDEX(Catalogo_Vehiculos!$G$2:$G$1325=H18&amp;"|"&amp;I18,0),0)),"No en catálogo"))</f>
      </c>
      <c r="L18" s="19">
        <f>IF(OR(H18="",I18=""),"",IFERROR(INDEX(Catalogo_Vehiculos!$E$2:$E$1325,MATCH(TRUE(),INDEX(Catalogo_Vehiculos!$G$2:$G$1325=H18&amp;"|"&amp;I18,0),0)),"No en catálogo"))</f>
      </c>
      <c r="M18" s="19">
        <f>IF(OR(H18="",I18=""),"",IFERROR(INDEX(Catalogo_Vehiculos!$F$2:$F$1325,MATCH(TRUE(),INDEX(Catalogo_Vehiculos!$G$2:$G$1325=H18&amp;"|"&amp;I18,0),0)),"No en catálogo"))</f>
      </c>
      <c r="N18" s="20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9"/>
      <c r="Z18" s="19"/>
      <c r="AA18" s="15"/>
      <c r="AB18" s="15"/>
      <c r="AC18" s="15"/>
      <c r="AD18" s="15"/>
      <c r="AE18" s="15"/>
      <c r="AF18" s="19"/>
      <c r="AG18" s="19"/>
      <c r="AH18" s="15"/>
      <c r="AI18" s="15"/>
      <c r="AJ18" s="15"/>
      <c r="AK18" s="15"/>
      <c r="AL18" s="21"/>
      <c r="AM18" s="15"/>
      <c r="AN18" s="15"/>
      <c r="AO18" s="15"/>
      <c r="AP18" s="15"/>
      <c r="AQ18" s="15"/>
      <c r="AR18" s="15"/>
      <c r="AS18" s="15"/>
      <c r="AT18" s="19" t="str">
        <f>IF(COUNTA(A18:I18)+COUNTA(N18:X18)+COUNTA(AA18:AE18)+COUNTA(AH18:AS18)=0,"",IF(AND(A18&lt;&gt;"",E18&lt;&gt;"",OR(F18&lt;&gt;"",G18&lt;&gt;""),H18&lt;&gt;"",I18&lt;&gt;"",J18&lt;&gt;"No en catálogo",S18&lt;&gt;"",T18&lt;&gt;"",U18&lt;&gt;"",V18&lt;&gt;"",OR(AR18&lt;&gt;"",AND(W18&lt;&gt;"",X18&lt;&gt;"",AA18&lt;&gt;"",AB18&lt;&gt;"")),OR(AS18&lt;&gt;"",AND(AD18&lt;&gt;"",AE18&lt;&gt;"",AH18&lt;&gt;"",AI18&lt;&gt;"")),AK18&lt;&gt;"",OR(AK18&lt;&gt;"programado",AL18&lt;&gt;""),OR(AM18&lt;&gt;"específica",AN18&lt;&gt;""),OR(AO18&lt;&gt;"específica",AP18&lt;&gt;"")),"OK","Revisar"))</f>
        <v/>
      </c>
    </row>
    <row r="19" ht="15" customHeight="1" spans="1:46" x14ac:dyDescent="0.25">
      <c r="A19" s="15"/>
      <c r="B19" s="15"/>
      <c r="C19" s="15"/>
      <c r="D19" s="15"/>
      <c r="E19" s="15"/>
      <c r="F19" s="15"/>
      <c r="G19" s="15"/>
      <c r="H19" s="15"/>
      <c r="I19" s="15"/>
      <c r="J19" s="19">
        <f>IF(OR(H19="",I19=""),"",IFERROR(INDEX(Catalogo_Vehiculos!$C$2:$C$1325,MATCH(TRUE(),INDEX(Catalogo_Vehiculos!$G$2:$G$1325=H19&amp;"|"&amp;I19,0),0)),"No en catálogo"))</f>
      </c>
      <c r="K19" s="19">
        <f>IF(OR(H19="",I19=""),"",IFERROR(INDEX(Catalogo_Vehiculos!$D$2:$D$1325,MATCH(TRUE(),INDEX(Catalogo_Vehiculos!$G$2:$G$1325=H19&amp;"|"&amp;I19,0),0)),"No en catálogo"))</f>
      </c>
      <c r="L19" s="19">
        <f>IF(OR(H19="",I19=""),"",IFERROR(INDEX(Catalogo_Vehiculos!$E$2:$E$1325,MATCH(TRUE(),INDEX(Catalogo_Vehiculos!$G$2:$G$1325=H19&amp;"|"&amp;I19,0),0)),"No en catálogo"))</f>
      </c>
      <c r="M19" s="19">
        <f>IF(OR(H19="",I19=""),"",IFERROR(INDEX(Catalogo_Vehiculos!$F$2:$F$1325,MATCH(TRUE(),INDEX(Catalogo_Vehiculos!$G$2:$G$1325=H19&amp;"|"&amp;I19,0),0)),"No en catálogo"))</f>
      </c>
      <c r="N19" s="20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9"/>
      <c r="Z19" s="19"/>
      <c r="AA19" s="15"/>
      <c r="AB19" s="15"/>
      <c r="AC19" s="15"/>
      <c r="AD19" s="15"/>
      <c r="AE19" s="15"/>
      <c r="AF19" s="19"/>
      <c r="AG19" s="19"/>
      <c r="AH19" s="15"/>
      <c r="AI19" s="15"/>
      <c r="AJ19" s="15"/>
      <c r="AK19" s="15"/>
      <c r="AL19" s="21"/>
      <c r="AM19" s="15"/>
      <c r="AN19" s="15"/>
      <c r="AO19" s="15"/>
      <c r="AP19" s="15"/>
      <c r="AQ19" s="15"/>
      <c r="AR19" s="15"/>
      <c r="AS19" s="15"/>
      <c r="AT19" s="19" t="str">
        <f>IF(COUNTA(A19:I19)+COUNTA(N19:X19)+COUNTA(AA19:AE19)+COUNTA(AH19:AS19)=0,"",IF(AND(A19&lt;&gt;"",E19&lt;&gt;"",OR(F19&lt;&gt;"",G19&lt;&gt;""),H19&lt;&gt;"",I19&lt;&gt;"",J19&lt;&gt;"No en catálogo",S19&lt;&gt;"",T19&lt;&gt;"",U19&lt;&gt;"",V19&lt;&gt;"",OR(AR19&lt;&gt;"",AND(W19&lt;&gt;"",X19&lt;&gt;"",AA19&lt;&gt;"",AB19&lt;&gt;"")),OR(AS19&lt;&gt;"",AND(AD19&lt;&gt;"",AE19&lt;&gt;"",AH19&lt;&gt;"",AI19&lt;&gt;"")),AK19&lt;&gt;"",OR(AK19&lt;&gt;"programado",AL19&lt;&gt;""),OR(AM19&lt;&gt;"específica",AN19&lt;&gt;""),OR(AO19&lt;&gt;"específica",AP19&lt;&gt;"")),"OK","Revisar"))</f>
        <v/>
      </c>
    </row>
    <row r="20" ht="15" customHeight="1" spans="1:46" x14ac:dyDescent="0.25">
      <c r="A20" s="15"/>
      <c r="B20" s="15"/>
      <c r="C20" s="15"/>
      <c r="D20" s="15"/>
      <c r="E20" s="15"/>
      <c r="F20" s="15"/>
      <c r="G20" s="15"/>
      <c r="H20" s="15"/>
      <c r="I20" s="15"/>
      <c r="J20" s="19">
        <f>IF(OR(H20="",I20=""),"",IFERROR(INDEX(Catalogo_Vehiculos!$C$2:$C$1325,MATCH(TRUE(),INDEX(Catalogo_Vehiculos!$G$2:$G$1325=H20&amp;"|"&amp;I20,0),0)),"No en catálogo"))</f>
      </c>
      <c r="K20" s="19">
        <f>IF(OR(H20="",I20=""),"",IFERROR(INDEX(Catalogo_Vehiculos!$D$2:$D$1325,MATCH(TRUE(),INDEX(Catalogo_Vehiculos!$G$2:$G$1325=H20&amp;"|"&amp;I20,0),0)),"No en catálogo"))</f>
      </c>
      <c r="L20" s="19">
        <f>IF(OR(H20="",I20=""),"",IFERROR(INDEX(Catalogo_Vehiculos!$E$2:$E$1325,MATCH(TRUE(),INDEX(Catalogo_Vehiculos!$G$2:$G$1325=H20&amp;"|"&amp;I20,0),0)),"No en catálogo"))</f>
      </c>
      <c r="M20" s="19">
        <f>IF(OR(H20="",I20=""),"",IFERROR(INDEX(Catalogo_Vehiculos!$F$2:$F$1325,MATCH(TRUE(),INDEX(Catalogo_Vehiculos!$G$2:$G$1325=H20&amp;"|"&amp;I20,0),0)),"No en catálogo"))</f>
      </c>
      <c r="N20" s="20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9"/>
      <c r="Z20" s="19"/>
      <c r="AA20" s="15"/>
      <c r="AB20" s="15"/>
      <c r="AC20" s="15"/>
      <c r="AD20" s="15"/>
      <c r="AE20" s="15"/>
      <c r="AF20" s="19"/>
      <c r="AG20" s="19"/>
      <c r="AH20" s="15"/>
      <c r="AI20" s="15"/>
      <c r="AJ20" s="15"/>
      <c r="AK20" s="15"/>
      <c r="AL20" s="21"/>
      <c r="AM20" s="15"/>
      <c r="AN20" s="15"/>
      <c r="AO20" s="15"/>
      <c r="AP20" s="15"/>
      <c r="AQ20" s="15"/>
      <c r="AR20" s="15"/>
      <c r="AS20" s="15"/>
      <c r="AT20" s="19" t="str">
        <f>IF(COUNTA(A20:I20)+COUNTA(N20:X20)+COUNTA(AA20:AE20)+COUNTA(AH20:AS20)=0,"",IF(AND(A20&lt;&gt;"",E20&lt;&gt;"",OR(F20&lt;&gt;"",G20&lt;&gt;""),H20&lt;&gt;"",I20&lt;&gt;"",J20&lt;&gt;"No en catálogo",S20&lt;&gt;"",T20&lt;&gt;"",U20&lt;&gt;"",V20&lt;&gt;"",OR(AR20&lt;&gt;"",AND(W20&lt;&gt;"",X20&lt;&gt;"",AA20&lt;&gt;"",AB20&lt;&gt;"")),OR(AS20&lt;&gt;"",AND(AD20&lt;&gt;"",AE20&lt;&gt;"",AH20&lt;&gt;"",AI20&lt;&gt;"")),AK20&lt;&gt;"",OR(AK20&lt;&gt;"programado",AL20&lt;&gt;""),OR(AM20&lt;&gt;"específica",AN20&lt;&gt;""),OR(AO20&lt;&gt;"específica",AP20&lt;&gt;"")),"OK","Revisar"))</f>
        <v/>
      </c>
    </row>
    <row r="21" ht="15" customHeight="1" spans="1:46" x14ac:dyDescent="0.25">
      <c r="A21" s="15"/>
      <c r="B21" s="15"/>
      <c r="C21" s="15"/>
      <c r="D21" s="15"/>
      <c r="E21" s="15"/>
      <c r="F21" s="15"/>
      <c r="G21" s="15"/>
      <c r="H21" s="15"/>
      <c r="I21" s="15"/>
      <c r="J21" s="19">
        <f>IF(OR(H21="",I21=""),"",IFERROR(INDEX(Catalogo_Vehiculos!$C$2:$C$1325,MATCH(TRUE(),INDEX(Catalogo_Vehiculos!$G$2:$G$1325=H21&amp;"|"&amp;I21,0),0)),"No en catálogo"))</f>
      </c>
      <c r="K21" s="19">
        <f>IF(OR(H21="",I21=""),"",IFERROR(INDEX(Catalogo_Vehiculos!$D$2:$D$1325,MATCH(TRUE(),INDEX(Catalogo_Vehiculos!$G$2:$G$1325=H21&amp;"|"&amp;I21,0),0)),"No en catálogo"))</f>
      </c>
      <c r="L21" s="19">
        <f>IF(OR(H21="",I21=""),"",IFERROR(INDEX(Catalogo_Vehiculos!$E$2:$E$1325,MATCH(TRUE(),INDEX(Catalogo_Vehiculos!$G$2:$G$1325=H21&amp;"|"&amp;I21,0),0)),"No en catálogo"))</f>
      </c>
      <c r="M21" s="19">
        <f>IF(OR(H21="",I21=""),"",IFERROR(INDEX(Catalogo_Vehiculos!$F$2:$F$1325,MATCH(TRUE(),INDEX(Catalogo_Vehiculos!$G$2:$G$1325=H21&amp;"|"&amp;I21,0),0)),"No en catálogo"))</f>
      </c>
      <c r="N21" s="20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9"/>
      <c r="Z21" s="19"/>
      <c r="AA21" s="15"/>
      <c r="AB21" s="15"/>
      <c r="AC21" s="15"/>
      <c r="AD21" s="15"/>
      <c r="AE21" s="15"/>
      <c r="AF21" s="19"/>
      <c r="AG21" s="19"/>
      <c r="AH21" s="15"/>
      <c r="AI21" s="15"/>
      <c r="AJ21" s="15"/>
      <c r="AK21" s="15"/>
      <c r="AL21" s="21"/>
      <c r="AM21" s="15"/>
      <c r="AN21" s="15"/>
      <c r="AO21" s="15"/>
      <c r="AP21" s="15"/>
      <c r="AQ21" s="15"/>
      <c r="AR21" s="15"/>
      <c r="AS21" s="15"/>
      <c r="AT21" s="19" t="str">
        <f>IF(COUNTA(A21:I21)+COUNTA(N21:X21)+COUNTA(AA21:AE21)+COUNTA(AH21:AS21)=0,"",IF(AND(A21&lt;&gt;"",E21&lt;&gt;"",OR(F21&lt;&gt;"",G21&lt;&gt;""),H21&lt;&gt;"",I21&lt;&gt;"",J21&lt;&gt;"No en catálogo",S21&lt;&gt;"",T21&lt;&gt;"",U21&lt;&gt;"",V21&lt;&gt;"",OR(AR21&lt;&gt;"",AND(W21&lt;&gt;"",X21&lt;&gt;"",AA21&lt;&gt;"",AB21&lt;&gt;"")),OR(AS21&lt;&gt;"",AND(AD21&lt;&gt;"",AE21&lt;&gt;"",AH21&lt;&gt;"",AI21&lt;&gt;"")),AK21&lt;&gt;"",OR(AK21&lt;&gt;"programado",AL21&lt;&gt;""),OR(AM21&lt;&gt;"específica",AN21&lt;&gt;""),OR(AO21&lt;&gt;"específica",AP21&lt;&gt;"")),"OK","Revisar"))</f>
        <v/>
      </c>
    </row>
    <row r="22" ht="15" customHeight="1" spans="1:46" x14ac:dyDescent="0.25">
      <c r="A22" s="15"/>
      <c r="B22" s="15"/>
      <c r="C22" s="15"/>
      <c r="D22" s="15"/>
      <c r="E22" s="15"/>
      <c r="F22" s="15"/>
      <c r="G22" s="15"/>
      <c r="H22" s="15"/>
      <c r="I22" s="15"/>
      <c r="J22" s="19">
        <f>IF(OR(H22="",I22=""),"",IFERROR(INDEX(Catalogo_Vehiculos!$C$2:$C$1325,MATCH(TRUE(),INDEX(Catalogo_Vehiculos!$G$2:$G$1325=H22&amp;"|"&amp;I22,0),0)),"No en catálogo"))</f>
      </c>
      <c r="K22" s="19">
        <f>IF(OR(H22="",I22=""),"",IFERROR(INDEX(Catalogo_Vehiculos!$D$2:$D$1325,MATCH(TRUE(),INDEX(Catalogo_Vehiculos!$G$2:$G$1325=H22&amp;"|"&amp;I22,0),0)),"No en catálogo"))</f>
      </c>
      <c r="L22" s="19">
        <f>IF(OR(H22="",I22=""),"",IFERROR(INDEX(Catalogo_Vehiculos!$E$2:$E$1325,MATCH(TRUE(),INDEX(Catalogo_Vehiculos!$G$2:$G$1325=H22&amp;"|"&amp;I22,0),0)),"No en catálogo"))</f>
      </c>
      <c r="M22" s="19">
        <f>IF(OR(H22="",I22=""),"",IFERROR(INDEX(Catalogo_Vehiculos!$F$2:$F$1325,MATCH(TRUE(),INDEX(Catalogo_Vehiculos!$G$2:$G$1325=H22&amp;"|"&amp;I22,0),0)),"No en catálogo"))</f>
      </c>
      <c r="N22" s="20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9"/>
      <c r="Z22" s="19"/>
      <c r="AA22" s="15"/>
      <c r="AB22" s="15"/>
      <c r="AC22" s="15"/>
      <c r="AD22" s="15"/>
      <c r="AE22" s="15"/>
      <c r="AF22" s="19"/>
      <c r="AG22" s="19"/>
      <c r="AH22" s="15"/>
      <c r="AI22" s="15"/>
      <c r="AJ22" s="15"/>
      <c r="AK22" s="15"/>
      <c r="AL22" s="21"/>
      <c r="AM22" s="15"/>
      <c r="AN22" s="15"/>
      <c r="AO22" s="15"/>
      <c r="AP22" s="15"/>
      <c r="AQ22" s="15"/>
      <c r="AR22" s="15"/>
      <c r="AS22" s="15"/>
      <c r="AT22" s="19" t="str">
        <f>IF(COUNTA(A22:I22)+COUNTA(N22:X22)+COUNTA(AA22:AE22)+COUNTA(AH22:AS22)=0,"",IF(AND(A22&lt;&gt;"",E22&lt;&gt;"",OR(F22&lt;&gt;"",G22&lt;&gt;""),H22&lt;&gt;"",I22&lt;&gt;"",J22&lt;&gt;"No en catálogo",S22&lt;&gt;"",T22&lt;&gt;"",U22&lt;&gt;"",V22&lt;&gt;"",OR(AR22&lt;&gt;"",AND(W22&lt;&gt;"",X22&lt;&gt;"",AA22&lt;&gt;"",AB22&lt;&gt;"")),OR(AS22&lt;&gt;"",AND(AD22&lt;&gt;"",AE22&lt;&gt;"",AH22&lt;&gt;"",AI22&lt;&gt;"")),AK22&lt;&gt;"",OR(AK22&lt;&gt;"programado",AL22&lt;&gt;""),OR(AM22&lt;&gt;"específica",AN22&lt;&gt;""),OR(AO22&lt;&gt;"específica",AP22&lt;&gt;"")),"OK","Revisar"))</f>
        <v/>
      </c>
    </row>
    <row r="23" ht="15" customHeight="1" spans="1:46" x14ac:dyDescent="0.25">
      <c r="A23" s="15"/>
      <c r="B23" s="15"/>
      <c r="C23" s="15"/>
      <c r="D23" s="15"/>
      <c r="E23" s="15"/>
      <c r="F23" s="15"/>
      <c r="G23" s="15"/>
      <c r="H23" s="15"/>
      <c r="I23" s="15"/>
      <c r="J23" s="19">
        <f>IF(OR(H23="",I23=""),"",IFERROR(INDEX(Catalogo_Vehiculos!$C$2:$C$1325,MATCH(TRUE(),INDEX(Catalogo_Vehiculos!$G$2:$G$1325=H23&amp;"|"&amp;I23,0),0)),"No en catálogo"))</f>
      </c>
      <c r="K23" s="19">
        <f>IF(OR(H23="",I23=""),"",IFERROR(INDEX(Catalogo_Vehiculos!$D$2:$D$1325,MATCH(TRUE(),INDEX(Catalogo_Vehiculos!$G$2:$G$1325=H23&amp;"|"&amp;I23,0),0)),"No en catálogo"))</f>
      </c>
      <c r="L23" s="19">
        <f>IF(OR(H23="",I23=""),"",IFERROR(INDEX(Catalogo_Vehiculos!$E$2:$E$1325,MATCH(TRUE(),INDEX(Catalogo_Vehiculos!$G$2:$G$1325=H23&amp;"|"&amp;I23,0),0)),"No en catálogo"))</f>
      </c>
      <c r="M23" s="19">
        <f>IF(OR(H23="",I23=""),"",IFERROR(INDEX(Catalogo_Vehiculos!$F$2:$F$1325,MATCH(TRUE(),INDEX(Catalogo_Vehiculos!$G$2:$G$1325=H23&amp;"|"&amp;I23,0),0)),"No en catálogo"))</f>
      </c>
      <c r="N23" s="20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9"/>
      <c r="Z23" s="19"/>
      <c r="AA23" s="15"/>
      <c r="AB23" s="15"/>
      <c r="AC23" s="15"/>
      <c r="AD23" s="15"/>
      <c r="AE23" s="15"/>
      <c r="AF23" s="19"/>
      <c r="AG23" s="19"/>
      <c r="AH23" s="15"/>
      <c r="AI23" s="15"/>
      <c r="AJ23" s="15"/>
      <c r="AK23" s="15"/>
      <c r="AL23" s="21"/>
      <c r="AM23" s="15"/>
      <c r="AN23" s="15"/>
      <c r="AO23" s="15"/>
      <c r="AP23" s="15"/>
      <c r="AQ23" s="15"/>
      <c r="AR23" s="15"/>
      <c r="AS23" s="15"/>
      <c r="AT23" s="19" t="str">
        <f>IF(COUNTA(A23:I23)+COUNTA(N23:X23)+COUNTA(AA23:AE23)+COUNTA(AH23:AS23)=0,"",IF(AND(A23&lt;&gt;"",E23&lt;&gt;"",OR(F23&lt;&gt;"",G23&lt;&gt;""),H23&lt;&gt;"",I23&lt;&gt;"",J23&lt;&gt;"No en catálogo",S23&lt;&gt;"",T23&lt;&gt;"",U23&lt;&gt;"",V23&lt;&gt;"",OR(AR23&lt;&gt;"",AND(W23&lt;&gt;"",X23&lt;&gt;"",AA23&lt;&gt;"",AB23&lt;&gt;"")),OR(AS23&lt;&gt;"",AND(AD23&lt;&gt;"",AE23&lt;&gt;"",AH23&lt;&gt;"",AI23&lt;&gt;"")),AK23&lt;&gt;"",OR(AK23&lt;&gt;"programado",AL23&lt;&gt;""),OR(AM23&lt;&gt;"específica",AN23&lt;&gt;""),OR(AO23&lt;&gt;"específica",AP23&lt;&gt;"")),"OK","Revisar"))</f>
        <v/>
      </c>
    </row>
    <row r="24" ht="15" customHeight="1" spans="1:46" x14ac:dyDescent="0.25">
      <c r="A24" s="15"/>
      <c r="B24" s="15"/>
      <c r="C24" s="15"/>
      <c r="D24" s="15"/>
      <c r="E24" s="15"/>
      <c r="F24" s="15"/>
      <c r="G24" s="15"/>
      <c r="H24" s="15"/>
      <c r="I24" s="15"/>
      <c r="J24" s="19">
        <f>IF(OR(H24="",I24=""),"",IFERROR(INDEX(Catalogo_Vehiculos!$C$2:$C$1325,MATCH(TRUE(),INDEX(Catalogo_Vehiculos!$G$2:$G$1325=H24&amp;"|"&amp;I24,0),0)),"No en catálogo"))</f>
      </c>
      <c r="K24" s="19">
        <f>IF(OR(H24="",I24=""),"",IFERROR(INDEX(Catalogo_Vehiculos!$D$2:$D$1325,MATCH(TRUE(),INDEX(Catalogo_Vehiculos!$G$2:$G$1325=H24&amp;"|"&amp;I24,0),0)),"No en catálogo"))</f>
      </c>
      <c r="L24" s="19">
        <f>IF(OR(H24="",I24=""),"",IFERROR(INDEX(Catalogo_Vehiculos!$E$2:$E$1325,MATCH(TRUE(),INDEX(Catalogo_Vehiculos!$G$2:$G$1325=H24&amp;"|"&amp;I24,0),0)),"No en catálogo"))</f>
      </c>
      <c r="M24" s="19">
        <f>IF(OR(H24="",I24=""),"",IFERROR(INDEX(Catalogo_Vehiculos!$F$2:$F$1325,MATCH(TRUE(),INDEX(Catalogo_Vehiculos!$G$2:$G$1325=H24&amp;"|"&amp;I24,0),0)),"No en catálogo"))</f>
      </c>
      <c r="N24" s="20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9"/>
      <c r="Z24" s="19"/>
      <c r="AA24" s="15"/>
      <c r="AB24" s="15"/>
      <c r="AC24" s="15"/>
      <c r="AD24" s="15"/>
      <c r="AE24" s="15"/>
      <c r="AF24" s="19"/>
      <c r="AG24" s="19"/>
      <c r="AH24" s="15"/>
      <c r="AI24" s="15"/>
      <c r="AJ24" s="15"/>
      <c r="AK24" s="15"/>
      <c r="AL24" s="21"/>
      <c r="AM24" s="15"/>
      <c r="AN24" s="15"/>
      <c r="AO24" s="15"/>
      <c r="AP24" s="15"/>
      <c r="AQ24" s="15"/>
      <c r="AR24" s="15"/>
      <c r="AS24" s="15"/>
      <c r="AT24" s="19" t="str">
        <f>IF(COUNTA(A24:I24)+COUNTA(N24:X24)+COUNTA(AA24:AE24)+COUNTA(AH24:AS24)=0,"",IF(AND(A24&lt;&gt;"",E24&lt;&gt;"",OR(F24&lt;&gt;"",G24&lt;&gt;""),H24&lt;&gt;"",I24&lt;&gt;"",J24&lt;&gt;"No en catálogo",S24&lt;&gt;"",T24&lt;&gt;"",U24&lt;&gt;"",V24&lt;&gt;"",OR(AR24&lt;&gt;"",AND(W24&lt;&gt;"",X24&lt;&gt;"",AA24&lt;&gt;"",AB24&lt;&gt;"")),OR(AS24&lt;&gt;"",AND(AD24&lt;&gt;"",AE24&lt;&gt;"",AH24&lt;&gt;"",AI24&lt;&gt;"")),AK24&lt;&gt;"",OR(AK24&lt;&gt;"programado",AL24&lt;&gt;""),OR(AM24&lt;&gt;"específica",AN24&lt;&gt;""),OR(AO24&lt;&gt;"específica",AP24&lt;&gt;"")),"OK","Revisar"))</f>
        <v/>
      </c>
    </row>
    <row r="25" ht="15" customHeight="1" spans="1:46" x14ac:dyDescent="0.25">
      <c r="A25" s="15"/>
      <c r="B25" s="15"/>
      <c r="C25" s="15"/>
      <c r="D25" s="15"/>
      <c r="E25" s="15"/>
      <c r="F25" s="15"/>
      <c r="G25" s="15"/>
      <c r="H25" s="15"/>
      <c r="I25" s="15"/>
      <c r="J25" s="19">
        <f>IF(OR(H25="",I25=""),"",IFERROR(INDEX(Catalogo_Vehiculos!$C$2:$C$1325,MATCH(TRUE(),INDEX(Catalogo_Vehiculos!$G$2:$G$1325=H25&amp;"|"&amp;I25,0),0)),"No en catálogo"))</f>
      </c>
      <c r="K25" s="19">
        <f>IF(OR(H25="",I25=""),"",IFERROR(INDEX(Catalogo_Vehiculos!$D$2:$D$1325,MATCH(TRUE(),INDEX(Catalogo_Vehiculos!$G$2:$G$1325=H25&amp;"|"&amp;I25,0),0)),"No en catálogo"))</f>
      </c>
      <c r="L25" s="19">
        <f>IF(OR(H25="",I25=""),"",IFERROR(INDEX(Catalogo_Vehiculos!$E$2:$E$1325,MATCH(TRUE(),INDEX(Catalogo_Vehiculos!$G$2:$G$1325=H25&amp;"|"&amp;I25,0),0)),"No en catálogo"))</f>
      </c>
      <c r="M25" s="19">
        <f>IF(OR(H25="",I25=""),"",IFERROR(INDEX(Catalogo_Vehiculos!$F$2:$F$1325,MATCH(TRUE(),INDEX(Catalogo_Vehiculos!$G$2:$G$1325=H25&amp;"|"&amp;I25,0),0)),"No en catálogo"))</f>
      </c>
      <c r="N25" s="20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9"/>
      <c r="Z25" s="19"/>
      <c r="AA25" s="15"/>
      <c r="AB25" s="15"/>
      <c r="AC25" s="15"/>
      <c r="AD25" s="15"/>
      <c r="AE25" s="15"/>
      <c r="AF25" s="19"/>
      <c r="AG25" s="19"/>
      <c r="AH25" s="15"/>
      <c r="AI25" s="15"/>
      <c r="AJ25" s="15"/>
      <c r="AK25" s="15"/>
      <c r="AL25" s="21"/>
      <c r="AM25" s="15"/>
      <c r="AN25" s="15"/>
      <c r="AO25" s="15"/>
      <c r="AP25" s="15"/>
      <c r="AQ25" s="15"/>
      <c r="AR25" s="15"/>
      <c r="AS25" s="15"/>
      <c r="AT25" s="19" t="str">
        <f>IF(COUNTA(A25:I25)+COUNTA(N25:X25)+COUNTA(AA25:AE25)+COUNTA(AH25:AS25)=0,"",IF(AND(A25&lt;&gt;"",E25&lt;&gt;"",OR(F25&lt;&gt;"",G25&lt;&gt;""),H25&lt;&gt;"",I25&lt;&gt;"",J25&lt;&gt;"No en catálogo",S25&lt;&gt;"",T25&lt;&gt;"",U25&lt;&gt;"",V25&lt;&gt;"",OR(AR25&lt;&gt;"",AND(W25&lt;&gt;"",X25&lt;&gt;"",AA25&lt;&gt;"",AB25&lt;&gt;"")),OR(AS25&lt;&gt;"",AND(AD25&lt;&gt;"",AE25&lt;&gt;"",AH25&lt;&gt;"",AI25&lt;&gt;"")),AK25&lt;&gt;"",OR(AK25&lt;&gt;"programado",AL25&lt;&gt;""),OR(AM25&lt;&gt;"específica",AN25&lt;&gt;""),OR(AO25&lt;&gt;"específica",AP25&lt;&gt;"")),"OK","Revisar"))</f>
        <v/>
      </c>
    </row>
    <row r="26" ht="15" customHeight="1" spans="1:46" x14ac:dyDescent="0.25">
      <c r="A26" s="15"/>
      <c r="B26" s="15"/>
      <c r="C26" s="15"/>
      <c r="D26" s="15"/>
      <c r="E26" s="15"/>
      <c r="F26" s="15"/>
      <c r="G26" s="15"/>
      <c r="H26" s="15"/>
      <c r="I26" s="15"/>
      <c r="J26" s="19">
        <f>IF(OR(H26="",I26=""),"",IFERROR(INDEX(Catalogo_Vehiculos!$C$2:$C$1325,MATCH(TRUE(),INDEX(Catalogo_Vehiculos!$G$2:$G$1325=H26&amp;"|"&amp;I26,0),0)),"No en catálogo"))</f>
      </c>
      <c r="K26" s="19">
        <f>IF(OR(H26="",I26=""),"",IFERROR(INDEX(Catalogo_Vehiculos!$D$2:$D$1325,MATCH(TRUE(),INDEX(Catalogo_Vehiculos!$G$2:$G$1325=H26&amp;"|"&amp;I26,0),0)),"No en catálogo"))</f>
      </c>
      <c r="L26" s="19">
        <f>IF(OR(H26="",I26=""),"",IFERROR(INDEX(Catalogo_Vehiculos!$E$2:$E$1325,MATCH(TRUE(),INDEX(Catalogo_Vehiculos!$G$2:$G$1325=H26&amp;"|"&amp;I26,0),0)),"No en catálogo"))</f>
      </c>
      <c r="M26" s="19">
        <f>IF(OR(H26="",I26=""),"",IFERROR(INDEX(Catalogo_Vehiculos!$F$2:$F$1325,MATCH(TRUE(),INDEX(Catalogo_Vehiculos!$G$2:$G$1325=H26&amp;"|"&amp;I26,0),0)),"No en catálogo"))</f>
      </c>
      <c r="N26" s="20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9"/>
      <c r="Z26" s="19"/>
      <c r="AA26" s="15"/>
      <c r="AB26" s="15"/>
      <c r="AC26" s="15"/>
      <c r="AD26" s="15"/>
      <c r="AE26" s="15"/>
      <c r="AF26" s="19"/>
      <c r="AG26" s="19"/>
      <c r="AH26" s="15"/>
      <c r="AI26" s="15"/>
      <c r="AJ26" s="15"/>
      <c r="AK26" s="15"/>
      <c r="AL26" s="21"/>
      <c r="AM26" s="15"/>
      <c r="AN26" s="15"/>
      <c r="AO26" s="15"/>
      <c r="AP26" s="15"/>
      <c r="AQ26" s="15"/>
      <c r="AR26" s="15"/>
      <c r="AS26" s="15"/>
      <c r="AT26" s="19" t="str">
        <f>IF(COUNTA(A26:I26)+COUNTA(N26:X26)+COUNTA(AA26:AE26)+COUNTA(AH26:AS26)=0,"",IF(AND(A26&lt;&gt;"",E26&lt;&gt;"",OR(F26&lt;&gt;"",G26&lt;&gt;""),H26&lt;&gt;"",I26&lt;&gt;"",J26&lt;&gt;"No en catálogo",S26&lt;&gt;"",T26&lt;&gt;"",U26&lt;&gt;"",V26&lt;&gt;"",OR(AR26&lt;&gt;"",AND(W26&lt;&gt;"",X26&lt;&gt;"",AA26&lt;&gt;"",AB26&lt;&gt;"")),OR(AS26&lt;&gt;"",AND(AD26&lt;&gt;"",AE26&lt;&gt;"",AH26&lt;&gt;"",AI26&lt;&gt;"")),AK26&lt;&gt;"",OR(AK26&lt;&gt;"programado",AL26&lt;&gt;""),OR(AM26&lt;&gt;"específica",AN26&lt;&gt;""),OR(AO26&lt;&gt;"específica",AP26&lt;&gt;"")),"OK","Revisar"))</f>
        <v/>
      </c>
    </row>
    <row r="27" ht="15" customHeight="1" spans="1:46" x14ac:dyDescent="0.25">
      <c r="A27" s="15"/>
      <c r="B27" s="15"/>
      <c r="C27" s="15"/>
      <c r="D27" s="15"/>
      <c r="E27" s="15"/>
      <c r="F27" s="15"/>
      <c r="G27" s="15"/>
      <c r="H27" s="15"/>
      <c r="I27" s="15"/>
      <c r="J27" s="19">
        <f>IF(OR(H27="",I27=""),"",IFERROR(INDEX(Catalogo_Vehiculos!$C$2:$C$1325,MATCH(TRUE(),INDEX(Catalogo_Vehiculos!$G$2:$G$1325=H27&amp;"|"&amp;I27,0),0)),"No en catálogo"))</f>
      </c>
      <c r="K27" s="19">
        <f>IF(OR(H27="",I27=""),"",IFERROR(INDEX(Catalogo_Vehiculos!$D$2:$D$1325,MATCH(TRUE(),INDEX(Catalogo_Vehiculos!$G$2:$G$1325=H27&amp;"|"&amp;I27,0),0)),"No en catálogo"))</f>
      </c>
      <c r="L27" s="19">
        <f>IF(OR(H27="",I27=""),"",IFERROR(INDEX(Catalogo_Vehiculos!$E$2:$E$1325,MATCH(TRUE(),INDEX(Catalogo_Vehiculos!$G$2:$G$1325=H27&amp;"|"&amp;I27,0),0)),"No en catálogo"))</f>
      </c>
      <c r="M27" s="19">
        <f>IF(OR(H27="",I27=""),"",IFERROR(INDEX(Catalogo_Vehiculos!$F$2:$F$1325,MATCH(TRUE(),INDEX(Catalogo_Vehiculos!$G$2:$G$1325=H27&amp;"|"&amp;I27,0),0)),"No en catálogo"))</f>
      </c>
      <c r="N27" s="20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9"/>
      <c r="Z27" s="19"/>
      <c r="AA27" s="15"/>
      <c r="AB27" s="15"/>
      <c r="AC27" s="15"/>
      <c r="AD27" s="15"/>
      <c r="AE27" s="15"/>
      <c r="AF27" s="19"/>
      <c r="AG27" s="19"/>
      <c r="AH27" s="15"/>
      <c r="AI27" s="15"/>
      <c r="AJ27" s="15"/>
      <c r="AK27" s="15"/>
      <c r="AL27" s="21"/>
      <c r="AM27" s="15"/>
      <c r="AN27" s="15"/>
      <c r="AO27" s="15"/>
      <c r="AP27" s="15"/>
      <c r="AQ27" s="15"/>
      <c r="AR27" s="15"/>
      <c r="AS27" s="15"/>
      <c r="AT27" s="19" t="str">
        <f>IF(COUNTA(A27:I27)+COUNTA(N27:X27)+COUNTA(AA27:AE27)+COUNTA(AH27:AS27)=0,"",IF(AND(A27&lt;&gt;"",E27&lt;&gt;"",OR(F27&lt;&gt;"",G27&lt;&gt;""),H27&lt;&gt;"",I27&lt;&gt;"",J27&lt;&gt;"No en catálogo",S27&lt;&gt;"",T27&lt;&gt;"",U27&lt;&gt;"",V27&lt;&gt;"",OR(AR27&lt;&gt;"",AND(W27&lt;&gt;"",X27&lt;&gt;"",AA27&lt;&gt;"",AB27&lt;&gt;"")),OR(AS27&lt;&gt;"",AND(AD27&lt;&gt;"",AE27&lt;&gt;"",AH27&lt;&gt;"",AI27&lt;&gt;"")),AK27&lt;&gt;"",OR(AK27&lt;&gt;"programado",AL27&lt;&gt;""),OR(AM27&lt;&gt;"específica",AN27&lt;&gt;""),OR(AO27&lt;&gt;"específica",AP27&lt;&gt;"")),"OK","Revisar"))</f>
        <v/>
      </c>
    </row>
    <row r="28" ht="15" customHeight="1" spans="1:46" x14ac:dyDescent="0.25">
      <c r="A28" s="15"/>
      <c r="B28" s="15"/>
      <c r="C28" s="15"/>
      <c r="D28" s="15"/>
      <c r="E28" s="15"/>
      <c r="F28" s="15"/>
      <c r="G28" s="15"/>
      <c r="H28" s="15"/>
      <c r="I28" s="15"/>
      <c r="J28" s="19">
        <f>IF(OR(H28="",I28=""),"",IFERROR(INDEX(Catalogo_Vehiculos!$C$2:$C$1325,MATCH(TRUE(),INDEX(Catalogo_Vehiculos!$G$2:$G$1325=H28&amp;"|"&amp;I28,0),0)),"No en catálogo"))</f>
      </c>
      <c r="K28" s="19">
        <f>IF(OR(H28="",I28=""),"",IFERROR(INDEX(Catalogo_Vehiculos!$D$2:$D$1325,MATCH(TRUE(),INDEX(Catalogo_Vehiculos!$G$2:$G$1325=H28&amp;"|"&amp;I28,0),0)),"No en catálogo"))</f>
      </c>
      <c r="L28" s="19">
        <f>IF(OR(H28="",I28=""),"",IFERROR(INDEX(Catalogo_Vehiculos!$E$2:$E$1325,MATCH(TRUE(),INDEX(Catalogo_Vehiculos!$G$2:$G$1325=H28&amp;"|"&amp;I28,0),0)),"No en catálogo"))</f>
      </c>
      <c r="M28" s="19">
        <f>IF(OR(H28="",I28=""),"",IFERROR(INDEX(Catalogo_Vehiculos!$F$2:$F$1325,MATCH(TRUE(),INDEX(Catalogo_Vehiculos!$G$2:$G$1325=H28&amp;"|"&amp;I28,0),0)),"No en catálogo"))</f>
      </c>
      <c r="N28" s="20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9"/>
      <c r="Z28" s="19"/>
      <c r="AA28" s="15"/>
      <c r="AB28" s="15"/>
      <c r="AC28" s="15"/>
      <c r="AD28" s="15"/>
      <c r="AE28" s="15"/>
      <c r="AF28" s="19"/>
      <c r="AG28" s="19"/>
      <c r="AH28" s="15"/>
      <c r="AI28" s="15"/>
      <c r="AJ28" s="15"/>
      <c r="AK28" s="15"/>
      <c r="AL28" s="21"/>
      <c r="AM28" s="15"/>
      <c r="AN28" s="15"/>
      <c r="AO28" s="15"/>
      <c r="AP28" s="15"/>
      <c r="AQ28" s="15"/>
      <c r="AR28" s="15"/>
      <c r="AS28" s="15"/>
      <c r="AT28" s="19" t="str">
        <f>IF(COUNTA(A28:I28)+COUNTA(N28:X28)+COUNTA(AA28:AE28)+COUNTA(AH28:AS28)=0,"",IF(AND(A28&lt;&gt;"",E28&lt;&gt;"",OR(F28&lt;&gt;"",G28&lt;&gt;""),H28&lt;&gt;"",I28&lt;&gt;"",J28&lt;&gt;"No en catálogo",S28&lt;&gt;"",T28&lt;&gt;"",U28&lt;&gt;"",V28&lt;&gt;"",OR(AR28&lt;&gt;"",AND(W28&lt;&gt;"",X28&lt;&gt;"",AA28&lt;&gt;"",AB28&lt;&gt;"")),OR(AS28&lt;&gt;"",AND(AD28&lt;&gt;"",AE28&lt;&gt;"",AH28&lt;&gt;"",AI28&lt;&gt;"")),AK28&lt;&gt;"",OR(AK28&lt;&gt;"programado",AL28&lt;&gt;""),OR(AM28&lt;&gt;"específica",AN28&lt;&gt;""),OR(AO28&lt;&gt;"específica",AP28&lt;&gt;"")),"OK","Revisar"))</f>
        <v/>
      </c>
    </row>
    <row r="29" ht="15" customHeight="1" spans="1:46" x14ac:dyDescent="0.25">
      <c r="A29" s="15"/>
      <c r="B29" s="15"/>
      <c r="C29" s="15"/>
      <c r="D29" s="15"/>
      <c r="E29" s="15"/>
      <c r="F29" s="15"/>
      <c r="G29" s="15"/>
      <c r="H29" s="15"/>
      <c r="I29" s="15"/>
      <c r="J29" s="19">
        <f>IF(OR(H29="",I29=""),"",IFERROR(INDEX(Catalogo_Vehiculos!$C$2:$C$1325,MATCH(TRUE(),INDEX(Catalogo_Vehiculos!$G$2:$G$1325=H29&amp;"|"&amp;I29,0),0)),"No en catálogo"))</f>
      </c>
      <c r="K29" s="19">
        <f>IF(OR(H29="",I29=""),"",IFERROR(INDEX(Catalogo_Vehiculos!$D$2:$D$1325,MATCH(TRUE(),INDEX(Catalogo_Vehiculos!$G$2:$G$1325=H29&amp;"|"&amp;I29,0),0)),"No en catálogo"))</f>
      </c>
      <c r="L29" s="19">
        <f>IF(OR(H29="",I29=""),"",IFERROR(INDEX(Catalogo_Vehiculos!$E$2:$E$1325,MATCH(TRUE(),INDEX(Catalogo_Vehiculos!$G$2:$G$1325=H29&amp;"|"&amp;I29,0),0)),"No en catálogo"))</f>
      </c>
      <c r="M29" s="19">
        <f>IF(OR(H29="",I29=""),"",IFERROR(INDEX(Catalogo_Vehiculos!$F$2:$F$1325,MATCH(TRUE(),INDEX(Catalogo_Vehiculos!$G$2:$G$1325=H29&amp;"|"&amp;I29,0),0)),"No en catálogo"))</f>
      </c>
      <c r="N29" s="20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9"/>
      <c r="Z29" s="19"/>
      <c r="AA29" s="15"/>
      <c r="AB29" s="15"/>
      <c r="AC29" s="15"/>
      <c r="AD29" s="15"/>
      <c r="AE29" s="15"/>
      <c r="AF29" s="19"/>
      <c r="AG29" s="19"/>
      <c r="AH29" s="15"/>
      <c r="AI29" s="15"/>
      <c r="AJ29" s="15"/>
      <c r="AK29" s="15"/>
      <c r="AL29" s="21"/>
      <c r="AM29" s="15"/>
      <c r="AN29" s="15"/>
      <c r="AO29" s="15"/>
      <c r="AP29" s="15"/>
      <c r="AQ29" s="15"/>
      <c r="AR29" s="15"/>
      <c r="AS29" s="15"/>
      <c r="AT29" s="19" t="str">
        <f>IF(COUNTA(A29:I29)+COUNTA(N29:X29)+COUNTA(AA29:AE29)+COUNTA(AH29:AS29)=0,"",IF(AND(A29&lt;&gt;"",E29&lt;&gt;"",OR(F29&lt;&gt;"",G29&lt;&gt;""),H29&lt;&gt;"",I29&lt;&gt;"",J29&lt;&gt;"No en catálogo",S29&lt;&gt;"",T29&lt;&gt;"",U29&lt;&gt;"",V29&lt;&gt;"",OR(AR29&lt;&gt;"",AND(W29&lt;&gt;"",X29&lt;&gt;"",AA29&lt;&gt;"",AB29&lt;&gt;"")),OR(AS29&lt;&gt;"",AND(AD29&lt;&gt;"",AE29&lt;&gt;"",AH29&lt;&gt;"",AI29&lt;&gt;"")),AK29&lt;&gt;"",OR(AK29&lt;&gt;"programado",AL29&lt;&gt;""),OR(AM29&lt;&gt;"específica",AN29&lt;&gt;""),OR(AO29&lt;&gt;"específica",AP29&lt;&gt;"")),"OK","Revisar"))</f>
        <v/>
      </c>
    </row>
    <row r="30" ht="15" customHeight="1" spans="1:46" x14ac:dyDescent="0.25">
      <c r="A30" s="15"/>
      <c r="B30" s="15"/>
      <c r="C30" s="15"/>
      <c r="D30" s="15"/>
      <c r="E30" s="15"/>
      <c r="F30" s="15"/>
      <c r="G30" s="15"/>
      <c r="H30" s="15"/>
      <c r="I30" s="15"/>
      <c r="J30" s="19">
        <f>IF(OR(H30="",I30=""),"",IFERROR(INDEX(Catalogo_Vehiculos!$C$2:$C$1325,MATCH(TRUE(),INDEX(Catalogo_Vehiculos!$G$2:$G$1325=H30&amp;"|"&amp;I30,0),0)),"No en catálogo"))</f>
      </c>
      <c r="K30" s="19">
        <f>IF(OR(H30="",I30=""),"",IFERROR(INDEX(Catalogo_Vehiculos!$D$2:$D$1325,MATCH(TRUE(),INDEX(Catalogo_Vehiculos!$G$2:$G$1325=H30&amp;"|"&amp;I30,0),0)),"No en catálogo"))</f>
      </c>
      <c r="L30" s="19">
        <f>IF(OR(H30="",I30=""),"",IFERROR(INDEX(Catalogo_Vehiculos!$E$2:$E$1325,MATCH(TRUE(),INDEX(Catalogo_Vehiculos!$G$2:$G$1325=H30&amp;"|"&amp;I30,0),0)),"No en catálogo"))</f>
      </c>
      <c r="M30" s="19">
        <f>IF(OR(H30="",I30=""),"",IFERROR(INDEX(Catalogo_Vehiculos!$F$2:$F$1325,MATCH(TRUE(),INDEX(Catalogo_Vehiculos!$G$2:$G$1325=H30&amp;"|"&amp;I30,0),0)),"No en catálogo"))</f>
      </c>
      <c r="N30" s="20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9"/>
      <c r="Z30" s="19"/>
      <c r="AA30" s="15"/>
      <c r="AB30" s="15"/>
      <c r="AC30" s="15"/>
      <c r="AD30" s="15"/>
      <c r="AE30" s="15"/>
      <c r="AF30" s="19"/>
      <c r="AG30" s="19"/>
      <c r="AH30" s="15"/>
      <c r="AI30" s="15"/>
      <c r="AJ30" s="15"/>
      <c r="AK30" s="15"/>
      <c r="AL30" s="21"/>
      <c r="AM30" s="15"/>
      <c r="AN30" s="15"/>
      <c r="AO30" s="15"/>
      <c r="AP30" s="15"/>
      <c r="AQ30" s="15"/>
      <c r="AR30" s="15"/>
      <c r="AS30" s="15"/>
      <c r="AT30" s="19" t="str">
        <f>IF(COUNTA(A30:I30)+COUNTA(N30:X30)+COUNTA(AA30:AE30)+COUNTA(AH30:AS30)=0,"",IF(AND(A30&lt;&gt;"",E30&lt;&gt;"",OR(F30&lt;&gt;"",G30&lt;&gt;""),H30&lt;&gt;"",I30&lt;&gt;"",J30&lt;&gt;"No en catálogo",S30&lt;&gt;"",T30&lt;&gt;"",U30&lt;&gt;"",V30&lt;&gt;"",OR(AR30&lt;&gt;"",AND(W30&lt;&gt;"",X30&lt;&gt;"",AA30&lt;&gt;"",AB30&lt;&gt;"")),OR(AS30&lt;&gt;"",AND(AD30&lt;&gt;"",AE30&lt;&gt;"",AH30&lt;&gt;"",AI30&lt;&gt;"")),AK30&lt;&gt;"",OR(AK30&lt;&gt;"programado",AL30&lt;&gt;""),OR(AM30&lt;&gt;"específica",AN30&lt;&gt;""),OR(AO30&lt;&gt;"específica",AP30&lt;&gt;"")),"OK","Revisar"))</f>
        <v/>
      </c>
    </row>
    <row r="31" ht="15" customHeight="1" spans="1:46" x14ac:dyDescent="0.25">
      <c r="A31" s="15"/>
      <c r="B31" s="15"/>
      <c r="C31" s="15"/>
      <c r="D31" s="15"/>
      <c r="E31" s="15"/>
      <c r="F31" s="15"/>
      <c r="G31" s="15"/>
      <c r="H31" s="15"/>
      <c r="I31" s="15"/>
      <c r="J31" s="19">
        <f>IF(OR(H31="",I31=""),"",IFERROR(INDEX(Catalogo_Vehiculos!$C$2:$C$1325,MATCH(TRUE(),INDEX(Catalogo_Vehiculos!$G$2:$G$1325=H31&amp;"|"&amp;I31,0),0)),"No en catálogo"))</f>
      </c>
      <c r="K31" s="19">
        <f>IF(OR(H31="",I31=""),"",IFERROR(INDEX(Catalogo_Vehiculos!$D$2:$D$1325,MATCH(TRUE(),INDEX(Catalogo_Vehiculos!$G$2:$G$1325=H31&amp;"|"&amp;I31,0),0)),"No en catálogo"))</f>
      </c>
      <c r="L31" s="19">
        <f>IF(OR(H31="",I31=""),"",IFERROR(INDEX(Catalogo_Vehiculos!$E$2:$E$1325,MATCH(TRUE(),INDEX(Catalogo_Vehiculos!$G$2:$G$1325=H31&amp;"|"&amp;I31,0),0)),"No en catálogo"))</f>
      </c>
      <c r="M31" s="19">
        <f>IF(OR(H31="",I31=""),"",IFERROR(INDEX(Catalogo_Vehiculos!$F$2:$F$1325,MATCH(TRUE(),INDEX(Catalogo_Vehiculos!$G$2:$G$1325=H31&amp;"|"&amp;I31,0),0)),"No en catálogo"))</f>
      </c>
      <c r="N31" s="20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9"/>
      <c r="Z31" s="19"/>
      <c r="AA31" s="15"/>
      <c r="AB31" s="15"/>
      <c r="AC31" s="15"/>
      <c r="AD31" s="15"/>
      <c r="AE31" s="15"/>
      <c r="AF31" s="19"/>
      <c r="AG31" s="19"/>
      <c r="AH31" s="15"/>
      <c r="AI31" s="15"/>
      <c r="AJ31" s="15"/>
      <c r="AK31" s="15"/>
      <c r="AL31" s="21"/>
      <c r="AM31" s="15"/>
      <c r="AN31" s="15"/>
      <c r="AO31" s="15"/>
      <c r="AP31" s="15"/>
      <c r="AQ31" s="15"/>
      <c r="AR31" s="15"/>
      <c r="AS31" s="15"/>
      <c r="AT31" s="19" t="str">
        <f>IF(COUNTA(A31:I31)+COUNTA(N31:X31)+COUNTA(AA31:AE31)+COUNTA(AH31:AS31)=0,"",IF(AND(A31&lt;&gt;"",E31&lt;&gt;"",OR(F31&lt;&gt;"",G31&lt;&gt;""),H31&lt;&gt;"",I31&lt;&gt;"",J31&lt;&gt;"No en catálogo",S31&lt;&gt;"",T31&lt;&gt;"",U31&lt;&gt;"",V31&lt;&gt;"",OR(AR31&lt;&gt;"",AND(W31&lt;&gt;"",X31&lt;&gt;"",AA31&lt;&gt;"",AB31&lt;&gt;"")),OR(AS31&lt;&gt;"",AND(AD31&lt;&gt;"",AE31&lt;&gt;"",AH31&lt;&gt;"",AI31&lt;&gt;"")),AK31&lt;&gt;"",OR(AK31&lt;&gt;"programado",AL31&lt;&gt;""),OR(AM31&lt;&gt;"específica",AN31&lt;&gt;""),OR(AO31&lt;&gt;"específica",AP31&lt;&gt;"")),"OK","Revisar"))</f>
        <v/>
      </c>
    </row>
    <row r="32" ht="15" customHeight="1" spans="1:46" x14ac:dyDescent="0.25">
      <c r="A32" s="15"/>
      <c r="B32" s="15"/>
      <c r="C32" s="15"/>
      <c r="D32" s="15"/>
      <c r="E32" s="15"/>
      <c r="F32" s="15"/>
      <c r="G32" s="15"/>
      <c r="H32" s="15"/>
      <c r="I32" s="15"/>
      <c r="J32" s="19">
        <f>IF(OR(H32="",I32=""),"",IFERROR(INDEX(Catalogo_Vehiculos!$C$2:$C$1325,MATCH(TRUE(),INDEX(Catalogo_Vehiculos!$G$2:$G$1325=H32&amp;"|"&amp;I32,0),0)),"No en catálogo"))</f>
      </c>
      <c r="K32" s="19">
        <f>IF(OR(H32="",I32=""),"",IFERROR(INDEX(Catalogo_Vehiculos!$D$2:$D$1325,MATCH(TRUE(),INDEX(Catalogo_Vehiculos!$G$2:$G$1325=H32&amp;"|"&amp;I32,0),0)),"No en catálogo"))</f>
      </c>
      <c r="L32" s="19">
        <f>IF(OR(H32="",I32=""),"",IFERROR(INDEX(Catalogo_Vehiculos!$E$2:$E$1325,MATCH(TRUE(),INDEX(Catalogo_Vehiculos!$G$2:$G$1325=H32&amp;"|"&amp;I32,0),0)),"No en catálogo"))</f>
      </c>
      <c r="M32" s="19">
        <f>IF(OR(H32="",I32=""),"",IFERROR(INDEX(Catalogo_Vehiculos!$F$2:$F$1325,MATCH(TRUE(),INDEX(Catalogo_Vehiculos!$G$2:$G$1325=H32&amp;"|"&amp;I32,0),0)),"No en catálogo"))</f>
      </c>
      <c r="N32" s="20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9"/>
      <c r="Z32" s="19"/>
      <c r="AA32" s="15"/>
      <c r="AB32" s="15"/>
      <c r="AC32" s="15"/>
      <c r="AD32" s="15"/>
      <c r="AE32" s="15"/>
      <c r="AF32" s="19"/>
      <c r="AG32" s="19"/>
      <c r="AH32" s="15"/>
      <c r="AI32" s="15"/>
      <c r="AJ32" s="15"/>
      <c r="AK32" s="15"/>
      <c r="AL32" s="21"/>
      <c r="AM32" s="15"/>
      <c r="AN32" s="15"/>
      <c r="AO32" s="15"/>
      <c r="AP32" s="15"/>
      <c r="AQ32" s="15"/>
      <c r="AR32" s="15"/>
      <c r="AS32" s="15"/>
      <c r="AT32" s="19" t="str">
        <f>IF(COUNTA(A32:I32)+COUNTA(N32:X32)+COUNTA(AA32:AE32)+COUNTA(AH32:AS32)=0,"",IF(AND(A32&lt;&gt;"",E32&lt;&gt;"",OR(F32&lt;&gt;"",G32&lt;&gt;""),H32&lt;&gt;"",I32&lt;&gt;"",J32&lt;&gt;"No en catálogo",S32&lt;&gt;"",T32&lt;&gt;"",U32&lt;&gt;"",V32&lt;&gt;"",OR(AR32&lt;&gt;"",AND(W32&lt;&gt;"",X32&lt;&gt;"",AA32&lt;&gt;"",AB32&lt;&gt;"")),OR(AS32&lt;&gt;"",AND(AD32&lt;&gt;"",AE32&lt;&gt;"",AH32&lt;&gt;"",AI32&lt;&gt;"")),AK32&lt;&gt;"",OR(AK32&lt;&gt;"programado",AL32&lt;&gt;""),OR(AM32&lt;&gt;"específica",AN32&lt;&gt;""),OR(AO32&lt;&gt;"específica",AP32&lt;&gt;"")),"OK","Revisar"))</f>
        <v/>
      </c>
    </row>
    <row r="33" ht="15" customHeight="1" spans="1:46" x14ac:dyDescent="0.25">
      <c r="A33" s="15"/>
      <c r="B33" s="15"/>
      <c r="C33" s="15"/>
      <c r="D33" s="15"/>
      <c r="E33" s="15"/>
      <c r="F33" s="15"/>
      <c r="G33" s="15"/>
      <c r="H33" s="15"/>
      <c r="I33" s="15"/>
      <c r="J33" s="19">
        <f>IF(OR(H33="",I33=""),"",IFERROR(INDEX(Catalogo_Vehiculos!$C$2:$C$1325,MATCH(TRUE(),INDEX(Catalogo_Vehiculos!$G$2:$G$1325=H33&amp;"|"&amp;I33,0),0)),"No en catálogo"))</f>
      </c>
      <c r="K33" s="19">
        <f>IF(OR(H33="",I33=""),"",IFERROR(INDEX(Catalogo_Vehiculos!$D$2:$D$1325,MATCH(TRUE(),INDEX(Catalogo_Vehiculos!$G$2:$G$1325=H33&amp;"|"&amp;I33,0),0)),"No en catálogo"))</f>
      </c>
      <c r="L33" s="19">
        <f>IF(OR(H33="",I33=""),"",IFERROR(INDEX(Catalogo_Vehiculos!$E$2:$E$1325,MATCH(TRUE(),INDEX(Catalogo_Vehiculos!$G$2:$G$1325=H33&amp;"|"&amp;I33,0),0)),"No en catálogo"))</f>
      </c>
      <c r="M33" s="19">
        <f>IF(OR(H33="",I33=""),"",IFERROR(INDEX(Catalogo_Vehiculos!$F$2:$F$1325,MATCH(TRUE(),INDEX(Catalogo_Vehiculos!$G$2:$G$1325=H33&amp;"|"&amp;I33,0),0)),"No en catálogo"))</f>
      </c>
      <c r="N33" s="20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9"/>
      <c r="Z33" s="19"/>
      <c r="AA33" s="15"/>
      <c r="AB33" s="15"/>
      <c r="AC33" s="15"/>
      <c r="AD33" s="15"/>
      <c r="AE33" s="15"/>
      <c r="AF33" s="19"/>
      <c r="AG33" s="19"/>
      <c r="AH33" s="15"/>
      <c r="AI33" s="15"/>
      <c r="AJ33" s="15"/>
      <c r="AK33" s="15"/>
      <c r="AL33" s="21"/>
      <c r="AM33" s="15"/>
      <c r="AN33" s="15"/>
      <c r="AO33" s="15"/>
      <c r="AP33" s="15"/>
      <c r="AQ33" s="15"/>
      <c r="AR33" s="15"/>
      <c r="AS33" s="15"/>
      <c r="AT33" s="19" t="str">
        <f>IF(COUNTA(A33:I33)+COUNTA(N33:X33)+COUNTA(AA33:AE33)+COUNTA(AH33:AS33)=0,"",IF(AND(A33&lt;&gt;"",E33&lt;&gt;"",OR(F33&lt;&gt;"",G33&lt;&gt;""),H33&lt;&gt;"",I33&lt;&gt;"",J33&lt;&gt;"No en catálogo",S33&lt;&gt;"",T33&lt;&gt;"",U33&lt;&gt;"",V33&lt;&gt;"",OR(AR33&lt;&gt;"",AND(W33&lt;&gt;"",X33&lt;&gt;"",AA33&lt;&gt;"",AB33&lt;&gt;"")),OR(AS33&lt;&gt;"",AND(AD33&lt;&gt;"",AE33&lt;&gt;"",AH33&lt;&gt;"",AI33&lt;&gt;"")),AK33&lt;&gt;"",OR(AK33&lt;&gt;"programado",AL33&lt;&gt;""),OR(AM33&lt;&gt;"específica",AN33&lt;&gt;""),OR(AO33&lt;&gt;"específica",AP33&lt;&gt;"")),"OK","Revisar"))</f>
        <v/>
      </c>
    </row>
    <row r="34" ht="15" customHeight="1" spans="1:46" x14ac:dyDescent="0.25">
      <c r="A34" s="15"/>
      <c r="B34" s="15"/>
      <c r="C34" s="15"/>
      <c r="D34" s="15"/>
      <c r="E34" s="15"/>
      <c r="F34" s="15"/>
      <c r="G34" s="15"/>
      <c r="H34" s="15"/>
      <c r="I34" s="15"/>
      <c r="J34" s="19">
        <f>IF(OR(H34="",I34=""),"",IFERROR(INDEX(Catalogo_Vehiculos!$C$2:$C$1325,MATCH(TRUE(),INDEX(Catalogo_Vehiculos!$G$2:$G$1325=H34&amp;"|"&amp;I34,0),0)),"No en catálogo"))</f>
      </c>
      <c r="K34" s="19">
        <f>IF(OR(H34="",I34=""),"",IFERROR(INDEX(Catalogo_Vehiculos!$D$2:$D$1325,MATCH(TRUE(),INDEX(Catalogo_Vehiculos!$G$2:$G$1325=H34&amp;"|"&amp;I34,0),0)),"No en catálogo"))</f>
      </c>
      <c r="L34" s="19">
        <f>IF(OR(H34="",I34=""),"",IFERROR(INDEX(Catalogo_Vehiculos!$E$2:$E$1325,MATCH(TRUE(),INDEX(Catalogo_Vehiculos!$G$2:$G$1325=H34&amp;"|"&amp;I34,0),0)),"No en catálogo"))</f>
      </c>
      <c r="M34" s="19">
        <f>IF(OR(H34="",I34=""),"",IFERROR(INDEX(Catalogo_Vehiculos!$F$2:$F$1325,MATCH(TRUE(),INDEX(Catalogo_Vehiculos!$G$2:$G$1325=H34&amp;"|"&amp;I34,0),0)),"No en catálogo"))</f>
      </c>
      <c r="N34" s="20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9"/>
      <c r="Z34" s="19"/>
      <c r="AA34" s="15"/>
      <c r="AB34" s="15"/>
      <c r="AC34" s="15"/>
      <c r="AD34" s="15"/>
      <c r="AE34" s="15"/>
      <c r="AF34" s="19"/>
      <c r="AG34" s="19"/>
      <c r="AH34" s="15"/>
      <c r="AI34" s="15"/>
      <c r="AJ34" s="15"/>
      <c r="AK34" s="15"/>
      <c r="AL34" s="21"/>
      <c r="AM34" s="15"/>
      <c r="AN34" s="15"/>
      <c r="AO34" s="15"/>
      <c r="AP34" s="15"/>
      <c r="AQ34" s="15"/>
      <c r="AR34" s="15"/>
      <c r="AS34" s="15"/>
      <c r="AT34" s="19" t="str">
        <f>IF(COUNTA(A34:I34)+COUNTA(N34:X34)+COUNTA(AA34:AE34)+COUNTA(AH34:AS34)=0,"",IF(AND(A34&lt;&gt;"",E34&lt;&gt;"",OR(F34&lt;&gt;"",G34&lt;&gt;""),H34&lt;&gt;"",I34&lt;&gt;"",J34&lt;&gt;"No en catálogo",S34&lt;&gt;"",T34&lt;&gt;"",U34&lt;&gt;"",V34&lt;&gt;"",OR(AR34&lt;&gt;"",AND(W34&lt;&gt;"",X34&lt;&gt;"",AA34&lt;&gt;"",AB34&lt;&gt;"")),OR(AS34&lt;&gt;"",AND(AD34&lt;&gt;"",AE34&lt;&gt;"",AH34&lt;&gt;"",AI34&lt;&gt;"")),AK34&lt;&gt;"",OR(AK34&lt;&gt;"programado",AL34&lt;&gt;""),OR(AM34&lt;&gt;"específica",AN34&lt;&gt;""),OR(AO34&lt;&gt;"específica",AP34&lt;&gt;"")),"OK","Revisar"))</f>
        <v/>
      </c>
    </row>
    <row r="35" ht="15" customHeight="1" spans="1:46" x14ac:dyDescent="0.25">
      <c r="A35" s="15"/>
      <c r="B35" s="15"/>
      <c r="C35" s="15"/>
      <c r="D35" s="15"/>
      <c r="E35" s="15"/>
      <c r="F35" s="15"/>
      <c r="G35" s="15"/>
      <c r="H35" s="15"/>
      <c r="I35" s="15"/>
      <c r="J35" s="19">
        <f>IF(OR(H35="",I35=""),"",IFERROR(INDEX(Catalogo_Vehiculos!$C$2:$C$1325,MATCH(TRUE(),INDEX(Catalogo_Vehiculos!$G$2:$G$1325=H35&amp;"|"&amp;I35,0),0)),"No en catálogo"))</f>
      </c>
      <c r="K35" s="19">
        <f>IF(OR(H35="",I35=""),"",IFERROR(INDEX(Catalogo_Vehiculos!$D$2:$D$1325,MATCH(TRUE(),INDEX(Catalogo_Vehiculos!$G$2:$G$1325=H35&amp;"|"&amp;I35,0),0)),"No en catálogo"))</f>
      </c>
      <c r="L35" s="19">
        <f>IF(OR(H35="",I35=""),"",IFERROR(INDEX(Catalogo_Vehiculos!$E$2:$E$1325,MATCH(TRUE(),INDEX(Catalogo_Vehiculos!$G$2:$G$1325=H35&amp;"|"&amp;I35,0),0)),"No en catálogo"))</f>
      </c>
      <c r="M35" s="19">
        <f>IF(OR(H35="",I35=""),"",IFERROR(INDEX(Catalogo_Vehiculos!$F$2:$F$1325,MATCH(TRUE(),INDEX(Catalogo_Vehiculos!$G$2:$G$1325=H35&amp;"|"&amp;I35,0),0)),"No en catálogo"))</f>
      </c>
      <c r="N35" s="20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9"/>
      <c r="Z35" s="19"/>
      <c r="AA35" s="15"/>
      <c r="AB35" s="15"/>
      <c r="AC35" s="15"/>
      <c r="AD35" s="15"/>
      <c r="AE35" s="15"/>
      <c r="AF35" s="19"/>
      <c r="AG35" s="19"/>
      <c r="AH35" s="15"/>
      <c r="AI35" s="15"/>
      <c r="AJ35" s="15"/>
      <c r="AK35" s="15"/>
      <c r="AL35" s="21"/>
      <c r="AM35" s="15"/>
      <c r="AN35" s="15"/>
      <c r="AO35" s="15"/>
      <c r="AP35" s="15"/>
      <c r="AQ35" s="15"/>
      <c r="AR35" s="15"/>
      <c r="AS35" s="15"/>
      <c r="AT35" s="19" t="str">
        <f>IF(COUNTA(A35:I35)+COUNTA(N35:X35)+COUNTA(AA35:AE35)+COUNTA(AH35:AS35)=0,"",IF(AND(A35&lt;&gt;"",E35&lt;&gt;"",OR(F35&lt;&gt;"",G35&lt;&gt;""),H35&lt;&gt;"",I35&lt;&gt;"",J35&lt;&gt;"No en catálogo",S35&lt;&gt;"",T35&lt;&gt;"",U35&lt;&gt;"",V35&lt;&gt;"",OR(AR35&lt;&gt;"",AND(W35&lt;&gt;"",X35&lt;&gt;"",AA35&lt;&gt;"",AB35&lt;&gt;"")),OR(AS35&lt;&gt;"",AND(AD35&lt;&gt;"",AE35&lt;&gt;"",AH35&lt;&gt;"",AI35&lt;&gt;"")),AK35&lt;&gt;"",OR(AK35&lt;&gt;"programado",AL35&lt;&gt;""),OR(AM35&lt;&gt;"específica",AN35&lt;&gt;""),OR(AO35&lt;&gt;"específica",AP35&lt;&gt;"")),"OK","Revisar"))</f>
        <v/>
      </c>
    </row>
    <row r="36" ht="15" customHeight="1" spans="1:46" x14ac:dyDescent="0.25">
      <c r="A36" s="15"/>
      <c r="B36" s="15"/>
      <c r="C36" s="15"/>
      <c r="D36" s="15"/>
      <c r="E36" s="15"/>
      <c r="F36" s="15"/>
      <c r="G36" s="15"/>
      <c r="H36" s="15"/>
      <c r="I36" s="15"/>
      <c r="J36" s="19">
        <f>IF(OR(H36="",I36=""),"",IFERROR(INDEX(Catalogo_Vehiculos!$C$2:$C$1325,MATCH(TRUE(),INDEX(Catalogo_Vehiculos!$G$2:$G$1325=H36&amp;"|"&amp;I36,0),0)),"No en catálogo"))</f>
      </c>
      <c r="K36" s="19">
        <f>IF(OR(H36="",I36=""),"",IFERROR(INDEX(Catalogo_Vehiculos!$D$2:$D$1325,MATCH(TRUE(),INDEX(Catalogo_Vehiculos!$G$2:$G$1325=H36&amp;"|"&amp;I36,0),0)),"No en catálogo"))</f>
      </c>
      <c r="L36" s="19">
        <f>IF(OR(H36="",I36=""),"",IFERROR(INDEX(Catalogo_Vehiculos!$E$2:$E$1325,MATCH(TRUE(),INDEX(Catalogo_Vehiculos!$G$2:$G$1325=H36&amp;"|"&amp;I36,0),0)),"No en catálogo"))</f>
      </c>
      <c r="M36" s="19">
        <f>IF(OR(H36="",I36=""),"",IFERROR(INDEX(Catalogo_Vehiculos!$F$2:$F$1325,MATCH(TRUE(),INDEX(Catalogo_Vehiculos!$G$2:$G$1325=H36&amp;"|"&amp;I36,0),0)),"No en catálogo"))</f>
      </c>
      <c r="N36" s="20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9"/>
      <c r="Z36" s="19"/>
      <c r="AA36" s="15"/>
      <c r="AB36" s="15"/>
      <c r="AC36" s="15"/>
      <c r="AD36" s="15"/>
      <c r="AE36" s="15"/>
      <c r="AF36" s="19"/>
      <c r="AG36" s="19"/>
      <c r="AH36" s="15"/>
      <c r="AI36" s="15"/>
      <c r="AJ36" s="15"/>
      <c r="AK36" s="15"/>
      <c r="AL36" s="21"/>
      <c r="AM36" s="15"/>
      <c r="AN36" s="15"/>
      <c r="AO36" s="15"/>
      <c r="AP36" s="15"/>
      <c r="AQ36" s="15"/>
      <c r="AR36" s="15"/>
      <c r="AS36" s="15"/>
      <c r="AT36" s="19" t="str">
        <f>IF(COUNTA(A36:I36)+COUNTA(N36:X36)+COUNTA(AA36:AE36)+COUNTA(AH36:AS36)=0,"",IF(AND(A36&lt;&gt;"",E36&lt;&gt;"",OR(F36&lt;&gt;"",G36&lt;&gt;""),H36&lt;&gt;"",I36&lt;&gt;"",J36&lt;&gt;"No en catálogo",S36&lt;&gt;"",T36&lt;&gt;"",U36&lt;&gt;"",V36&lt;&gt;"",OR(AR36&lt;&gt;"",AND(W36&lt;&gt;"",X36&lt;&gt;"",AA36&lt;&gt;"",AB36&lt;&gt;"")),OR(AS36&lt;&gt;"",AND(AD36&lt;&gt;"",AE36&lt;&gt;"",AH36&lt;&gt;"",AI36&lt;&gt;"")),AK36&lt;&gt;"",OR(AK36&lt;&gt;"programado",AL36&lt;&gt;""),OR(AM36&lt;&gt;"específica",AN36&lt;&gt;""),OR(AO36&lt;&gt;"específica",AP36&lt;&gt;"")),"OK","Revisar"))</f>
        <v/>
      </c>
    </row>
    <row r="37" ht="15" customHeight="1" spans="1:46" x14ac:dyDescent="0.25">
      <c r="A37" s="15"/>
      <c r="B37" s="15"/>
      <c r="C37" s="15"/>
      <c r="D37" s="15"/>
      <c r="E37" s="15"/>
      <c r="F37" s="15"/>
      <c r="G37" s="15"/>
      <c r="H37" s="15"/>
      <c r="I37" s="15"/>
      <c r="J37" s="19">
        <f>IF(OR(H37="",I37=""),"",IFERROR(INDEX(Catalogo_Vehiculos!$C$2:$C$1325,MATCH(TRUE(),INDEX(Catalogo_Vehiculos!$G$2:$G$1325=H37&amp;"|"&amp;I37,0),0)),"No en catálogo"))</f>
      </c>
      <c r="K37" s="19">
        <f>IF(OR(H37="",I37=""),"",IFERROR(INDEX(Catalogo_Vehiculos!$D$2:$D$1325,MATCH(TRUE(),INDEX(Catalogo_Vehiculos!$G$2:$G$1325=H37&amp;"|"&amp;I37,0),0)),"No en catálogo"))</f>
      </c>
      <c r="L37" s="19">
        <f>IF(OR(H37="",I37=""),"",IFERROR(INDEX(Catalogo_Vehiculos!$E$2:$E$1325,MATCH(TRUE(),INDEX(Catalogo_Vehiculos!$G$2:$G$1325=H37&amp;"|"&amp;I37,0),0)),"No en catálogo"))</f>
      </c>
      <c r="M37" s="19">
        <f>IF(OR(H37="",I37=""),"",IFERROR(INDEX(Catalogo_Vehiculos!$F$2:$F$1325,MATCH(TRUE(),INDEX(Catalogo_Vehiculos!$G$2:$G$1325=H37&amp;"|"&amp;I37,0),0)),"No en catálogo"))</f>
      </c>
      <c r="N37" s="20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9"/>
      <c r="Z37" s="19"/>
      <c r="AA37" s="15"/>
      <c r="AB37" s="15"/>
      <c r="AC37" s="15"/>
      <c r="AD37" s="15"/>
      <c r="AE37" s="15"/>
      <c r="AF37" s="19"/>
      <c r="AG37" s="19"/>
      <c r="AH37" s="15"/>
      <c r="AI37" s="15"/>
      <c r="AJ37" s="15"/>
      <c r="AK37" s="15"/>
      <c r="AL37" s="21"/>
      <c r="AM37" s="15"/>
      <c r="AN37" s="15"/>
      <c r="AO37" s="15"/>
      <c r="AP37" s="15"/>
      <c r="AQ37" s="15"/>
      <c r="AR37" s="15"/>
      <c r="AS37" s="15"/>
      <c r="AT37" s="19" t="str">
        <f>IF(COUNTA(A37:I37)+COUNTA(N37:X37)+COUNTA(AA37:AE37)+COUNTA(AH37:AS37)=0,"",IF(AND(A37&lt;&gt;"",E37&lt;&gt;"",OR(F37&lt;&gt;"",G37&lt;&gt;""),H37&lt;&gt;"",I37&lt;&gt;"",J37&lt;&gt;"No en catálogo",S37&lt;&gt;"",T37&lt;&gt;"",U37&lt;&gt;"",V37&lt;&gt;"",OR(AR37&lt;&gt;"",AND(W37&lt;&gt;"",X37&lt;&gt;"",AA37&lt;&gt;"",AB37&lt;&gt;"")),OR(AS37&lt;&gt;"",AND(AD37&lt;&gt;"",AE37&lt;&gt;"",AH37&lt;&gt;"",AI37&lt;&gt;"")),AK37&lt;&gt;"",OR(AK37&lt;&gt;"programado",AL37&lt;&gt;""),OR(AM37&lt;&gt;"específica",AN37&lt;&gt;""),OR(AO37&lt;&gt;"específica",AP37&lt;&gt;"")),"OK","Revisar"))</f>
        <v/>
      </c>
    </row>
    <row r="38" ht="15" customHeight="1" spans="1:46" x14ac:dyDescent="0.25">
      <c r="A38" s="15"/>
      <c r="B38" s="15"/>
      <c r="C38" s="15"/>
      <c r="D38" s="15"/>
      <c r="E38" s="15"/>
      <c r="F38" s="15"/>
      <c r="G38" s="15"/>
      <c r="H38" s="15"/>
      <c r="I38" s="15"/>
      <c r="J38" s="19">
        <f>IF(OR(H38="",I38=""),"",IFERROR(INDEX(Catalogo_Vehiculos!$C$2:$C$1325,MATCH(TRUE(),INDEX(Catalogo_Vehiculos!$G$2:$G$1325=H38&amp;"|"&amp;I38,0),0)),"No en catálogo"))</f>
      </c>
      <c r="K38" s="19">
        <f>IF(OR(H38="",I38=""),"",IFERROR(INDEX(Catalogo_Vehiculos!$D$2:$D$1325,MATCH(TRUE(),INDEX(Catalogo_Vehiculos!$G$2:$G$1325=H38&amp;"|"&amp;I38,0),0)),"No en catálogo"))</f>
      </c>
      <c r="L38" s="19">
        <f>IF(OR(H38="",I38=""),"",IFERROR(INDEX(Catalogo_Vehiculos!$E$2:$E$1325,MATCH(TRUE(),INDEX(Catalogo_Vehiculos!$G$2:$G$1325=H38&amp;"|"&amp;I38,0),0)),"No en catálogo"))</f>
      </c>
      <c r="M38" s="19">
        <f>IF(OR(H38="",I38=""),"",IFERROR(INDEX(Catalogo_Vehiculos!$F$2:$F$1325,MATCH(TRUE(),INDEX(Catalogo_Vehiculos!$G$2:$G$1325=H38&amp;"|"&amp;I38,0),0)),"No en catálogo"))</f>
      </c>
      <c r="N38" s="20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9"/>
      <c r="Z38" s="19"/>
      <c r="AA38" s="15"/>
      <c r="AB38" s="15"/>
      <c r="AC38" s="15"/>
      <c r="AD38" s="15"/>
      <c r="AE38" s="15"/>
      <c r="AF38" s="19"/>
      <c r="AG38" s="19"/>
      <c r="AH38" s="15"/>
      <c r="AI38" s="15"/>
      <c r="AJ38" s="15"/>
      <c r="AK38" s="15"/>
      <c r="AL38" s="21"/>
      <c r="AM38" s="15"/>
      <c r="AN38" s="15"/>
      <c r="AO38" s="15"/>
      <c r="AP38" s="15"/>
      <c r="AQ38" s="15"/>
      <c r="AR38" s="15"/>
      <c r="AS38" s="15"/>
      <c r="AT38" s="19" t="str">
        <f>IF(COUNTA(A38:I38)+COUNTA(N38:X38)+COUNTA(AA38:AE38)+COUNTA(AH38:AS38)=0,"",IF(AND(A38&lt;&gt;"",E38&lt;&gt;"",OR(F38&lt;&gt;"",G38&lt;&gt;""),H38&lt;&gt;"",I38&lt;&gt;"",J38&lt;&gt;"No en catálogo",S38&lt;&gt;"",T38&lt;&gt;"",U38&lt;&gt;"",V38&lt;&gt;"",OR(AR38&lt;&gt;"",AND(W38&lt;&gt;"",X38&lt;&gt;"",AA38&lt;&gt;"",AB38&lt;&gt;"")),OR(AS38&lt;&gt;"",AND(AD38&lt;&gt;"",AE38&lt;&gt;"",AH38&lt;&gt;"",AI38&lt;&gt;"")),AK38&lt;&gt;"",OR(AK38&lt;&gt;"programado",AL38&lt;&gt;""),OR(AM38&lt;&gt;"específica",AN38&lt;&gt;""),OR(AO38&lt;&gt;"específica",AP38&lt;&gt;"")),"OK","Revisar"))</f>
        <v/>
      </c>
    </row>
    <row r="39" ht="15" customHeight="1" spans="1:46" x14ac:dyDescent="0.25">
      <c r="A39" s="15"/>
      <c r="B39" s="15"/>
      <c r="C39" s="15"/>
      <c r="D39" s="15"/>
      <c r="E39" s="15"/>
      <c r="F39" s="15"/>
      <c r="G39" s="15"/>
      <c r="H39" s="15"/>
      <c r="I39" s="15"/>
      <c r="J39" s="19">
        <f>IF(OR(H39="",I39=""),"",IFERROR(INDEX(Catalogo_Vehiculos!$C$2:$C$1325,MATCH(TRUE(),INDEX(Catalogo_Vehiculos!$G$2:$G$1325=H39&amp;"|"&amp;I39,0),0)),"No en catálogo"))</f>
      </c>
      <c r="K39" s="19">
        <f>IF(OR(H39="",I39=""),"",IFERROR(INDEX(Catalogo_Vehiculos!$D$2:$D$1325,MATCH(TRUE(),INDEX(Catalogo_Vehiculos!$G$2:$G$1325=H39&amp;"|"&amp;I39,0),0)),"No en catálogo"))</f>
      </c>
      <c r="L39" s="19">
        <f>IF(OR(H39="",I39=""),"",IFERROR(INDEX(Catalogo_Vehiculos!$E$2:$E$1325,MATCH(TRUE(),INDEX(Catalogo_Vehiculos!$G$2:$G$1325=H39&amp;"|"&amp;I39,0),0)),"No en catálogo"))</f>
      </c>
      <c r="M39" s="19">
        <f>IF(OR(H39="",I39=""),"",IFERROR(INDEX(Catalogo_Vehiculos!$F$2:$F$1325,MATCH(TRUE(),INDEX(Catalogo_Vehiculos!$G$2:$G$1325=H39&amp;"|"&amp;I39,0),0)),"No en catálogo"))</f>
      </c>
      <c r="N39" s="20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9"/>
      <c r="Z39" s="19"/>
      <c r="AA39" s="15"/>
      <c r="AB39" s="15"/>
      <c r="AC39" s="15"/>
      <c r="AD39" s="15"/>
      <c r="AE39" s="15"/>
      <c r="AF39" s="19"/>
      <c r="AG39" s="19"/>
      <c r="AH39" s="15"/>
      <c r="AI39" s="15"/>
      <c r="AJ39" s="15"/>
      <c r="AK39" s="15"/>
      <c r="AL39" s="21"/>
      <c r="AM39" s="15"/>
      <c r="AN39" s="15"/>
      <c r="AO39" s="15"/>
      <c r="AP39" s="15"/>
      <c r="AQ39" s="15"/>
      <c r="AR39" s="15"/>
      <c r="AS39" s="15"/>
      <c r="AT39" s="19" t="str">
        <f>IF(COUNTA(A39:I39)+COUNTA(N39:X39)+COUNTA(AA39:AE39)+COUNTA(AH39:AS39)=0,"",IF(AND(A39&lt;&gt;"",E39&lt;&gt;"",OR(F39&lt;&gt;"",G39&lt;&gt;""),H39&lt;&gt;"",I39&lt;&gt;"",J39&lt;&gt;"No en catálogo",S39&lt;&gt;"",T39&lt;&gt;"",U39&lt;&gt;"",V39&lt;&gt;"",OR(AR39&lt;&gt;"",AND(W39&lt;&gt;"",X39&lt;&gt;"",AA39&lt;&gt;"",AB39&lt;&gt;"")),OR(AS39&lt;&gt;"",AND(AD39&lt;&gt;"",AE39&lt;&gt;"",AH39&lt;&gt;"",AI39&lt;&gt;"")),AK39&lt;&gt;"",OR(AK39&lt;&gt;"programado",AL39&lt;&gt;""),OR(AM39&lt;&gt;"específica",AN39&lt;&gt;""),OR(AO39&lt;&gt;"específica",AP39&lt;&gt;"")),"OK","Revisar"))</f>
        <v/>
      </c>
    </row>
    <row r="40" ht="15" customHeight="1" spans="1:46" x14ac:dyDescent="0.25">
      <c r="A40" s="15"/>
      <c r="B40" s="15"/>
      <c r="C40" s="15"/>
      <c r="D40" s="15"/>
      <c r="E40" s="15"/>
      <c r="F40" s="15"/>
      <c r="G40" s="15"/>
      <c r="H40" s="15"/>
      <c r="I40" s="15"/>
      <c r="J40" s="19">
        <f>IF(OR(H40="",I40=""),"",IFERROR(INDEX(Catalogo_Vehiculos!$C$2:$C$1325,MATCH(TRUE(),INDEX(Catalogo_Vehiculos!$G$2:$G$1325=H40&amp;"|"&amp;I40,0),0)),"No en catálogo"))</f>
      </c>
      <c r="K40" s="19">
        <f>IF(OR(H40="",I40=""),"",IFERROR(INDEX(Catalogo_Vehiculos!$D$2:$D$1325,MATCH(TRUE(),INDEX(Catalogo_Vehiculos!$G$2:$G$1325=H40&amp;"|"&amp;I40,0),0)),"No en catálogo"))</f>
      </c>
      <c r="L40" s="19">
        <f>IF(OR(H40="",I40=""),"",IFERROR(INDEX(Catalogo_Vehiculos!$E$2:$E$1325,MATCH(TRUE(),INDEX(Catalogo_Vehiculos!$G$2:$G$1325=H40&amp;"|"&amp;I40,0),0)),"No en catálogo"))</f>
      </c>
      <c r="M40" s="19">
        <f>IF(OR(H40="",I40=""),"",IFERROR(INDEX(Catalogo_Vehiculos!$F$2:$F$1325,MATCH(TRUE(),INDEX(Catalogo_Vehiculos!$G$2:$G$1325=H40&amp;"|"&amp;I40,0),0)),"No en catálogo"))</f>
      </c>
      <c r="N40" s="20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9"/>
      <c r="Z40" s="19"/>
      <c r="AA40" s="15"/>
      <c r="AB40" s="15"/>
      <c r="AC40" s="15"/>
      <c r="AD40" s="15"/>
      <c r="AE40" s="15"/>
      <c r="AF40" s="19"/>
      <c r="AG40" s="19"/>
      <c r="AH40" s="15"/>
      <c r="AI40" s="15"/>
      <c r="AJ40" s="15"/>
      <c r="AK40" s="15"/>
      <c r="AL40" s="21"/>
      <c r="AM40" s="15"/>
      <c r="AN40" s="15"/>
      <c r="AO40" s="15"/>
      <c r="AP40" s="15"/>
      <c r="AQ40" s="15"/>
      <c r="AR40" s="15"/>
      <c r="AS40" s="15"/>
      <c r="AT40" s="19" t="str">
        <f>IF(COUNTA(A40:I40)+COUNTA(N40:X40)+COUNTA(AA40:AE40)+COUNTA(AH40:AS40)=0,"",IF(AND(A40&lt;&gt;"",E40&lt;&gt;"",OR(F40&lt;&gt;"",G40&lt;&gt;""),H40&lt;&gt;"",I40&lt;&gt;"",J40&lt;&gt;"No en catálogo",S40&lt;&gt;"",T40&lt;&gt;"",U40&lt;&gt;"",V40&lt;&gt;"",OR(AR40&lt;&gt;"",AND(W40&lt;&gt;"",X40&lt;&gt;"",AA40&lt;&gt;"",AB40&lt;&gt;"")),OR(AS40&lt;&gt;"",AND(AD40&lt;&gt;"",AE40&lt;&gt;"",AH40&lt;&gt;"",AI40&lt;&gt;"")),AK40&lt;&gt;"",OR(AK40&lt;&gt;"programado",AL40&lt;&gt;""),OR(AM40&lt;&gt;"específica",AN40&lt;&gt;""),OR(AO40&lt;&gt;"específica",AP40&lt;&gt;"")),"OK","Revisar"))</f>
        <v/>
      </c>
    </row>
    <row r="41" ht="15" customHeight="1" spans="1:46" x14ac:dyDescent="0.25">
      <c r="A41" s="15"/>
      <c r="B41" s="15"/>
      <c r="C41" s="15"/>
      <c r="D41" s="15"/>
      <c r="E41" s="15"/>
      <c r="F41" s="15"/>
      <c r="G41" s="15"/>
      <c r="H41" s="15"/>
      <c r="I41" s="15"/>
      <c r="J41" s="19">
        <f>IF(OR(H41="",I41=""),"",IFERROR(INDEX(Catalogo_Vehiculos!$C$2:$C$1325,MATCH(TRUE(),INDEX(Catalogo_Vehiculos!$G$2:$G$1325=H41&amp;"|"&amp;I41,0),0)),"No en catálogo"))</f>
      </c>
      <c r="K41" s="19">
        <f>IF(OR(H41="",I41=""),"",IFERROR(INDEX(Catalogo_Vehiculos!$D$2:$D$1325,MATCH(TRUE(),INDEX(Catalogo_Vehiculos!$G$2:$G$1325=H41&amp;"|"&amp;I41,0),0)),"No en catálogo"))</f>
      </c>
      <c r="L41" s="19">
        <f>IF(OR(H41="",I41=""),"",IFERROR(INDEX(Catalogo_Vehiculos!$E$2:$E$1325,MATCH(TRUE(),INDEX(Catalogo_Vehiculos!$G$2:$G$1325=H41&amp;"|"&amp;I41,0),0)),"No en catálogo"))</f>
      </c>
      <c r="M41" s="19">
        <f>IF(OR(H41="",I41=""),"",IFERROR(INDEX(Catalogo_Vehiculos!$F$2:$F$1325,MATCH(TRUE(),INDEX(Catalogo_Vehiculos!$G$2:$G$1325=H41&amp;"|"&amp;I41,0),0)),"No en catálogo"))</f>
      </c>
      <c r="N41" s="20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9"/>
      <c r="Z41" s="19"/>
      <c r="AA41" s="15"/>
      <c r="AB41" s="15"/>
      <c r="AC41" s="15"/>
      <c r="AD41" s="15"/>
      <c r="AE41" s="15"/>
      <c r="AF41" s="19"/>
      <c r="AG41" s="19"/>
      <c r="AH41" s="15"/>
      <c r="AI41" s="15"/>
      <c r="AJ41" s="15"/>
      <c r="AK41" s="15"/>
      <c r="AL41" s="21"/>
      <c r="AM41" s="15"/>
      <c r="AN41" s="15"/>
      <c r="AO41" s="15"/>
      <c r="AP41" s="15"/>
      <c r="AQ41" s="15"/>
      <c r="AR41" s="15"/>
      <c r="AS41" s="15"/>
      <c r="AT41" s="19" t="str">
        <f>IF(COUNTA(A41:I41)+COUNTA(N41:X41)+COUNTA(AA41:AE41)+COUNTA(AH41:AS41)=0,"",IF(AND(A41&lt;&gt;"",E41&lt;&gt;"",OR(F41&lt;&gt;"",G41&lt;&gt;""),H41&lt;&gt;"",I41&lt;&gt;"",J41&lt;&gt;"No en catálogo",S41&lt;&gt;"",T41&lt;&gt;"",U41&lt;&gt;"",V41&lt;&gt;"",OR(AR41&lt;&gt;"",AND(W41&lt;&gt;"",X41&lt;&gt;"",AA41&lt;&gt;"",AB41&lt;&gt;"")),OR(AS41&lt;&gt;"",AND(AD41&lt;&gt;"",AE41&lt;&gt;"",AH41&lt;&gt;"",AI41&lt;&gt;"")),AK41&lt;&gt;"",OR(AK41&lt;&gt;"programado",AL41&lt;&gt;""),OR(AM41&lt;&gt;"específica",AN41&lt;&gt;""),OR(AO41&lt;&gt;"específica",AP41&lt;&gt;"")),"OK","Revisar"))</f>
        <v/>
      </c>
    </row>
    <row r="42" ht="15" customHeight="1" spans="1:46" x14ac:dyDescent="0.25">
      <c r="A42" s="15"/>
      <c r="B42" s="15"/>
      <c r="C42" s="15"/>
      <c r="D42" s="15"/>
      <c r="E42" s="15"/>
      <c r="F42" s="15"/>
      <c r="G42" s="15"/>
      <c r="H42" s="15"/>
      <c r="I42" s="15"/>
      <c r="J42" s="19">
        <f>IF(OR(H42="",I42=""),"",IFERROR(INDEX(Catalogo_Vehiculos!$C$2:$C$1325,MATCH(TRUE(),INDEX(Catalogo_Vehiculos!$G$2:$G$1325=H42&amp;"|"&amp;I42,0),0)),"No en catálogo"))</f>
      </c>
      <c r="K42" s="19">
        <f>IF(OR(H42="",I42=""),"",IFERROR(INDEX(Catalogo_Vehiculos!$D$2:$D$1325,MATCH(TRUE(),INDEX(Catalogo_Vehiculos!$G$2:$G$1325=H42&amp;"|"&amp;I42,0),0)),"No en catálogo"))</f>
      </c>
      <c r="L42" s="19">
        <f>IF(OR(H42="",I42=""),"",IFERROR(INDEX(Catalogo_Vehiculos!$E$2:$E$1325,MATCH(TRUE(),INDEX(Catalogo_Vehiculos!$G$2:$G$1325=H42&amp;"|"&amp;I42,0),0)),"No en catálogo"))</f>
      </c>
      <c r="M42" s="19">
        <f>IF(OR(H42="",I42=""),"",IFERROR(INDEX(Catalogo_Vehiculos!$F$2:$F$1325,MATCH(TRUE(),INDEX(Catalogo_Vehiculos!$G$2:$G$1325=H42&amp;"|"&amp;I42,0),0)),"No en catálogo"))</f>
      </c>
      <c r="N42" s="20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9"/>
      <c r="Z42" s="19"/>
      <c r="AA42" s="15"/>
      <c r="AB42" s="15"/>
      <c r="AC42" s="15"/>
      <c r="AD42" s="15"/>
      <c r="AE42" s="15"/>
      <c r="AF42" s="19"/>
      <c r="AG42" s="19"/>
      <c r="AH42" s="15"/>
      <c r="AI42" s="15"/>
      <c r="AJ42" s="15"/>
      <c r="AK42" s="15"/>
      <c r="AL42" s="21"/>
      <c r="AM42" s="15"/>
      <c r="AN42" s="15"/>
      <c r="AO42" s="15"/>
      <c r="AP42" s="15"/>
      <c r="AQ42" s="15"/>
      <c r="AR42" s="15"/>
      <c r="AS42" s="15"/>
      <c r="AT42" s="19" t="str">
        <f>IF(COUNTA(A42:I42)+COUNTA(N42:X42)+COUNTA(AA42:AE42)+COUNTA(AH42:AS42)=0,"",IF(AND(A42&lt;&gt;"",E42&lt;&gt;"",OR(F42&lt;&gt;"",G42&lt;&gt;""),H42&lt;&gt;"",I42&lt;&gt;"",J42&lt;&gt;"No en catálogo",S42&lt;&gt;"",T42&lt;&gt;"",U42&lt;&gt;"",V42&lt;&gt;"",OR(AR42&lt;&gt;"",AND(W42&lt;&gt;"",X42&lt;&gt;"",AA42&lt;&gt;"",AB42&lt;&gt;"")),OR(AS42&lt;&gt;"",AND(AD42&lt;&gt;"",AE42&lt;&gt;"",AH42&lt;&gt;"",AI42&lt;&gt;"")),AK42&lt;&gt;"",OR(AK42&lt;&gt;"programado",AL42&lt;&gt;""),OR(AM42&lt;&gt;"específica",AN42&lt;&gt;""),OR(AO42&lt;&gt;"específica",AP42&lt;&gt;"")),"OK","Revisar"))</f>
        <v/>
      </c>
    </row>
    <row r="43" ht="15" customHeight="1" spans="1:46" x14ac:dyDescent="0.25">
      <c r="A43" s="15"/>
      <c r="B43" s="15"/>
      <c r="C43" s="15"/>
      <c r="D43" s="15"/>
      <c r="E43" s="15"/>
      <c r="F43" s="15"/>
      <c r="G43" s="15"/>
      <c r="H43" s="15"/>
      <c r="I43" s="15"/>
      <c r="J43" s="19">
        <f>IF(OR(H43="",I43=""),"",IFERROR(INDEX(Catalogo_Vehiculos!$C$2:$C$1325,MATCH(TRUE(),INDEX(Catalogo_Vehiculos!$G$2:$G$1325=H43&amp;"|"&amp;I43,0),0)),"No en catálogo"))</f>
      </c>
      <c r="K43" s="19">
        <f>IF(OR(H43="",I43=""),"",IFERROR(INDEX(Catalogo_Vehiculos!$D$2:$D$1325,MATCH(TRUE(),INDEX(Catalogo_Vehiculos!$G$2:$G$1325=H43&amp;"|"&amp;I43,0),0)),"No en catálogo"))</f>
      </c>
      <c r="L43" s="19">
        <f>IF(OR(H43="",I43=""),"",IFERROR(INDEX(Catalogo_Vehiculos!$E$2:$E$1325,MATCH(TRUE(),INDEX(Catalogo_Vehiculos!$G$2:$G$1325=H43&amp;"|"&amp;I43,0),0)),"No en catálogo"))</f>
      </c>
      <c r="M43" s="19">
        <f>IF(OR(H43="",I43=""),"",IFERROR(INDEX(Catalogo_Vehiculos!$F$2:$F$1325,MATCH(TRUE(),INDEX(Catalogo_Vehiculos!$G$2:$G$1325=H43&amp;"|"&amp;I43,0),0)),"No en catálogo"))</f>
      </c>
      <c r="N43" s="20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9"/>
      <c r="Z43" s="19"/>
      <c r="AA43" s="15"/>
      <c r="AB43" s="15"/>
      <c r="AC43" s="15"/>
      <c r="AD43" s="15"/>
      <c r="AE43" s="15"/>
      <c r="AF43" s="19"/>
      <c r="AG43" s="19"/>
      <c r="AH43" s="15"/>
      <c r="AI43" s="15"/>
      <c r="AJ43" s="15"/>
      <c r="AK43" s="15"/>
      <c r="AL43" s="21"/>
      <c r="AM43" s="15"/>
      <c r="AN43" s="15"/>
      <c r="AO43" s="15"/>
      <c r="AP43" s="15"/>
      <c r="AQ43" s="15"/>
      <c r="AR43" s="15"/>
      <c r="AS43" s="15"/>
      <c r="AT43" s="19" t="str">
        <f>IF(COUNTA(A43:I43)+COUNTA(N43:X43)+COUNTA(AA43:AE43)+COUNTA(AH43:AS43)=0,"",IF(AND(A43&lt;&gt;"",E43&lt;&gt;"",OR(F43&lt;&gt;"",G43&lt;&gt;""),H43&lt;&gt;"",I43&lt;&gt;"",J43&lt;&gt;"No en catálogo",S43&lt;&gt;"",T43&lt;&gt;"",U43&lt;&gt;"",V43&lt;&gt;"",OR(AR43&lt;&gt;"",AND(W43&lt;&gt;"",X43&lt;&gt;"",AA43&lt;&gt;"",AB43&lt;&gt;"")),OR(AS43&lt;&gt;"",AND(AD43&lt;&gt;"",AE43&lt;&gt;"",AH43&lt;&gt;"",AI43&lt;&gt;"")),AK43&lt;&gt;"",OR(AK43&lt;&gt;"programado",AL43&lt;&gt;""),OR(AM43&lt;&gt;"específica",AN43&lt;&gt;""),OR(AO43&lt;&gt;"específica",AP43&lt;&gt;"")),"OK","Revisar"))</f>
        <v/>
      </c>
    </row>
    <row r="44" ht="15" customHeight="1" spans="1:46" x14ac:dyDescent="0.25">
      <c r="A44" s="15"/>
      <c r="B44" s="15"/>
      <c r="C44" s="15"/>
      <c r="D44" s="15"/>
      <c r="E44" s="15"/>
      <c r="F44" s="15"/>
      <c r="G44" s="15"/>
      <c r="H44" s="15"/>
      <c r="I44" s="15"/>
      <c r="J44" s="19">
        <f>IF(OR(H44="",I44=""),"",IFERROR(INDEX(Catalogo_Vehiculos!$C$2:$C$1325,MATCH(TRUE(),INDEX(Catalogo_Vehiculos!$G$2:$G$1325=H44&amp;"|"&amp;I44,0),0)),"No en catálogo"))</f>
      </c>
      <c r="K44" s="19">
        <f>IF(OR(H44="",I44=""),"",IFERROR(INDEX(Catalogo_Vehiculos!$D$2:$D$1325,MATCH(TRUE(),INDEX(Catalogo_Vehiculos!$G$2:$G$1325=H44&amp;"|"&amp;I44,0),0)),"No en catálogo"))</f>
      </c>
      <c r="L44" s="19">
        <f>IF(OR(H44="",I44=""),"",IFERROR(INDEX(Catalogo_Vehiculos!$E$2:$E$1325,MATCH(TRUE(),INDEX(Catalogo_Vehiculos!$G$2:$G$1325=H44&amp;"|"&amp;I44,0),0)),"No en catálogo"))</f>
      </c>
      <c r="M44" s="19">
        <f>IF(OR(H44="",I44=""),"",IFERROR(INDEX(Catalogo_Vehiculos!$F$2:$F$1325,MATCH(TRUE(),INDEX(Catalogo_Vehiculos!$G$2:$G$1325=H44&amp;"|"&amp;I44,0),0)),"No en catálogo"))</f>
      </c>
      <c r="N44" s="20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9"/>
      <c r="Z44" s="19"/>
      <c r="AA44" s="15"/>
      <c r="AB44" s="15"/>
      <c r="AC44" s="15"/>
      <c r="AD44" s="15"/>
      <c r="AE44" s="15"/>
      <c r="AF44" s="19"/>
      <c r="AG44" s="19"/>
      <c r="AH44" s="15"/>
      <c r="AI44" s="15"/>
      <c r="AJ44" s="15"/>
      <c r="AK44" s="15"/>
      <c r="AL44" s="21"/>
      <c r="AM44" s="15"/>
      <c r="AN44" s="15"/>
      <c r="AO44" s="15"/>
      <c r="AP44" s="15"/>
      <c r="AQ44" s="15"/>
      <c r="AR44" s="15"/>
      <c r="AS44" s="15"/>
      <c r="AT44" s="19" t="str">
        <f>IF(COUNTA(A44:I44)+COUNTA(N44:X44)+COUNTA(AA44:AE44)+COUNTA(AH44:AS44)=0,"",IF(AND(A44&lt;&gt;"",E44&lt;&gt;"",OR(F44&lt;&gt;"",G44&lt;&gt;""),H44&lt;&gt;"",I44&lt;&gt;"",J44&lt;&gt;"No en catálogo",S44&lt;&gt;"",T44&lt;&gt;"",U44&lt;&gt;"",V44&lt;&gt;"",OR(AR44&lt;&gt;"",AND(W44&lt;&gt;"",X44&lt;&gt;"",AA44&lt;&gt;"",AB44&lt;&gt;"")),OR(AS44&lt;&gt;"",AND(AD44&lt;&gt;"",AE44&lt;&gt;"",AH44&lt;&gt;"",AI44&lt;&gt;"")),AK44&lt;&gt;"",OR(AK44&lt;&gt;"programado",AL44&lt;&gt;""),OR(AM44&lt;&gt;"específica",AN44&lt;&gt;""),OR(AO44&lt;&gt;"específica",AP44&lt;&gt;"")),"OK","Revisar"))</f>
        <v/>
      </c>
    </row>
    <row r="45" ht="15" customHeight="1" spans="1:46" x14ac:dyDescent="0.25">
      <c r="A45" s="15"/>
      <c r="B45" s="15"/>
      <c r="C45" s="15"/>
      <c r="D45" s="15"/>
      <c r="E45" s="15"/>
      <c r="F45" s="15"/>
      <c r="G45" s="15"/>
      <c r="H45" s="15"/>
      <c r="I45" s="15"/>
      <c r="J45" s="19">
        <f>IF(OR(H45="",I45=""),"",IFERROR(INDEX(Catalogo_Vehiculos!$C$2:$C$1325,MATCH(TRUE(),INDEX(Catalogo_Vehiculos!$G$2:$G$1325=H45&amp;"|"&amp;I45,0),0)),"No en catálogo"))</f>
      </c>
      <c r="K45" s="19">
        <f>IF(OR(H45="",I45=""),"",IFERROR(INDEX(Catalogo_Vehiculos!$D$2:$D$1325,MATCH(TRUE(),INDEX(Catalogo_Vehiculos!$G$2:$G$1325=H45&amp;"|"&amp;I45,0),0)),"No en catálogo"))</f>
      </c>
      <c r="L45" s="19">
        <f>IF(OR(H45="",I45=""),"",IFERROR(INDEX(Catalogo_Vehiculos!$E$2:$E$1325,MATCH(TRUE(),INDEX(Catalogo_Vehiculos!$G$2:$G$1325=H45&amp;"|"&amp;I45,0),0)),"No en catálogo"))</f>
      </c>
      <c r="M45" s="19">
        <f>IF(OR(H45="",I45=""),"",IFERROR(INDEX(Catalogo_Vehiculos!$F$2:$F$1325,MATCH(TRUE(),INDEX(Catalogo_Vehiculos!$G$2:$G$1325=H45&amp;"|"&amp;I45,0),0)),"No en catálogo"))</f>
      </c>
      <c r="N45" s="20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9"/>
      <c r="Z45" s="19"/>
      <c r="AA45" s="15"/>
      <c r="AB45" s="15"/>
      <c r="AC45" s="15"/>
      <c r="AD45" s="15"/>
      <c r="AE45" s="15"/>
      <c r="AF45" s="19"/>
      <c r="AG45" s="19"/>
      <c r="AH45" s="15"/>
      <c r="AI45" s="15"/>
      <c r="AJ45" s="15"/>
      <c r="AK45" s="15"/>
      <c r="AL45" s="21"/>
      <c r="AM45" s="15"/>
      <c r="AN45" s="15"/>
      <c r="AO45" s="15"/>
      <c r="AP45" s="15"/>
      <c r="AQ45" s="15"/>
      <c r="AR45" s="15"/>
      <c r="AS45" s="15"/>
      <c r="AT45" s="19" t="str">
        <f>IF(COUNTA(A45:I45)+COUNTA(N45:X45)+COUNTA(AA45:AE45)+COUNTA(AH45:AS45)=0,"",IF(AND(A45&lt;&gt;"",E45&lt;&gt;"",OR(F45&lt;&gt;"",G45&lt;&gt;""),H45&lt;&gt;"",I45&lt;&gt;"",J45&lt;&gt;"No en catálogo",S45&lt;&gt;"",T45&lt;&gt;"",U45&lt;&gt;"",V45&lt;&gt;"",OR(AR45&lt;&gt;"",AND(W45&lt;&gt;"",X45&lt;&gt;"",AA45&lt;&gt;"",AB45&lt;&gt;"")),OR(AS45&lt;&gt;"",AND(AD45&lt;&gt;"",AE45&lt;&gt;"",AH45&lt;&gt;"",AI45&lt;&gt;"")),AK45&lt;&gt;"",OR(AK45&lt;&gt;"programado",AL45&lt;&gt;""),OR(AM45&lt;&gt;"específica",AN45&lt;&gt;""),OR(AO45&lt;&gt;"específica",AP45&lt;&gt;"")),"OK","Revisar"))</f>
        <v/>
      </c>
    </row>
    <row r="46" ht="15" customHeight="1" spans="1:46" x14ac:dyDescent="0.25">
      <c r="A46" s="15"/>
      <c r="B46" s="15"/>
      <c r="C46" s="15"/>
      <c r="D46" s="15"/>
      <c r="E46" s="15"/>
      <c r="F46" s="15"/>
      <c r="G46" s="15"/>
      <c r="H46" s="15"/>
      <c r="I46" s="15"/>
      <c r="J46" s="19">
        <f>IF(OR(H46="",I46=""),"",IFERROR(INDEX(Catalogo_Vehiculos!$C$2:$C$1325,MATCH(TRUE(),INDEX(Catalogo_Vehiculos!$G$2:$G$1325=H46&amp;"|"&amp;I46,0),0)),"No en catálogo"))</f>
      </c>
      <c r="K46" s="19">
        <f>IF(OR(H46="",I46=""),"",IFERROR(INDEX(Catalogo_Vehiculos!$D$2:$D$1325,MATCH(TRUE(),INDEX(Catalogo_Vehiculos!$G$2:$G$1325=H46&amp;"|"&amp;I46,0),0)),"No en catálogo"))</f>
      </c>
      <c r="L46" s="19">
        <f>IF(OR(H46="",I46=""),"",IFERROR(INDEX(Catalogo_Vehiculos!$E$2:$E$1325,MATCH(TRUE(),INDEX(Catalogo_Vehiculos!$G$2:$G$1325=H46&amp;"|"&amp;I46,0),0)),"No en catálogo"))</f>
      </c>
      <c r="M46" s="19">
        <f>IF(OR(H46="",I46=""),"",IFERROR(INDEX(Catalogo_Vehiculos!$F$2:$F$1325,MATCH(TRUE(),INDEX(Catalogo_Vehiculos!$G$2:$G$1325=H46&amp;"|"&amp;I46,0),0)),"No en catálogo"))</f>
      </c>
      <c r="N46" s="20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9"/>
      <c r="Z46" s="19"/>
      <c r="AA46" s="15"/>
      <c r="AB46" s="15"/>
      <c r="AC46" s="15"/>
      <c r="AD46" s="15"/>
      <c r="AE46" s="15"/>
      <c r="AF46" s="19"/>
      <c r="AG46" s="19"/>
      <c r="AH46" s="15"/>
      <c r="AI46" s="15"/>
      <c r="AJ46" s="15"/>
      <c r="AK46" s="15"/>
      <c r="AL46" s="21"/>
      <c r="AM46" s="15"/>
      <c r="AN46" s="15"/>
      <c r="AO46" s="15"/>
      <c r="AP46" s="15"/>
      <c r="AQ46" s="15"/>
      <c r="AR46" s="15"/>
      <c r="AS46" s="15"/>
      <c r="AT46" s="19" t="str">
        <f>IF(COUNTA(A46:I46)+COUNTA(N46:X46)+COUNTA(AA46:AE46)+COUNTA(AH46:AS46)=0,"",IF(AND(A46&lt;&gt;"",E46&lt;&gt;"",OR(F46&lt;&gt;"",G46&lt;&gt;""),H46&lt;&gt;"",I46&lt;&gt;"",J46&lt;&gt;"No en catálogo",S46&lt;&gt;"",T46&lt;&gt;"",U46&lt;&gt;"",V46&lt;&gt;"",OR(AR46&lt;&gt;"",AND(W46&lt;&gt;"",X46&lt;&gt;"",AA46&lt;&gt;"",AB46&lt;&gt;"")),OR(AS46&lt;&gt;"",AND(AD46&lt;&gt;"",AE46&lt;&gt;"",AH46&lt;&gt;"",AI46&lt;&gt;"")),AK46&lt;&gt;"",OR(AK46&lt;&gt;"programado",AL46&lt;&gt;""),OR(AM46&lt;&gt;"específica",AN46&lt;&gt;""),OR(AO46&lt;&gt;"específica",AP46&lt;&gt;"")),"OK","Revisar"))</f>
        <v/>
      </c>
    </row>
    <row r="47" ht="15" customHeight="1" spans="1:46" x14ac:dyDescent="0.25">
      <c r="A47" s="15"/>
      <c r="B47" s="15"/>
      <c r="C47" s="15"/>
      <c r="D47" s="15"/>
      <c r="E47" s="15"/>
      <c r="F47" s="15"/>
      <c r="G47" s="15"/>
      <c r="H47" s="15"/>
      <c r="I47" s="15"/>
      <c r="J47" s="19">
        <f>IF(OR(H47="",I47=""),"",IFERROR(INDEX(Catalogo_Vehiculos!$C$2:$C$1325,MATCH(TRUE(),INDEX(Catalogo_Vehiculos!$G$2:$G$1325=H47&amp;"|"&amp;I47,0),0)),"No en catálogo"))</f>
      </c>
      <c r="K47" s="19">
        <f>IF(OR(H47="",I47=""),"",IFERROR(INDEX(Catalogo_Vehiculos!$D$2:$D$1325,MATCH(TRUE(),INDEX(Catalogo_Vehiculos!$G$2:$G$1325=H47&amp;"|"&amp;I47,0),0)),"No en catálogo"))</f>
      </c>
      <c r="L47" s="19">
        <f>IF(OR(H47="",I47=""),"",IFERROR(INDEX(Catalogo_Vehiculos!$E$2:$E$1325,MATCH(TRUE(),INDEX(Catalogo_Vehiculos!$G$2:$G$1325=H47&amp;"|"&amp;I47,0),0)),"No en catálogo"))</f>
      </c>
      <c r="M47" s="19">
        <f>IF(OR(H47="",I47=""),"",IFERROR(INDEX(Catalogo_Vehiculos!$F$2:$F$1325,MATCH(TRUE(),INDEX(Catalogo_Vehiculos!$G$2:$G$1325=H47&amp;"|"&amp;I47,0),0)),"No en catálogo"))</f>
      </c>
      <c r="N47" s="20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9"/>
      <c r="Z47" s="19"/>
      <c r="AA47" s="15"/>
      <c r="AB47" s="15"/>
      <c r="AC47" s="15"/>
      <c r="AD47" s="15"/>
      <c r="AE47" s="15"/>
      <c r="AF47" s="19"/>
      <c r="AG47" s="19"/>
      <c r="AH47" s="15"/>
      <c r="AI47" s="15"/>
      <c r="AJ47" s="15"/>
      <c r="AK47" s="15"/>
      <c r="AL47" s="21"/>
      <c r="AM47" s="15"/>
      <c r="AN47" s="15"/>
      <c r="AO47" s="15"/>
      <c r="AP47" s="15"/>
      <c r="AQ47" s="15"/>
      <c r="AR47" s="15"/>
      <c r="AS47" s="15"/>
      <c r="AT47" s="19" t="str">
        <f>IF(COUNTA(A47:I47)+COUNTA(N47:X47)+COUNTA(AA47:AE47)+COUNTA(AH47:AS47)=0,"",IF(AND(A47&lt;&gt;"",E47&lt;&gt;"",OR(F47&lt;&gt;"",G47&lt;&gt;""),H47&lt;&gt;"",I47&lt;&gt;"",J47&lt;&gt;"No en catálogo",S47&lt;&gt;"",T47&lt;&gt;"",U47&lt;&gt;"",V47&lt;&gt;"",OR(AR47&lt;&gt;"",AND(W47&lt;&gt;"",X47&lt;&gt;"",AA47&lt;&gt;"",AB47&lt;&gt;"")),OR(AS47&lt;&gt;"",AND(AD47&lt;&gt;"",AE47&lt;&gt;"",AH47&lt;&gt;"",AI47&lt;&gt;"")),AK47&lt;&gt;"",OR(AK47&lt;&gt;"programado",AL47&lt;&gt;""),OR(AM47&lt;&gt;"específica",AN47&lt;&gt;""),OR(AO47&lt;&gt;"específica",AP47&lt;&gt;"")),"OK","Revisar"))</f>
        <v/>
      </c>
    </row>
    <row r="48" ht="15" customHeight="1" spans="1:46" x14ac:dyDescent="0.25">
      <c r="A48" s="15"/>
      <c r="B48" s="15"/>
      <c r="C48" s="15"/>
      <c r="D48" s="15"/>
      <c r="E48" s="15"/>
      <c r="F48" s="15"/>
      <c r="G48" s="15"/>
      <c r="H48" s="15"/>
      <c r="I48" s="15"/>
      <c r="J48" s="19">
        <f>IF(OR(H48="",I48=""),"",IFERROR(INDEX(Catalogo_Vehiculos!$C$2:$C$1325,MATCH(TRUE(),INDEX(Catalogo_Vehiculos!$G$2:$G$1325=H48&amp;"|"&amp;I48,0),0)),"No en catálogo"))</f>
      </c>
      <c r="K48" s="19">
        <f>IF(OR(H48="",I48=""),"",IFERROR(INDEX(Catalogo_Vehiculos!$D$2:$D$1325,MATCH(TRUE(),INDEX(Catalogo_Vehiculos!$G$2:$G$1325=H48&amp;"|"&amp;I48,0),0)),"No en catálogo"))</f>
      </c>
      <c r="L48" s="19">
        <f>IF(OR(H48="",I48=""),"",IFERROR(INDEX(Catalogo_Vehiculos!$E$2:$E$1325,MATCH(TRUE(),INDEX(Catalogo_Vehiculos!$G$2:$G$1325=H48&amp;"|"&amp;I48,0),0)),"No en catálogo"))</f>
      </c>
      <c r="M48" s="19">
        <f>IF(OR(H48="",I48=""),"",IFERROR(INDEX(Catalogo_Vehiculos!$F$2:$F$1325,MATCH(TRUE(),INDEX(Catalogo_Vehiculos!$G$2:$G$1325=H48&amp;"|"&amp;I48,0),0)),"No en catálogo"))</f>
      </c>
      <c r="N48" s="20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9"/>
      <c r="Z48" s="19"/>
      <c r="AA48" s="15"/>
      <c r="AB48" s="15"/>
      <c r="AC48" s="15"/>
      <c r="AD48" s="15"/>
      <c r="AE48" s="15"/>
      <c r="AF48" s="19"/>
      <c r="AG48" s="19"/>
      <c r="AH48" s="15"/>
      <c r="AI48" s="15"/>
      <c r="AJ48" s="15"/>
      <c r="AK48" s="15"/>
      <c r="AL48" s="21"/>
      <c r="AM48" s="15"/>
      <c r="AN48" s="15"/>
      <c r="AO48" s="15"/>
      <c r="AP48" s="15"/>
      <c r="AQ48" s="15"/>
      <c r="AR48" s="15"/>
      <c r="AS48" s="15"/>
      <c r="AT48" s="19" t="str">
        <f>IF(COUNTA(A48:I48)+COUNTA(N48:X48)+COUNTA(AA48:AE48)+COUNTA(AH48:AS48)=0,"",IF(AND(A48&lt;&gt;"",E48&lt;&gt;"",OR(F48&lt;&gt;"",G48&lt;&gt;""),H48&lt;&gt;"",I48&lt;&gt;"",J48&lt;&gt;"No en catálogo",S48&lt;&gt;"",T48&lt;&gt;"",U48&lt;&gt;"",V48&lt;&gt;"",OR(AR48&lt;&gt;"",AND(W48&lt;&gt;"",X48&lt;&gt;"",AA48&lt;&gt;"",AB48&lt;&gt;"")),OR(AS48&lt;&gt;"",AND(AD48&lt;&gt;"",AE48&lt;&gt;"",AH48&lt;&gt;"",AI48&lt;&gt;"")),AK48&lt;&gt;"",OR(AK48&lt;&gt;"programado",AL48&lt;&gt;""),OR(AM48&lt;&gt;"específica",AN48&lt;&gt;""),OR(AO48&lt;&gt;"específica",AP48&lt;&gt;"")),"OK","Revisar"))</f>
        <v/>
      </c>
    </row>
    <row r="49" ht="15" customHeight="1" spans="1:46" x14ac:dyDescent="0.25">
      <c r="A49" s="15"/>
      <c r="B49" s="15"/>
      <c r="C49" s="15"/>
      <c r="D49" s="15"/>
      <c r="E49" s="15"/>
      <c r="F49" s="15"/>
      <c r="G49" s="15"/>
      <c r="H49" s="15"/>
      <c r="I49" s="15"/>
      <c r="J49" s="19">
        <f>IF(OR(H49="",I49=""),"",IFERROR(INDEX(Catalogo_Vehiculos!$C$2:$C$1325,MATCH(TRUE(),INDEX(Catalogo_Vehiculos!$G$2:$G$1325=H49&amp;"|"&amp;I49,0),0)),"No en catálogo"))</f>
      </c>
      <c r="K49" s="19">
        <f>IF(OR(H49="",I49=""),"",IFERROR(INDEX(Catalogo_Vehiculos!$D$2:$D$1325,MATCH(TRUE(),INDEX(Catalogo_Vehiculos!$G$2:$G$1325=H49&amp;"|"&amp;I49,0),0)),"No en catálogo"))</f>
      </c>
      <c r="L49" s="19">
        <f>IF(OR(H49="",I49=""),"",IFERROR(INDEX(Catalogo_Vehiculos!$E$2:$E$1325,MATCH(TRUE(),INDEX(Catalogo_Vehiculos!$G$2:$G$1325=H49&amp;"|"&amp;I49,0),0)),"No en catálogo"))</f>
      </c>
      <c r="M49" s="19">
        <f>IF(OR(H49="",I49=""),"",IFERROR(INDEX(Catalogo_Vehiculos!$F$2:$F$1325,MATCH(TRUE(),INDEX(Catalogo_Vehiculos!$G$2:$G$1325=H49&amp;"|"&amp;I49,0),0)),"No en catálogo"))</f>
      </c>
      <c r="N49" s="20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9"/>
      <c r="Z49" s="19"/>
      <c r="AA49" s="15"/>
      <c r="AB49" s="15"/>
      <c r="AC49" s="15"/>
      <c r="AD49" s="15"/>
      <c r="AE49" s="15"/>
      <c r="AF49" s="19"/>
      <c r="AG49" s="19"/>
      <c r="AH49" s="15"/>
      <c r="AI49" s="15"/>
      <c r="AJ49" s="15"/>
      <c r="AK49" s="15"/>
      <c r="AL49" s="21"/>
      <c r="AM49" s="15"/>
      <c r="AN49" s="15"/>
      <c r="AO49" s="15"/>
      <c r="AP49" s="15"/>
      <c r="AQ49" s="15"/>
      <c r="AR49" s="15"/>
      <c r="AS49" s="15"/>
      <c r="AT49" s="19" t="str">
        <f>IF(COUNTA(A49:I49)+COUNTA(N49:X49)+COUNTA(AA49:AE49)+COUNTA(AH49:AS49)=0,"",IF(AND(A49&lt;&gt;"",E49&lt;&gt;"",OR(F49&lt;&gt;"",G49&lt;&gt;""),H49&lt;&gt;"",I49&lt;&gt;"",J49&lt;&gt;"No en catálogo",S49&lt;&gt;"",T49&lt;&gt;"",U49&lt;&gt;"",V49&lt;&gt;"",OR(AR49&lt;&gt;"",AND(W49&lt;&gt;"",X49&lt;&gt;"",AA49&lt;&gt;"",AB49&lt;&gt;"")),OR(AS49&lt;&gt;"",AND(AD49&lt;&gt;"",AE49&lt;&gt;"",AH49&lt;&gt;"",AI49&lt;&gt;"")),AK49&lt;&gt;"",OR(AK49&lt;&gt;"programado",AL49&lt;&gt;""),OR(AM49&lt;&gt;"específica",AN49&lt;&gt;""),OR(AO49&lt;&gt;"específica",AP49&lt;&gt;"")),"OK","Revisar"))</f>
        <v/>
      </c>
    </row>
    <row r="50" ht="15" customHeight="1" spans="1:46" x14ac:dyDescent="0.25">
      <c r="A50" s="15"/>
      <c r="B50" s="15"/>
      <c r="C50" s="15"/>
      <c r="D50" s="15"/>
      <c r="E50" s="15"/>
      <c r="F50" s="15"/>
      <c r="G50" s="15"/>
      <c r="H50" s="15"/>
      <c r="I50" s="15"/>
      <c r="J50" s="19">
        <f>IF(OR(H50="",I50=""),"",IFERROR(INDEX(Catalogo_Vehiculos!$C$2:$C$1325,MATCH(TRUE(),INDEX(Catalogo_Vehiculos!$G$2:$G$1325=H50&amp;"|"&amp;I50,0),0)),"No en catálogo"))</f>
      </c>
      <c r="K50" s="19">
        <f>IF(OR(H50="",I50=""),"",IFERROR(INDEX(Catalogo_Vehiculos!$D$2:$D$1325,MATCH(TRUE(),INDEX(Catalogo_Vehiculos!$G$2:$G$1325=H50&amp;"|"&amp;I50,0),0)),"No en catálogo"))</f>
      </c>
      <c r="L50" s="19">
        <f>IF(OR(H50="",I50=""),"",IFERROR(INDEX(Catalogo_Vehiculos!$E$2:$E$1325,MATCH(TRUE(),INDEX(Catalogo_Vehiculos!$G$2:$G$1325=H50&amp;"|"&amp;I50,0),0)),"No en catálogo"))</f>
      </c>
      <c r="M50" s="19">
        <f>IF(OR(H50="",I50=""),"",IFERROR(INDEX(Catalogo_Vehiculos!$F$2:$F$1325,MATCH(TRUE(),INDEX(Catalogo_Vehiculos!$G$2:$G$1325=H50&amp;"|"&amp;I50,0),0)),"No en catálogo"))</f>
      </c>
      <c r="N50" s="20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9"/>
      <c r="Z50" s="19"/>
      <c r="AA50" s="15"/>
      <c r="AB50" s="15"/>
      <c r="AC50" s="15"/>
      <c r="AD50" s="15"/>
      <c r="AE50" s="15"/>
      <c r="AF50" s="19"/>
      <c r="AG50" s="19"/>
      <c r="AH50" s="15"/>
      <c r="AI50" s="15"/>
      <c r="AJ50" s="15"/>
      <c r="AK50" s="15"/>
      <c r="AL50" s="21"/>
      <c r="AM50" s="15"/>
      <c r="AN50" s="15"/>
      <c r="AO50" s="15"/>
      <c r="AP50" s="15"/>
      <c r="AQ50" s="15"/>
      <c r="AR50" s="15"/>
      <c r="AS50" s="15"/>
      <c r="AT50" s="19" t="str">
        <f>IF(COUNTA(A50:I50)+COUNTA(N50:X50)+COUNTA(AA50:AE50)+COUNTA(AH50:AS50)=0,"",IF(AND(A50&lt;&gt;"",E50&lt;&gt;"",OR(F50&lt;&gt;"",G50&lt;&gt;""),H50&lt;&gt;"",I50&lt;&gt;"",J50&lt;&gt;"No en catálogo",S50&lt;&gt;"",T50&lt;&gt;"",U50&lt;&gt;"",V50&lt;&gt;"",OR(AR50&lt;&gt;"",AND(W50&lt;&gt;"",X50&lt;&gt;"",AA50&lt;&gt;"",AB50&lt;&gt;"")),OR(AS50&lt;&gt;"",AND(AD50&lt;&gt;"",AE50&lt;&gt;"",AH50&lt;&gt;"",AI50&lt;&gt;"")),AK50&lt;&gt;"",OR(AK50&lt;&gt;"programado",AL50&lt;&gt;""),OR(AM50&lt;&gt;"específica",AN50&lt;&gt;""),OR(AO50&lt;&gt;"específica",AP50&lt;&gt;"")),"OK","Revisar"))</f>
        <v/>
      </c>
    </row>
    <row r="51" ht="15" customHeight="1" spans="1:46" x14ac:dyDescent="0.25">
      <c r="A51" s="15"/>
      <c r="B51" s="15"/>
      <c r="C51" s="15"/>
      <c r="D51" s="15"/>
      <c r="E51" s="15"/>
      <c r="F51" s="15"/>
      <c r="G51" s="15"/>
      <c r="H51" s="15"/>
      <c r="I51" s="15"/>
      <c r="J51" s="19">
        <f>IF(OR(H51="",I51=""),"",IFERROR(INDEX(Catalogo_Vehiculos!$C$2:$C$1325,MATCH(TRUE(),INDEX(Catalogo_Vehiculos!$G$2:$G$1325=H51&amp;"|"&amp;I51,0),0)),"No en catálogo"))</f>
      </c>
      <c r="K51" s="19">
        <f>IF(OR(H51="",I51=""),"",IFERROR(INDEX(Catalogo_Vehiculos!$D$2:$D$1325,MATCH(TRUE(),INDEX(Catalogo_Vehiculos!$G$2:$G$1325=H51&amp;"|"&amp;I51,0),0)),"No en catálogo"))</f>
      </c>
      <c r="L51" s="19">
        <f>IF(OR(H51="",I51=""),"",IFERROR(INDEX(Catalogo_Vehiculos!$E$2:$E$1325,MATCH(TRUE(),INDEX(Catalogo_Vehiculos!$G$2:$G$1325=H51&amp;"|"&amp;I51,0),0)),"No en catálogo"))</f>
      </c>
      <c r="M51" s="19">
        <f>IF(OR(H51="",I51=""),"",IFERROR(INDEX(Catalogo_Vehiculos!$F$2:$F$1325,MATCH(TRUE(),INDEX(Catalogo_Vehiculos!$G$2:$G$1325=H51&amp;"|"&amp;I51,0),0)),"No en catálogo"))</f>
      </c>
      <c r="N51" s="20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9"/>
      <c r="Z51" s="19"/>
      <c r="AA51" s="15"/>
      <c r="AB51" s="15"/>
      <c r="AC51" s="15"/>
      <c r="AD51" s="15"/>
      <c r="AE51" s="15"/>
      <c r="AF51" s="19"/>
      <c r="AG51" s="19"/>
      <c r="AH51" s="15"/>
      <c r="AI51" s="15"/>
      <c r="AJ51" s="15"/>
      <c r="AK51" s="15"/>
      <c r="AL51" s="21"/>
      <c r="AM51" s="15"/>
      <c r="AN51" s="15"/>
      <c r="AO51" s="15"/>
      <c r="AP51" s="15"/>
      <c r="AQ51" s="15"/>
      <c r="AR51" s="15"/>
      <c r="AS51" s="15"/>
      <c r="AT51" s="19" t="str">
        <f>IF(COUNTA(A51:I51)+COUNTA(N51:X51)+COUNTA(AA51:AE51)+COUNTA(AH51:AS51)=0,"",IF(AND(A51&lt;&gt;"",E51&lt;&gt;"",OR(F51&lt;&gt;"",G51&lt;&gt;""),H51&lt;&gt;"",I51&lt;&gt;"",J51&lt;&gt;"No en catálogo",S51&lt;&gt;"",T51&lt;&gt;"",U51&lt;&gt;"",V51&lt;&gt;"",OR(AR51&lt;&gt;"",AND(W51&lt;&gt;"",X51&lt;&gt;"",AA51&lt;&gt;"",AB51&lt;&gt;"")),OR(AS51&lt;&gt;"",AND(AD51&lt;&gt;"",AE51&lt;&gt;"",AH51&lt;&gt;"",AI51&lt;&gt;"")),AK51&lt;&gt;"",OR(AK51&lt;&gt;"programado",AL51&lt;&gt;""),OR(AM51&lt;&gt;"específica",AN51&lt;&gt;""),OR(AO51&lt;&gt;"específica",AP51&lt;&gt;"")),"OK","Revisar"))</f>
        <v/>
      </c>
    </row>
    <row r="52" ht="15" customHeight="1" spans="1:46" x14ac:dyDescent="0.25">
      <c r="A52" s="15"/>
      <c r="B52" s="15"/>
      <c r="C52" s="15"/>
      <c r="D52" s="15"/>
      <c r="E52" s="15"/>
      <c r="F52" s="15"/>
      <c r="G52" s="15"/>
      <c r="H52" s="15"/>
      <c r="I52" s="15"/>
      <c r="J52" s="19">
        <f>IF(OR(H52="",I52=""),"",IFERROR(INDEX(Catalogo_Vehiculos!$C$2:$C$1325,MATCH(TRUE(),INDEX(Catalogo_Vehiculos!$G$2:$G$1325=H52&amp;"|"&amp;I52,0),0)),"No en catálogo"))</f>
      </c>
      <c r="K52" s="19">
        <f>IF(OR(H52="",I52=""),"",IFERROR(INDEX(Catalogo_Vehiculos!$D$2:$D$1325,MATCH(TRUE(),INDEX(Catalogo_Vehiculos!$G$2:$G$1325=H52&amp;"|"&amp;I52,0),0)),"No en catálogo"))</f>
      </c>
      <c r="L52" s="19">
        <f>IF(OR(H52="",I52=""),"",IFERROR(INDEX(Catalogo_Vehiculos!$E$2:$E$1325,MATCH(TRUE(),INDEX(Catalogo_Vehiculos!$G$2:$G$1325=H52&amp;"|"&amp;I52,0),0)),"No en catálogo"))</f>
      </c>
      <c r="M52" s="19">
        <f>IF(OR(H52="",I52=""),"",IFERROR(INDEX(Catalogo_Vehiculos!$F$2:$F$1325,MATCH(TRUE(),INDEX(Catalogo_Vehiculos!$G$2:$G$1325=H52&amp;"|"&amp;I52,0),0)),"No en catálogo"))</f>
      </c>
      <c r="N52" s="20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9"/>
      <c r="Z52" s="19"/>
      <c r="AA52" s="15"/>
      <c r="AB52" s="15"/>
      <c r="AC52" s="15"/>
      <c r="AD52" s="15"/>
      <c r="AE52" s="15"/>
      <c r="AF52" s="19"/>
      <c r="AG52" s="19"/>
      <c r="AH52" s="15"/>
      <c r="AI52" s="15"/>
      <c r="AJ52" s="15"/>
      <c r="AK52" s="15"/>
      <c r="AL52" s="21"/>
      <c r="AM52" s="15"/>
      <c r="AN52" s="15"/>
      <c r="AO52" s="15"/>
      <c r="AP52" s="15"/>
      <c r="AQ52" s="15"/>
      <c r="AR52" s="15"/>
      <c r="AS52" s="15"/>
      <c r="AT52" s="19" t="str">
        <f>IF(COUNTA(A52:I52)+COUNTA(N52:X52)+COUNTA(AA52:AE52)+COUNTA(AH52:AS52)=0,"",IF(AND(A52&lt;&gt;"",E52&lt;&gt;"",OR(F52&lt;&gt;"",G52&lt;&gt;""),H52&lt;&gt;"",I52&lt;&gt;"",J52&lt;&gt;"No en catálogo",S52&lt;&gt;"",T52&lt;&gt;"",U52&lt;&gt;"",V52&lt;&gt;"",OR(AR52&lt;&gt;"",AND(W52&lt;&gt;"",X52&lt;&gt;"",AA52&lt;&gt;"",AB52&lt;&gt;"")),OR(AS52&lt;&gt;"",AND(AD52&lt;&gt;"",AE52&lt;&gt;"",AH52&lt;&gt;"",AI52&lt;&gt;"")),AK52&lt;&gt;"",OR(AK52&lt;&gt;"programado",AL52&lt;&gt;""),OR(AM52&lt;&gt;"específica",AN52&lt;&gt;""),OR(AO52&lt;&gt;"específica",AP52&lt;&gt;"")),"OK","Revisar"))</f>
        <v/>
      </c>
    </row>
    <row r="53" ht="15" customHeight="1" spans="1:46" x14ac:dyDescent="0.25">
      <c r="A53" s="15"/>
      <c r="B53" s="15"/>
      <c r="C53" s="15"/>
      <c r="D53" s="15"/>
      <c r="E53" s="15"/>
      <c r="F53" s="15"/>
      <c r="G53" s="15"/>
      <c r="H53" s="15"/>
      <c r="I53" s="15"/>
      <c r="J53" s="19">
        <f>IF(OR(H53="",I53=""),"",IFERROR(INDEX(Catalogo_Vehiculos!$C$2:$C$1325,MATCH(TRUE(),INDEX(Catalogo_Vehiculos!$G$2:$G$1325=H53&amp;"|"&amp;I53,0),0)),"No en catálogo"))</f>
      </c>
      <c r="K53" s="19">
        <f>IF(OR(H53="",I53=""),"",IFERROR(INDEX(Catalogo_Vehiculos!$D$2:$D$1325,MATCH(TRUE(),INDEX(Catalogo_Vehiculos!$G$2:$G$1325=H53&amp;"|"&amp;I53,0),0)),"No en catálogo"))</f>
      </c>
      <c r="L53" s="19">
        <f>IF(OR(H53="",I53=""),"",IFERROR(INDEX(Catalogo_Vehiculos!$E$2:$E$1325,MATCH(TRUE(),INDEX(Catalogo_Vehiculos!$G$2:$G$1325=H53&amp;"|"&amp;I53,0),0)),"No en catálogo"))</f>
      </c>
      <c r="M53" s="19">
        <f>IF(OR(H53="",I53=""),"",IFERROR(INDEX(Catalogo_Vehiculos!$F$2:$F$1325,MATCH(TRUE(),INDEX(Catalogo_Vehiculos!$G$2:$G$1325=H53&amp;"|"&amp;I53,0),0)),"No en catálogo"))</f>
      </c>
      <c r="N53" s="20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9"/>
      <c r="Z53" s="19"/>
      <c r="AA53" s="15"/>
      <c r="AB53" s="15"/>
      <c r="AC53" s="15"/>
      <c r="AD53" s="15"/>
      <c r="AE53" s="15"/>
      <c r="AF53" s="19"/>
      <c r="AG53" s="19"/>
      <c r="AH53" s="15"/>
      <c r="AI53" s="15"/>
      <c r="AJ53" s="15"/>
      <c r="AK53" s="15"/>
      <c r="AL53" s="21"/>
      <c r="AM53" s="15"/>
      <c r="AN53" s="15"/>
      <c r="AO53" s="15"/>
      <c r="AP53" s="15"/>
      <c r="AQ53" s="15"/>
      <c r="AR53" s="15"/>
      <c r="AS53" s="15"/>
      <c r="AT53" s="19" t="str">
        <f>IF(COUNTA(A53:I53)+COUNTA(N53:X53)+COUNTA(AA53:AE53)+COUNTA(AH53:AS53)=0,"",IF(AND(A53&lt;&gt;"",E53&lt;&gt;"",OR(F53&lt;&gt;"",G53&lt;&gt;""),H53&lt;&gt;"",I53&lt;&gt;"",J53&lt;&gt;"No en catálogo",S53&lt;&gt;"",T53&lt;&gt;"",U53&lt;&gt;"",V53&lt;&gt;"",OR(AR53&lt;&gt;"",AND(W53&lt;&gt;"",X53&lt;&gt;"",AA53&lt;&gt;"",AB53&lt;&gt;"")),OR(AS53&lt;&gt;"",AND(AD53&lt;&gt;"",AE53&lt;&gt;"",AH53&lt;&gt;"",AI53&lt;&gt;"")),AK53&lt;&gt;"",OR(AK53&lt;&gt;"programado",AL53&lt;&gt;""),OR(AM53&lt;&gt;"específica",AN53&lt;&gt;""),OR(AO53&lt;&gt;"específica",AP53&lt;&gt;"")),"OK","Revisar"))</f>
        <v/>
      </c>
    </row>
    <row r="54" ht="15" customHeight="1" spans="1:46" x14ac:dyDescent="0.25">
      <c r="A54" s="15"/>
      <c r="B54" s="15"/>
      <c r="C54" s="15"/>
      <c r="D54" s="15"/>
      <c r="E54" s="15"/>
      <c r="F54" s="15"/>
      <c r="G54" s="15"/>
      <c r="H54" s="15"/>
      <c r="I54" s="15"/>
      <c r="J54" s="19">
        <f>IF(OR(H54="",I54=""),"",IFERROR(INDEX(Catalogo_Vehiculos!$C$2:$C$1325,MATCH(TRUE(),INDEX(Catalogo_Vehiculos!$G$2:$G$1325=H54&amp;"|"&amp;I54,0),0)),"No en catálogo"))</f>
      </c>
      <c r="K54" s="19">
        <f>IF(OR(H54="",I54=""),"",IFERROR(INDEX(Catalogo_Vehiculos!$D$2:$D$1325,MATCH(TRUE(),INDEX(Catalogo_Vehiculos!$G$2:$G$1325=H54&amp;"|"&amp;I54,0),0)),"No en catálogo"))</f>
      </c>
      <c r="L54" s="19">
        <f>IF(OR(H54="",I54=""),"",IFERROR(INDEX(Catalogo_Vehiculos!$E$2:$E$1325,MATCH(TRUE(),INDEX(Catalogo_Vehiculos!$G$2:$G$1325=H54&amp;"|"&amp;I54,0),0)),"No en catálogo"))</f>
      </c>
      <c r="M54" s="19">
        <f>IF(OR(H54="",I54=""),"",IFERROR(INDEX(Catalogo_Vehiculos!$F$2:$F$1325,MATCH(TRUE(),INDEX(Catalogo_Vehiculos!$G$2:$G$1325=H54&amp;"|"&amp;I54,0),0)),"No en catálogo"))</f>
      </c>
      <c r="N54" s="20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9"/>
      <c r="Z54" s="19"/>
      <c r="AA54" s="15"/>
      <c r="AB54" s="15"/>
      <c r="AC54" s="15"/>
      <c r="AD54" s="15"/>
      <c r="AE54" s="15"/>
      <c r="AF54" s="19"/>
      <c r="AG54" s="19"/>
      <c r="AH54" s="15"/>
      <c r="AI54" s="15"/>
      <c r="AJ54" s="15"/>
      <c r="AK54" s="15"/>
      <c r="AL54" s="21"/>
      <c r="AM54" s="15"/>
      <c r="AN54" s="15"/>
      <c r="AO54" s="15"/>
      <c r="AP54" s="15"/>
      <c r="AQ54" s="15"/>
      <c r="AR54" s="15"/>
      <c r="AS54" s="15"/>
      <c r="AT54" s="19" t="str">
        <f>IF(COUNTA(A54:I54)+COUNTA(N54:X54)+COUNTA(AA54:AE54)+COUNTA(AH54:AS54)=0,"",IF(AND(A54&lt;&gt;"",E54&lt;&gt;"",OR(F54&lt;&gt;"",G54&lt;&gt;""),H54&lt;&gt;"",I54&lt;&gt;"",J54&lt;&gt;"No en catálogo",S54&lt;&gt;"",T54&lt;&gt;"",U54&lt;&gt;"",V54&lt;&gt;"",OR(AR54&lt;&gt;"",AND(W54&lt;&gt;"",X54&lt;&gt;"",AA54&lt;&gt;"",AB54&lt;&gt;"")),OR(AS54&lt;&gt;"",AND(AD54&lt;&gt;"",AE54&lt;&gt;"",AH54&lt;&gt;"",AI54&lt;&gt;"")),AK54&lt;&gt;"",OR(AK54&lt;&gt;"programado",AL54&lt;&gt;""),OR(AM54&lt;&gt;"específica",AN54&lt;&gt;""),OR(AO54&lt;&gt;"específica",AP54&lt;&gt;"")),"OK","Revisar"))</f>
        <v/>
      </c>
    </row>
    <row r="55" ht="15" customHeight="1" spans="1:46" x14ac:dyDescent="0.25">
      <c r="A55" s="15"/>
      <c r="B55" s="15"/>
      <c r="C55" s="15"/>
      <c r="D55" s="15"/>
      <c r="E55" s="15"/>
      <c r="F55" s="15"/>
      <c r="G55" s="15"/>
      <c r="H55" s="15"/>
      <c r="I55" s="15"/>
      <c r="J55" s="19">
        <f>IF(OR(H55="",I55=""),"",IFERROR(INDEX(Catalogo_Vehiculos!$C$2:$C$1325,MATCH(TRUE(),INDEX(Catalogo_Vehiculos!$G$2:$G$1325=H55&amp;"|"&amp;I55,0),0)),"No en catálogo"))</f>
      </c>
      <c r="K55" s="19">
        <f>IF(OR(H55="",I55=""),"",IFERROR(INDEX(Catalogo_Vehiculos!$D$2:$D$1325,MATCH(TRUE(),INDEX(Catalogo_Vehiculos!$G$2:$G$1325=H55&amp;"|"&amp;I55,0),0)),"No en catálogo"))</f>
      </c>
      <c r="L55" s="19">
        <f>IF(OR(H55="",I55=""),"",IFERROR(INDEX(Catalogo_Vehiculos!$E$2:$E$1325,MATCH(TRUE(),INDEX(Catalogo_Vehiculos!$G$2:$G$1325=H55&amp;"|"&amp;I55,0),0)),"No en catálogo"))</f>
      </c>
      <c r="M55" s="19">
        <f>IF(OR(H55="",I55=""),"",IFERROR(INDEX(Catalogo_Vehiculos!$F$2:$F$1325,MATCH(TRUE(),INDEX(Catalogo_Vehiculos!$G$2:$G$1325=H55&amp;"|"&amp;I55,0),0)),"No en catálogo"))</f>
      </c>
      <c r="N55" s="20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9"/>
      <c r="Z55" s="19"/>
      <c r="AA55" s="15"/>
      <c r="AB55" s="15"/>
      <c r="AC55" s="15"/>
      <c r="AD55" s="15"/>
      <c r="AE55" s="15"/>
      <c r="AF55" s="19"/>
      <c r="AG55" s="19"/>
      <c r="AH55" s="15"/>
      <c r="AI55" s="15"/>
      <c r="AJ55" s="15"/>
      <c r="AK55" s="15"/>
      <c r="AL55" s="21"/>
      <c r="AM55" s="15"/>
      <c r="AN55" s="15"/>
      <c r="AO55" s="15"/>
      <c r="AP55" s="15"/>
      <c r="AQ55" s="15"/>
      <c r="AR55" s="15"/>
      <c r="AS55" s="15"/>
      <c r="AT55" s="19" t="str">
        <f>IF(COUNTA(A55:I55)+COUNTA(N55:X55)+COUNTA(AA55:AE55)+COUNTA(AH55:AS55)=0,"",IF(AND(A55&lt;&gt;"",E55&lt;&gt;"",OR(F55&lt;&gt;"",G55&lt;&gt;""),H55&lt;&gt;"",I55&lt;&gt;"",J55&lt;&gt;"No en catálogo",S55&lt;&gt;"",T55&lt;&gt;"",U55&lt;&gt;"",V55&lt;&gt;"",OR(AR55&lt;&gt;"",AND(W55&lt;&gt;"",X55&lt;&gt;"",AA55&lt;&gt;"",AB55&lt;&gt;"")),OR(AS55&lt;&gt;"",AND(AD55&lt;&gt;"",AE55&lt;&gt;"",AH55&lt;&gt;"",AI55&lt;&gt;"")),AK55&lt;&gt;"",OR(AK55&lt;&gt;"programado",AL55&lt;&gt;""),OR(AM55&lt;&gt;"específica",AN55&lt;&gt;""),OR(AO55&lt;&gt;"específica",AP55&lt;&gt;"")),"OK","Revisar"))</f>
        <v/>
      </c>
    </row>
    <row r="56" ht="15" customHeight="1" spans="1:46" x14ac:dyDescent="0.25">
      <c r="A56" s="15"/>
      <c r="B56" s="15"/>
      <c r="C56" s="15"/>
      <c r="D56" s="15"/>
      <c r="E56" s="15"/>
      <c r="F56" s="15"/>
      <c r="G56" s="15"/>
      <c r="H56" s="15"/>
      <c r="I56" s="15"/>
      <c r="J56" s="19">
        <f>IF(OR(H56="",I56=""),"",IFERROR(INDEX(Catalogo_Vehiculos!$C$2:$C$1325,MATCH(TRUE(),INDEX(Catalogo_Vehiculos!$G$2:$G$1325=H56&amp;"|"&amp;I56,0),0)),"No en catálogo"))</f>
      </c>
      <c r="K56" s="19">
        <f>IF(OR(H56="",I56=""),"",IFERROR(INDEX(Catalogo_Vehiculos!$D$2:$D$1325,MATCH(TRUE(),INDEX(Catalogo_Vehiculos!$G$2:$G$1325=H56&amp;"|"&amp;I56,0),0)),"No en catálogo"))</f>
      </c>
      <c r="L56" s="19">
        <f>IF(OR(H56="",I56=""),"",IFERROR(INDEX(Catalogo_Vehiculos!$E$2:$E$1325,MATCH(TRUE(),INDEX(Catalogo_Vehiculos!$G$2:$G$1325=H56&amp;"|"&amp;I56,0),0)),"No en catálogo"))</f>
      </c>
      <c r="M56" s="19">
        <f>IF(OR(H56="",I56=""),"",IFERROR(INDEX(Catalogo_Vehiculos!$F$2:$F$1325,MATCH(TRUE(),INDEX(Catalogo_Vehiculos!$G$2:$G$1325=H56&amp;"|"&amp;I56,0),0)),"No en catálogo"))</f>
      </c>
      <c r="N56" s="20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9"/>
      <c r="Z56" s="19"/>
      <c r="AA56" s="15"/>
      <c r="AB56" s="15"/>
      <c r="AC56" s="15"/>
      <c r="AD56" s="15"/>
      <c r="AE56" s="15"/>
      <c r="AF56" s="19"/>
      <c r="AG56" s="19"/>
      <c r="AH56" s="15"/>
      <c r="AI56" s="15"/>
      <c r="AJ56" s="15"/>
      <c r="AK56" s="15"/>
      <c r="AL56" s="21"/>
      <c r="AM56" s="15"/>
      <c r="AN56" s="15"/>
      <c r="AO56" s="15"/>
      <c r="AP56" s="15"/>
      <c r="AQ56" s="15"/>
      <c r="AR56" s="15"/>
      <c r="AS56" s="15"/>
      <c r="AT56" s="19" t="str">
        <f>IF(COUNTA(A56:I56)+COUNTA(N56:X56)+COUNTA(AA56:AE56)+COUNTA(AH56:AS56)=0,"",IF(AND(A56&lt;&gt;"",E56&lt;&gt;"",OR(F56&lt;&gt;"",G56&lt;&gt;""),H56&lt;&gt;"",I56&lt;&gt;"",J56&lt;&gt;"No en catálogo",S56&lt;&gt;"",T56&lt;&gt;"",U56&lt;&gt;"",V56&lt;&gt;"",OR(AR56&lt;&gt;"",AND(W56&lt;&gt;"",X56&lt;&gt;"",AA56&lt;&gt;"",AB56&lt;&gt;"")),OR(AS56&lt;&gt;"",AND(AD56&lt;&gt;"",AE56&lt;&gt;"",AH56&lt;&gt;"",AI56&lt;&gt;"")),AK56&lt;&gt;"",OR(AK56&lt;&gt;"programado",AL56&lt;&gt;""),OR(AM56&lt;&gt;"específica",AN56&lt;&gt;""),OR(AO56&lt;&gt;"específica",AP56&lt;&gt;"")),"OK","Revisar"))</f>
        <v/>
      </c>
    </row>
    <row r="57" ht="15" customHeight="1" spans="1:46" x14ac:dyDescent="0.25">
      <c r="A57" s="15"/>
      <c r="B57" s="15"/>
      <c r="C57" s="15"/>
      <c r="D57" s="15"/>
      <c r="E57" s="15"/>
      <c r="F57" s="15"/>
      <c r="G57" s="15"/>
      <c r="H57" s="15"/>
      <c r="I57" s="15"/>
      <c r="J57" s="19">
        <f>IF(OR(H57="",I57=""),"",IFERROR(INDEX(Catalogo_Vehiculos!$C$2:$C$1325,MATCH(TRUE(),INDEX(Catalogo_Vehiculos!$G$2:$G$1325=H57&amp;"|"&amp;I57,0),0)),"No en catálogo"))</f>
      </c>
      <c r="K57" s="19">
        <f>IF(OR(H57="",I57=""),"",IFERROR(INDEX(Catalogo_Vehiculos!$D$2:$D$1325,MATCH(TRUE(),INDEX(Catalogo_Vehiculos!$G$2:$G$1325=H57&amp;"|"&amp;I57,0),0)),"No en catálogo"))</f>
      </c>
      <c r="L57" s="19">
        <f>IF(OR(H57="",I57=""),"",IFERROR(INDEX(Catalogo_Vehiculos!$E$2:$E$1325,MATCH(TRUE(),INDEX(Catalogo_Vehiculos!$G$2:$G$1325=H57&amp;"|"&amp;I57,0),0)),"No en catálogo"))</f>
      </c>
      <c r="M57" s="19">
        <f>IF(OR(H57="",I57=""),"",IFERROR(INDEX(Catalogo_Vehiculos!$F$2:$F$1325,MATCH(TRUE(),INDEX(Catalogo_Vehiculos!$G$2:$G$1325=H57&amp;"|"&amp;I57,0),0)),"No en catálogo"))</f>
      </c>
      <c r="N57" s="20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9"/>
      <c r="Z57" s="19"/>
      <c r="AA57" s="15"/>
      <c r="AB57" s="15"/>
      <c r="AC57" s="15"/>
      <c r="AD57" s="15"/>
      <c r="AE57" s="15"/>
      <c r="AF57" s="19"/>
      <c r="AG57" s="19"/>
      <c r="AH57" s="15"/>
      <c r="AI57" s="15"/>
      <c r="AJ57" s="15"/>
      <c r="AK57" s="15"/>
      <c r="AL57" s="21"/>
      <c r="AM57" s="15"/>
      <c r="AN57" s="15"/>
      <c r="AO57" s="15"/>
      <c r="AP57" s="15"/>
      <c r="AQ57" s="15"/>
      <c r="AR57" s="15"/>
      <c r="AS57" s="15"/>
      <c r="AT57" s="19" t="str">
        <f>IF(COUNTA(A57:I57)+COUNTA(N57:X57)+COUNTA(AA57:AE57)+COUNTA(AH57:AS57)=0,"",IF(AND(A57&lt;&gt;"",E57&lt;&gt;"",OR(F57&lt;&gt;"",G57&lt;&gt;""),H57&lt;&gt;"",I57&lt;&gt;"",J57&lt;&gt;"No en catálogo",S57&lt;&gt;"",T57&lt;&gt;"",U57&lt;&gt;"",V57&lt;&gt;"",OR(AR57&lt;&gt;"",AND(W57&lt;&gt;"",X57&lt;&gt;"",AA57&lt;&gt;"",AB57&lt;&gt;"")),OR(AS57&lt;&gt;"",AND(AD57&lt;&gt;"",AE57&lt;&gt;"",AH57&lt;&gt;"",AI57&lt;&gt;"")),AK57&lt;&gt;"",OR(AK57&lt;&gt;"programado",AL57&lt;&gt;""),OR(AM57&lt;&gt;"específica",AN57&lt;&gt;""),OR(AO57&lt;&gt;"específica",AP57&lt;&gt;"")),"OK","Revisar"))</f>
        <v/>
      </c>
    </row>
    <row r="58" ht="15" customHeight="1" spans="1:46" x14ac:dyDescent="0.25">
      <c r="A58" s="15"/>
      <c r="B58" s="15"/>
      <c r="C58" s="15"/>
      <c r="D58" s="15"/>
      <c r="E58" s="15"/>
      <c r="F58" s="15"/>
      <c r="G58" s="15"/>
      <c r="H58" s="15"/>
      <c r="I58" s="15"/>
      <c r="J58" s="19">
        <f>IF(OR(H58="",I58=""),"",IFERROR(INDEX(Catalogo_Vehiculos!$C$2:$C$1325,MATCH(TRUE(),INDEX(Catalogo_Vehiculos!$G$2:$G$1325=H58&amp;"|"&amp;I58,0),0)),"No en catálogo"))</f>
      </c>
      <c r="K58" s="19">
        <f>IF(OR(H58="",I58=""),"",IFERROR(INDEX(Catalogo_Vehiculos!$D$2:$D$1325,MATCH(TRUE(),INDEX(Catalogo_Vehiculos!$G$2:$G$1325=H58&amp;"|"&amp;I58,0),0)),"No en catálogo"))</f>
      </c>
      <c r="L58" s="19">
        <f>IF(OR(H58="",I58=""),"",IFERROR(INDEX(Catalogo_Vehiculos!$E$2:$E$1325,MATCH(TRUE(),INDEX(Catalogo_Vehiculos!$G$2:$G$1325=H58&amp;"|"&amp;I58,0),0)),"No en catálogo"))</f>
      </c>
      <c r="M58" s="19">
        <f>IF(OR(H58="",I58=""),"",IFERROR(INDEX(Catalogo_Vehiculos!$F$2:$F$1325,MATCH(TRUE(),INDEX(Catalogo_Vehiculos!$G$2:$G$1325=H58&amp;"|"&amp;I58,0),0)),"No en catálogo"))</f>
      </c>
      <c r="N58" s="20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9"/>
      <c r="Z58" s="19"/>
      <c r="AA58" s="15"/>
      <c r="AB58" s="15"/>
      <c r="AC58" s="15"/>
      <c r="AD58" s="15"/>
      <c r="AE58" s="15"/>
      <c r="AF58" s="19"/>
      <c r="AG58" s="19"/>
      <c r="AH58" s="15"/>
      <c r="AI58" s="15"/>
      <c r="AJ58" s="15"/>
      <c r="AK58" s="15"/>
      <c r="AL58" s="21"/>
      <c r="AM58" s="15"/>
      <c r="AN58" s="15"/>
      <c r="AO58" s="15"/>
      <c r="AP58" s="15"/>
      <c r="AQ58" s="15"/>
      <c r="AR58" s="15"/>
      <c r="AS58" s="15"/>
      <c r="AT58" s="19" t="str">
        <f>IF(COUNTA(A58:I58)+COUNTA(N58:X58)+COUNTA(AA58:AE58)+COUNTA(AH58:AS58)=0,"",IF(AND(A58&lt;&gt;"",E58&lt;&gt;"",OR(F58&lt;&gt;"",G58&lt;&gt;""),H58&lt;&gt;"",I58&lt;&gt;"",J58&lt;&gt;"No en catálogo",S58&lt;&gt;"",T58&lt;&gt;"",U58&lt;&gt;"",V58&lt;&gt;"",OR(AR58&lt;&gt;"",AND(W58&lt;&gt;"",X58&lt;&gt;"",AA58&lt;&gt;"",AB58&lt;&gt;"")),OR(AS58&lt;&gt;"",AND(AD58&lt;&gt;"",AE58&lt;&gt;"",AH58&lt;&gt;"",AI58&lt;&gt;"")),AK58&lt;&gt;"",OR(AK58&lt;&gt;"programado",AL58&lt;&gt;""),OR(AM58&lt;&gt;"específica",AN58&lt;&gt;""),OR(AO58&lt;&gt;"específica",AP58&lt;&gt;"")),"OK","Revisar"))</f>
        <v/>
      </c>
    </row>
    <row r="59" ht="15" customHeight="1" spans="1:46" x14ac:dyDescent="0.25">
      <c r="A59" s="15"/>
      <c r="B59" s="15"/>
      <c r="C59" s="15"/>
      <c r="D59" s="15"/>
      <c r="E59" s="15"/>
      <c r="F59" s="15"/>
      <c r="G59" s="15"/>
      <c r="H59" s="15"/>
      <c r="I59" s="15"/>
      <c r="J59" s="19">
        <f>IF(OR(H59="",I59=""),"",IFERROR(INDEX(Catalogo_Vehiculos!$C$2:$C$1325,MATCH(TRUE(),INDEX(Catalogo_Vehiculos!$G$2:$G$1325=H59&amp;"|"&amp;I59,0),0)),"No en catálogo"))</f>
      </c>
      <c r="K59" s="19">
        <f>IF(OR(H59="",I59=""),"",IFERROR(INDEX(Catalogo_Vehiculos!$D$2:$D$1325,MATCH(TRUE(),INDEX(Catalogo_Vehiculos!$G$2:$G$1325=H59&amp;"|"&amp;I59,0),0)),"No en catálogo"))</f>
      </c>
      <c r="L59" s="19">
        <f>IF(OR(H59="",I59=""),"",IFERROR(INDEX(Catalogo_Vehiculos!$E$2:$E$1325,MATCH(TRUE(),INDEX(Catalogo_Vehiculos!$G$2:$G$1325=H59&amp;"|"&amp;I59,0),0)),"No en catálogo"))</f>
      </c>
      <c r="M59" s="19">
        <f>IF(OR(H59="",I59=""),"",IFERROR(INDEX(Catalogo_Vehiculos!$F$2:$F$1325,MATCH(TRUE(),INDEX(Catalogo_Vehiculos!$G$2:$G$1325=H59&amp;"|"&amp;I59,0),0)),"No en catálogo"))</f>
      </c>
      <c r="N59" s="20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9"/>
      <c r="Z59" s="19"/>
      <c r="AA59" s="15"/>
      <c r="AB59" s="15"/>
      <c r="AC59" s="15"/>
      <c r="AD59" s="15"/>
      <c r="AE59" s="15"/>
      <c r="AF59" s="19"/>
      <c r="AG59" s="19"/>
      <c r="AH59" s="15"/>
      <c r="AI59" s="15"/>
      <c r="AJ59" s="15"/>
      <c r="AK59" s="15"/>
      <c r="AL59" s="21"/>
      <c r="AM59" s="15"/>
      <c r="AN59" s="15"/>
      <c r="AO59" s="15"/>
      <c r="AP59" s="15"/>
      <c r="AQ59" s="15"/>
      <c r="AR59" s="15"/>
      <c r="AS59" s="15"/>
      <c r="AT59" s="19" t="str">
        <f>IF(COUNTA(A59:I59)+COUNTA(N59:X59)+COUNTA(AA59:AE59)+COUNTA(AH59:AS59)=0,"",IF(AND(A59&lt;&gt;"",E59&lt;&gt;"",OR(F59&lt;&gt;"",G59&lt;&gt;""),H59&lt;&gt;"",I59&lt;&gt;"",J59&lt;&gt;"No en catálogo",S59&lt;&gt;"",T59&lt;&gt;"",U59&lt;&gt;"",V59&lt;&gt;"",OR(AR59&lt;&gt;"",AND(W59&lt;&gt;"",X59&lt;&gt;"",AA59&lt;&gt;"",AB59&lt;&gt;"")),OR(AS59&lt;&gt;"",AND(AD59&lt;&gt;"",AE59&lt;&gt;"",AH59&lt;&gt;"",AI59&lt;&gt;"")),AK59&lt;&gt;"",OR(AK59&lt;&gt;"programado",AL59&lt;&gt;""),OR(AM59&lt;&gt;"específica",AN59&lt;&gt;""),OR(AO59&lt;&gt;"específica",AP59&lt;&gt;"")),"OK","Revisar"))</f>
        <v/>
      </c>
    </row>
    <row r="60" ht="15" customHeight="1" spans="1:46" x14ac:dyDescent="0.25">
      <c r="A60" s="15"/>
      <c r="B60" s="15"/>
      <c r="C60" s="15"/>
      <c r="D60" s="15"/>
      <c r="E60" s="15"/>
      <c r="F60" s="15"/>
      <c r="G60" s="15"/>
      <c r="H60" s="15"/>
      <c r="I60" s="15"/>
      <c r="J60" s="19">
        <f>IF(OR(H60="",I60=""),"",IFERROR(INDEX(Catalogo_Vehiculos!$C$2:$C$1325,MATCH(TRUE(),INDEX(Catalogo_Vehiculos!$G$2:$G$1325=H60&amp;"|"&amp;I60,0),0)),"No en catálogo"))</f>
      </c>
      <c r="K60" s="19">
        <f>IF(OR(H60="",I60=""),"",IFERROR(INDEX(Catalogo_Vehiculos!$D$2:$D$1325,MATCH(TRUE(),INDEX(Catalogo_Vehiculos!$G$2:$G$1325=H60&amp;"|"&amp;I60,0),0)),"No en catálogo"))</f>
      </c>
      <c r="L60" s="19">
        <f>IF(OR(H60="",I60=""),"",IFERROR(INDEX(Catalogo_Vehiculos!$E$2:$E$1325,MATCH(TRUE(),INDEX(Catalogo_Vehiculos!$G$2:$G$1325=H60&amp;"|"&amp;I60,0),0)),"No en catálogo"))</f>
      </c>
      <c r="M60" s="19">
        <f>IF(OR(H60="",I60=""),"",IFERROR(INDEX(Catalogo_Vehiculos!$F$2:$F$1325,MATCH(TRUE(),INDEX(Catalogo_Vehiculos!$G$2:$G$1325=H60&amp;"|"&amp;I60,0),0)),"No en catálogo"))</f>
      </c>
      <c r="N60" s="20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9"/>
      <c r="Z60" s="19"/>
      <c r="AA60" s="15"/>
      <c r="AB60" s="15"/>
      <c r="AC60" s="15"/>
      <c r="AD60" s="15"/>
      <c r="AE60" s="15"/>
      <c r="AF60" s="19"/>
      <c r="AG60" s="19"/>
      <c r="AH60" s="15"/>
      <c r="AI60" s="15"/>
      <c r="AJ60" s="15"/>
      <c r="AK60" s="15"/>
      <c r="AL60" s="21"/>
      <c r="AM60" s="15"/>
      <c r="AN60" s="15"/>
      <c r="AO60" s="15"/>
      <c r="AP60" s="15"/>
      <c r="AQ60" s="15"/>
      <c r="AR60" s="15"/>
      <c r="AS60" s="15"/>
      <c r="AT60" s="19" t="str">
        <f>IF(COUNTA(A60:I60)+COUNTA(N60:X60)+COUNTA(AA60:AE60)+COUNTA(AH60:AS60)=0,"",IF(AND(A60&lt;&gt;"",E60&lt;&gt;"",OR(F60&lt;&gt;"",G60&lt;&gt;""),H60&lt;&gt;"",I60&lt;&gt;"",J60&lt;&gt;"No en catálogo",S60&lt;&gt;"",T60&lt;&gt;"",U60&lt;&gt;"",V60&lt;&gt;"",OR(AR60&lt;&gt;"",AND(W60&lt;&gt;"",X60&lt;&gt;"",AA60&lt;&gt;"",AB60&lt;&gt;"")),OR(AS60&lt;&gt;"",AND(AD60&lt;&gt;"",AE60&lt;&gt;"",AH60&lt;&gt;"",AI60&lt;&gt;"")),AK60&lt;&gt;"",OR(AK60&lt;&gt;"programado",AL60&lt;&gt;""),OR(AM60&lt;&gt;"específica",AN60&lt;&gt;""),OR(AO60&lt;&gt;"específica",AP60&lt;&gt;"")),"OK","Revisar"))</f>
        <v/>
      </c>
    </row>
    <row r="61" ht="15" customHeight="1" spans="1:46" x14ac:dyDescent="0.25">
      <c r="A61" s="15"/>
      <c r="B61" s="15"/>
      <c r="C61" s="15"/>
      <c r="D61" s="15"/>
      <c r="E61" s="15"/>
      <c r="F61" s="15"/>
      <c r="G61" s="15"/>
      <c r="H61" s="15"/>
      <c r="I61" s="15"/>
      <c r="J61" s="19">
        <f>IF(OR(H61="",I61=""),"",IFERROR(INDEX(Catalogo_Vehiculos!$C$2:$C$1325,MATCH(TRUE(),INDEX(Catalogo_Vehiculos!$G$2:$G$1325=H61&amp;"|"&amp;I61,0),0)),"No en catálogo"))</f>
      </c>
      <c r="K61" s="19">
        <f>IF(OR(H61="",I61=""),"",IFERROR(INDEX(Catalogo_Vehiculos!$D$2:$D$1325,MATCH(TRUE(),INDEX(Catalogo_Vehiculos!$G$2:$G$1325=H61&amp;"|"&amp;I61,0),0)),"No en catálogo"))</f>
      </c>
      <c r="L61" s="19">
        <f>IF(OR(H61="",I61=""),"",IFERROR(INDEX(Catalogo_Vehiculos!$E$2:$E$1325,MATCH(TRUE(),INDEX(Catalogo_Vehiculos!$G$2:$G$1325=H61&amp;"|"&amp;I61,0),0)),"No en catálogo"))</f>
      </c>
      <c r="M61" s="19">
        <f>IF(OR(H61="",I61=""),"",IFERROR(INDEX(Catalogo_Vehiculos!$F$2:$F$1325,MATCH(TRUE(),INDEX(Catalogo_Vehiculos!$G$2:$G$1325=H61&amp;"|"&amp;I61,0),0)),"No en catálogo"))</f>
      </c>
      <c r="N61" s="20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9"/>
      <c r="Z61" s="19"/>
      <c r="AA61" s="15"/>
      <c r="AB61" s="15"/>
      <c r="AC61" s="15"/>
      <c r="AD61" s="15"/>
      <c r="AE61" s="15"/>
      <c r="AF61" s="19"/>
      <c r="AG61" s="19"/>
      <c r="AH61" s="15"/>
      <c r="AI61" s="15"/>
      <c r="AJ61" s="15"/>
      <c r="AK61" s="15"/>
      <c r="AL61" s="21"/>
      <c r="AM61" s="15"/>
      <c r="AN61" s="15"/>
      <c r="AO61" s="15"/>
      <c r="AP61" s="15"/>
      <c r="AQ61" s="15"/>
      <c r="AR61" s="15"/>
      <c r="AS61" s="15"/>
      <c r="AT61" s="19" t="str">
        <f>IF(COUNTA(A61:I61)+COUNTA(N61:X61)+COUNTA(AA61:AE61)+COUNTA(AH61:AS61)=0,"",IF(AND(A61&lt;&gt;"",E61&lt;&gt;"",OR(F61&lt;&gt;"",G61&lt;&gt;""),H61&lt;&gt;"",I61&lt;&gt;"",J61&lt;&gt;"No en catálogo",S61&lt;&gt;"",T61&lt;&gt;"",U61&lt;&gt;"",V61&lt;&gt;"",OR(AR61&lt;&gt;"",AND(W61&lt;&gt;"",X61&lt;&gt;"",AA61&lt;&gt;"",AB61&lt;&gt;"")),OR(AS61&lt;&gt;"",AND(AD61&lt;&gt;"",AE61&lt;&gt;"",AH61&lt;&gt;"",AI61&lt;&gt;"")),AK61&lt;&gt;"",OR(AK61&lt;&gt;"programado",AL61&lt;&gt;""),OR(AM61&lt;&gt;"específica",AN61&lt;&gt;""),OR(AO61&lt;&gt;"específica",AP61&lt;&gt;"")),"OK","Revisar"))</f>
        <v/>
      </c>
    </row>
    <row r="62" ht="15" customHeight="1" spans="1:46" x14ac:dyDescent="0.25">
      <c r="A62" s="15"/>
      <c r="B62" s="15"/>
      <c r="C62" s="15"/>
      <c r="D62" s="15"/>
      <c r="E62" s="15"/>
      <c r="F62" s="15"/>
      <c r="G62" s="15"/>
      <c r="H62" s="15"/>
      <c r="I62" s="15"/>
      <c r="J62" s="19">
        <f>IF(OR(H62="",I62=""),"",IFERROR(INDEX(Catalogo_Vehiculos!$C$2:$C$1325,MATCH(TRUE(),INDEX(Catalogo_Vehiculos!$G$2:$G$1325=H62&amp;"|"&amp;I62,0),0)),"No en catálogo"))</f>
      </c>
      <c r="K62" s="19">
        <f>IF(OR(H62="",I62=""),"",IFERROR(INDEX(Catalogo_Vehiculos!$D$2:$D$1325,MATCH(TRUE(),INDEX(Catalogo_Vehiculos!$G$2:$G$1325=H62&amp;"|"&amp;I62,0),0)),"No en catálogo"))</f>
      </c>
      <c r="L62" s="19">
        <f>IF(OR(H62="",I62=""),"",IFERROR(INDEX(Catalogo_Vehiculos!$E$2:$E$1325,MATCH(TRUE(),INDEX(Catalogo_Vehiculos!$G$2:$G$1325=H62&amp;"|"&amp;I62,0),0)),"No en catálogo"))</f>
      </c>
      <c r="M62" s="19">
        <f>IF(OR(H62="",I62=""),"",IFERROR(INDEX(Catalogo_Vehiculos!$F$2:$F$1325,MATCH(TRUE(),INDEX(Catalogo_Vehiculos!$G$2:$G$1325=H62&amp;"|"&amp;I62,0),0)),"No en catálogo"))</f>
      </c>
      <c r="N62" s="20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9"/>
      <c r="Z62" s="19"/>
      <c r="AA62" s="15"/>
      <c r="AB62" s="15"/>
      <c r="AC62" s="15"/>
      <c r="AD62" s="15"/>
      <c r="AE62" s="15"/>
      <c r="AF62" s="19"/>
      <c r="AG62" s="19"/>
      <c r="AH62" s="15"/>
      <c r="AI62" s="15"/>
      <c r="AJ62" s="15"/>
      <c r="AK62" s="15"/>
      <c r="AL62" s="21"/>
      <c r="AM62" s="15"/>
      <c r="AN62" s="15"/>
      <c r="AO62" s="15"/>
      <c r="AP62" s="15"/>
      <c r="AQ62" s="15"/>
      <c r="AR62" s="15"/>
      <c r="AS62" s="15"/>
      <c r="AT62" s="19" t="str">
        <f>IF(COUNTA(A62:I62)+COUNTA(N62:X62)+COUNTA(AA62:AE62)+COUNTA(AH62:AS62)=0,"",IF(AND(A62&lt;&gt;"",E62&lt;&gt;"",OR(F62&lt;&gt;"",G62&lt;&gt;""),H62&lt;&gt;"",I62&lt;&gt;"",J62&lt;&gt;"No en catálogo",S62&lt;&gt;"",T62&lt;&gt;"",U62&lt;&gt;"",V62&lt;&gt;"",OR(AR62&lt;&gt;"",AND(W62&lt;&gt;"",X62&lt;&gt;"",AA62&lt;&gt;"",AB62&lt;&gt;"")),OR(AS62&lt;&gt;"",AND(AD62&lt;&gt;"",AE62&lt;&gt;"",AH62&lt;&gt;"",AI62&lt;&gt;"")),AK62&lt;&gt;"",OR(AK62&lt;&gt;"programado",AL62&lt;&gt;""),OR(AM62&lt;&gt;"específica",AN62&lt;&gt;""),OR(AO62&lt;&gt;"específica",AP62&lt;&gt;"")),"OK","Revisar"))</f>
        <v/>
      </c>
    </row>
    <row r="63" ht="15" customHeight="1" spans="1:46" x14ac:dyDescent="0.25">
      <c r="A63" s="15"/>
      <c r="B63" s="15"/>
      <c r="C63" s="15"/>
      <c r="D63" s="15"/>
      <c r="E63" s="15"/>
      <c r="F63" s="15"/>
      <c r="G63" s="15"/>
      <c r="H63" s="15"/>
      <c r="I63" s="15"/>
      <c r="J63" s="19">
        <f>IF(OR(H63="",I63=""),"",IFERROR(INDEX(Catalogo_Vehiculos!$C$2:$C$1325,MATCH(TRUE(),INDEX(Catalogo_Vehiculos!$G$2:$G$1325=H63&amp;"|"&amp;I63,0),0)),"No en catálogo"))</f>
      </c>
      <c r="K63" s="19">
        <f>IF(OR(H63="",I63=""),"",IFERROR(INDEX(Catalogo_Vehiculos!$D$2:$D$1325,MATCH(TRUE(),INDEX(Catalogo_Vehiculos!$G$2:$G$1325=H63&amp;"|"&amp;I63,0),0)),"No en catálogo"))</f>
      </c>
      <c r="L63" s="19">
        <f>IF(OR(H63="",I63=""),"",IFERROR(INDEX(Catalogo_Vehiculos!$E$2:$E$1325,MATCH(TRUE(),INDEX(Catalogo_Vehiculos!$G$2:$G$1325=H63&amp;"|"&amp;I63,0),0)),"No en catálogo"))</f>
      </c>
      <c r="M63" s="19">
        <f>IF(OR(H63="",I63=""),"",IFERROR(INDEX(Catalogo_Vehiculos!$F$2:$F$1325,MATCH(TRUE(),INDEX(Catalogo_Vehiculos!$G$2:$G$1325=H63&amp;"|"&amp;I63,0),0)),"No en catálogo"))</f>
      </c>
      <c r="N63" s="20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9"/>
      <c r="Z63" s="19"/>
      <c r="AA63" s="15"/>
      <c r="AB63" s="15"/>
      <c r="AC63" s="15"/>
      <c r="AD63" s="15"/>
      <c r="AE63" s="15"/>
      <c r="AF63" s="19"/>
      <c r="AG63" s="19"/>
      <c r="AH63" s="15"/>
      <c r="AI63" s="15"/>
      <c r="AJ63" s="15"/>
      <c r="AK63" s="15"/>
      <c r="AL63" s="21"/>
      <c r="AM63" s="15"/>
      <c r="AN63" s="15"/>
      <c r="AO63" s="15"/>
      <c r="AP63" s="15"/>
      <c r="AQ63" s="15"/>
      <c r="AR63" s="15"/>
      <c r="AS63" s="15"/>
      <c r="AT63" s="19" t="str">
        <f>IF(COUNTA(A63:I63)+COUNTA(N63:X63)+COUNTA(AA63:AE63)+COUNTA(AH63:AS63)=0,"",IF(AND(A63&lt;&gt;"",E63&lt;&gt;"",OR(F63&lt;&gt;"",G63&lt;&gt;""),H63&lt;&gt;"",I63&lt;&gt;"",J63&lt;&gt;"No en catálogo",S63&lt;&gt;"",T63&lt;&gt;"",U63&lt;&gt;"",V63&lt;&gt;"",OR(AR63&lt;&gt;"",AND(W63&lt;&gt;"",X63&lt;&gt;"",AA63&lt;&gt;"",AB63&lt;&gt;"")),OR(AS63&lt;&gt;"",AND(AD63&lt;&gt;"",AE63&lt;&gt;"",AH63&lt;&gt;"",AI63&lt;&gt;"")),AK63&lt;&gt;"",OR(AK63&lt;&gt;"programado",AL63&lt;&gt;""),OR(AM63&lt;&gt;"específica",AN63&lt;&gt;""),OR(AO63&lt;&gt;"específica",AP63&lt;&gt;"")),"OK","Revisar"))</f>
        <v/>
      </c>
    </row>
    <row r="64" ht="15" customHeight="1" spans="1:46" x14ac:dyDescent="0.25">
      <c r="A64" s="15"/>
      <c r="B64" s="15"/>
      <c r="C64" s="15"/>
      <c r="D64" s="15"/>
      <c r="E64" s="15"/>
      <c r="F64" s="15"/>
      <c r="G64" s="15"/>
      <c r="H64" s="15"/>
      <c r="I64" s="15"/>
      <c r="J64" s="19">
        <f>IF(OR(H64="",I64=""),"",IFERROR(INDEX(Catalogo_Vehiculos!$C$2:$C$1325,MATCH(TRUE(),INDEX(Catalogo_Vehiculos!$G$2:$G$1325=H64&amp;"|"&amp;I64,0),0)),"No en catálogo"))</f>
      </c>
      <c r="K64" s="19">
        <f>IF(OR(H64="",I64=""),"",IFERROR(INDEX(Catalogo_Vehiculos!$D$2:$D$1325,MATCH(TRUE(),INDEX(Catalogo_Vehiculos!$G$2:$G$1325=H64&amp;"|"&amp;I64,0),0)),"No en catálogo"))</f>
      </c>
      <c r="L64" s="19">
        <f>IF(OR(H64="",I64=""),"",IFERROR(INDEX(Catalogo_Vehiculos!$E$2:$E$1325,MATCH(TRUE(),INDEX(Catalogo_Vehiculos!$G$2:$G$1325=H64&amp;"|"&amp;I64,0),0)),"No en catálogo"))</f>
      </c>
      <c r="M64" s="19">
        <f>IF(OR(H64="",I64=""),"",IFERROR(INDEX(Catalogo_Vehiculos!$F$2:$F$1325,MATCH(TRUE(),INDEX(Catalogo_Vehiculos!$G$2:$G$1325=H64&amp;"|"&amp;I64,0),0)),"No en catálogo"))</f>
      </c>
      <c r="N64" s="20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9"/>
      <c r="Z64" s="19"/>
      <c r="AA64" s="15"/>
      <c r="AB64" s="15"/>
      <c r="AC64" s="15"/>
      <c r="AD64" s="15"/>
      <c r="AE64" s="15"/>
      <c r="AF64" s="19"/>
      <c r="AG64" s="19"/>
      <c r="AH64" s="15"/>
      <c r="AI64" s="15"/>
      <c r="AJ64" s="15"/>
      <c r="AK64" s="15"/>
      <c r="AL64" s="21"/>
      <c r="AM64" s="15"/>
      <c r="AN64" s="15"/>
      <c r="AO64" s="15"/>
      <c r="AP64" s="15"/>
      <c r="AQ64" s="15"/>
      <c r="AR64" s="15"/>
      <c r="AS64" s="15"/>
      <c r="AT64" s="19" t="str">
        <f>IF(COUNTA(A64:I64)+COUNTA(N64:X64)+COUNTA(AA64:AE64)+COUNTA(AH64:AS64)=0,"",IF(AND(A64&lt;&gt;"",E64&lt;&gt;"",OR(F64&lt;&gt;"",G64&lt;&gt;""),H64&lt;&gt;"",I64&lt;&gt;"",J64&lt;&gt;"No en catálogo",S64&lt;&gt;"",T64&lt;&gt;"",U64&lt;&gt;"",V64&lt;&gt;"",OR(AR64&lt;&gt;"",AND(W64&lt;&gt;"",X64&lt;&gt;"",AA64&lt;&gt;"",AB64&lt;&gt;"")),OR(AS64&lt;&gt;"",AND(AD64&lt;&gt;"",AE64&lt;&gt;"",AH64&lt;&gt;"",AI64&lt;&gt;"")),AK64&lt;&gt;"",OR(AK64&lt;&gt;"programado",AL64&lt;&gt;""),OR(AM64&lt;&gt;"específica",AN64&lt;&gt;""),OR(AO64&lt;&gt;"específica",AP64&lt;&gt;"")),"OK","Revisar"))</f>
        <v/>
      </c>
    </row>
    <row r="65" ht="15" customHeight="1" spans="1:46" x14ac:dyDescent="0.25">
      <c r="A65" s="15"/>
      <c r="B65" s="15"/>
      <c r="C65" s="15"/>
      <c r="D65" s="15"/>
      <c r="E65" s="15"/>
      <c r="F65" s="15"/>
      <c r="G65" s="15"/>
      <c r="H65" s="15"/>
      <c r="I65" s="15"/>
      <c r="J65" s="19">
        <f>IF(OR(H65="",I65=""),"",IFERROR(INDEX(Catalogo_Vehiculos!$C$2:$C$1325,MATCH(TRUE(),INDEX(Catalogo_Vehiculos!$G$2:$G$1325=H65&amp;"|"&amp;I65,0),0)),"No en catálogo"))</f>
      </c>
      <c r="K65" s="19">
        <f>IF(OR(H65="",I65=""),"",IFERROR(INDEX(Catalogo_Vehiculos!$D$2:$D$1325,MATCH(TRUE(),INDEX(Catalogo_Vehiculos!$G$2:$G$1325=H65&amp;"|"&amp;I65,0),0)),"No en catálogo"))</f>
      </c>
      <c r="L65" s="19">
        <f>IF(OR(H65="",I65=""),"",IFERROR(INDEX(Catalogo_Vehiculos!$E$2:$E$1325,MATCH(TRUE(),INDEX(Catalogo_Vehiculos!$G$2:$G$1325=H65&amp;"|"&amp;I65,0),0)),"No en catálogo"))</f>
      </c>
      <c r="M65" s="19">
        <f>IF(OR(H65="",I65=""),"",IFERROR(INDEX(Catalogo_Vehiculos!$F$2:$F$1325,MATCH(TRUE(),INDEX(Catalogo_Vehiculos!$G$2:$G$1325=H65&amp;"|"&amp;I65,0),0)),"No en catálogo"))</f>
      </c>
      <c r="N65" s="20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9"/>
      <c r="Z65" s="19"/>
      <c r="AA65" s="15"/>
      <c r="AB65" s="15"/>
      <c r="AC65" s="15"/>
      <c r="AD65" s="15"/>
      <c r="AE65" s="15"/>
      <c r="AF65" s="19"/>
      <c r="AG65" s="19"/>
      <c r="AH65" s="15"/>
      <c r="AI65" s="15"/>
      <c r="AJ65" s="15"/>
      <c r="AK65" s="15"/>
      <c r="AL65" s="21"/>
      <c r="AM65" s="15"/>
      <c r="AN65" s="15"/>
      <c r="AO65" s="15"/>
      <c r="AP65" s="15"/>
      <c r="AQ65" s="15"/>
      <c r="AR65" s="15"/>
      <c r="AS65" s="15"/>
      <c r="AT65" s="19" t="str">
        <f>IF(COUNTA(A65:I65)+COUNTA(N65:X65)+COUNTA(AA65:AE65)+COUNTA(AH65:AS65)=0,"",IF(AND(A65&lt;&gt;"",E65&lt;&gt;"",OR(F65&lt;&gt;"",G65&lt;&gt;""),H65&lt;&gt;"",I65&lt;&gt;"",J65&lt;&gt;"No en catálogo",S65&lt;&gt;"",T65&lt;&gt;"",U65&lt;&gt;"",V65&lt;&gt;"",OR(AR65&lt;&gt;"",AND(W65&lt;&gt;"",X65&lt;&gt;"",AA65&lt;&gt;"",AB65&lt;&gt;"")),OR(AS65&lt;&gt;"",AND(AD65&lt;&gt;"",AE65&lt;&gt;"",AH65&lt;&gt;"",AI65&lt;&gt;"")),AK65&lt;&gt;"",OR(AK65&lt;&gt;"programado",AL65&lt;&gt;""),OR(AM65&lt;&gt;"específica",AN65&lt;&gt;""),OR(AO65&lt;&gt;"específica",AP65&lt;&gt;"")),"OK","Revisar"))</f>
        <v/>
      </c>
    </row>
    <row r="66" ht="15" customHeight="1" spans="1:46" x14ac:dyDescent="0.25">
      <c r="A66" s="15"/>
      <c r="B66" s="15"/>
      <c r="C66" s="15"/>
      <c r="D66" s="15"/>
      <c r="E66" s="15"/>
      <c r="F66" s="15"/>
      <c r="G66" s="15"/>
      <c r="H66" s="15"/>
      <c r="I66" s="15"/>
      <c r="J66" s="19">
        <f>IF(OR(H66="",I66=""),"",IFERROR(INDEX(Catalogo_Vehiculos!$C$2:$C$1325,MATCH(TRUE(),INDEX(Catalogo_Vehiculos!$G$2:$G$1325=H66&amp;"|"&amp;I66,0),0)),"No en catálogo"))</f>
      </c>
      <c r="K66" s="19">
        <f>IF(OR(H66="",I66=""),"",IFERROR(INDEX(Catalogo_Vehiculos!$D$2:$D$1325,MATCH(TRUE(),INDEX(Catalogo_Vehiculos!$G$2:$G$1325=H66&amp;"|"&amp;I66,0),0)),"No en catálogo"))</f>
      </c>
      <c r="L66" s="19">
        <f>IF(OR(H66="",I66=""),"",IFERROR(INDEX(Catalogo_Vehiculos!$E$2:$E$1325,MATCH(TRUE(),INDEX(Catalogo_Vehiculos!$G$2:$G$1325=H66&amp;"|"&amp;I66,0),0)),"No en catálogo"))</f>
      </c>
      <c r="M66" s="19">
        <f>IF(OR(H66="",I66=""),"",IFERROR(INDEX(Catalogo_Vehiculos!$F$2:$F$1325,MATCH(TRUE(),INDEX(Catalogo_Vehiculos!$G$2:$G$1325=H66&amp;"|"&amp;I66,0),0)),"No en catálogo"))</f>
      </c>
      <c r="N66" s="20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9"/>
      <c r="Z66" s="19"/>
      <c r="AA66" s="15"/>
      <c r="AB66" s="15"/>
      <c r="AC66" s="15"/>
      <c r="AD66" s="15"/>
      <c r="AE66" s="15"/>
      <c r="AF66" s="19"/>
      <c r="AG66" s="19"/>
      <c r="AH66" s="15"/>
      <c r="AI66" s="15"/>
      <c r="AJ66" s="15"/>
      <c r="AK66" s="15"/>
      <c r="AL66" s="21"/>
      <c r="AM66" s="15"/>
      <c r="AN66" s="15"/>
      <c r="AO66" s="15"/>
      <c r="AP66" s="15"/>
      <c r="AQ66" s="15"/>
      <c r="AR66" s="15"/>
      <c r="AS66" s="15"/>
      <c r="AT66" s="19" t="str">
        <f>IF(COUNTA(A66:I66)+COUNTA(N66:X66)+COUNTA(AA66:AE66)+COUNTA(AH66:AS66)=0,"",IF(AND(A66&lt;&gt;"",E66&lt;&gt;"",OR(F66&lt;&gt;"",G66&lt;&gt;""),H66&lt;&gt;"",I66&lt;&gt;"",J66&lt;&gt;"No en catálogo",S66&lt;&gt;"",T66&lt;&gt;"",U66&lt;&gt;"",V66&lt;&gt;"",OR(AR66&lt;&gt;"",AND(W66&lt;&gt;"",X66&lt;&gt;"",AA66&lt;&gt;"",AB66&lt;&gt;"")),OR(AS66&lt;&gt;"",AND(AD66&lt;&gt;"",AE66&lt;&gt;"",AH66&lt;&gt;"",AI66&lt;&gt;"")),AK66&lt;&gt;"",OR(AK66&lt;&gt;"programado",AL66&lt;&gt;""),OR(AM66&lt;&gt;"específica",AN66&lt;&gt;""),OR(AO66&lt;&gt;"específica",AP66&lt;&gt;"")),"OK","Revisar"))</f>
        <v/>
      </c>
    </row>
    <row r="67" ht="15" customHeight="1" spans="1:46" x14ac:dyDescent="0.25">
      <c r="A67" s="15"/>
      <c r="B67" s="15"/>
      <c r="C67" s="15"/>
      <c r="D67" s="15"/>
      <c r="E67" s="15"/>
      <c r="F67" s="15"/>
      <c r="G67" s="15"/>
      <c r="H67" s="15"/>
      <c r="I67" s="15"/>
      <c r="J67" s="19">
        <f>IF(OR(H67="",I67=""),"",IFERROR(INDEX(Catalogo_Vehiculos!$C$2:$C$1325,MATCH(TRUE(),INDEX(Catalogo_Vehiculos!$G$2:$G$1325=H67&amp;"|"&amp;I67,0),0)),"No en catálogo"))</f>
      </c>
      <c r="K67" s="19">
        <f>IF(OR(H67="",I67=""),"",IFERROR(INDEX(Catalogo_Vehiculos!$D$2:$D$1325,MATCH(TRUE(),INDEX(Catalogo_Vehiculos!$G$2:$G$1325=H67&amp;"|"&amp;I67,0),0)),"No en catálogo"))</f>
      </c>
      <c r="L67" s="19">
        <f>IF(OR(H67="",I67=""),"",IFERROR(INDEX(Catalogo_Vehiculos!$E$2:$E$1325,MATCH(TRUE(),INDEX(Catalogo_Vehiculos!$G$2:$G$1325=H67&amp;"|"&amp;I67,0),0)),"No en catálogo"))</f>
      </c>
      <c r="M67" s="19">
        <f>IF(OR(H67="",I67=""),"",IFERROR(INDEX(Catalogo_Vehiculos!$F$2:$F$1325,MATCH(TRUE(),INDEX(Catalogo_Vehiculos!$G$2:$G$1325=H67&amp;"|"&amp;I67,0),0)),"No en catálogo"))</f>
      </c>
      <c r="N67" s="20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9"/>
      <c r="Z67" s="19"/>
      <c r="AA67" s="15"/>
      <c r="AB67" s="15"/>
      <c r="AC67" s="15"/>
      <c r="AD67" s="15"/>
      <c r="AE67" s="15"/>
      <c r="AF67" s="19"/>
      <c r="AG67" s="19"/>
      <c r="AH67" s="15"/>
      <c r="AI67" s="15"/>
      <c r="AJ67" s="15"/>
      <c r="AK67" s="15"/>
      <c r="AL67" s="21"/>
      <c r="AM67" s="15"/>
      <c r="AN67" s="15"/>
      <c r="AO67" s="15"/>
      <c r="AP67" s="15"/>
      <c r="AQ67" s="15"/>
      <c r="AR67" s="15"/>
      <c r="AS67" s="15"/>
      <c r="AT67" s="19" t="str">
        <f>IF(COUNTA(A67:I67)+COUNTA(N67:X67)+COUNTA(AA67:AE67)+COUNTA(AH67:AS67)=0,"",IF(AND(A67&lt;&gt;"",E67&lt;&gt;"",OR(F67&lt;&gt;"",G67&lt;&gt;""),H67&lt;&gt;"",I67&lt;&gt;"",J67&lt;&gt;"No en catálogo",S67&lt;&gt;"",T67&lt;&gt;"",U67&lt;&gt;"",V67&lt;&gt;"",OR(AR67&lt;&gt;"",AND(W67&lt;&gt;"",X67&lt;&gt;"",AA67&lt;&gt;"",AB67&lt;&gt;"")),OR(AS67&lt;&gt;"",AND(AD67&lt;&gt;"",AE67&lt;&gt;"",AH67&lt;&gt;"",AI67&lt;&gt;"")),AK67&lt;&gt;"",OR(AK67&lt;&gt;"programado",AL67&lt;&gt;""),OR(AM67&lt;&gt;"específica",AN67&lt;&gt;""),OR(AO67&lt;&gt;"específica",AP67&lt;&gt;"")),"OK","Revisar"))</f>
        <v/>
      </c>
    </row>
    <row r="68" ht="15" customHeight="1" spans="1:46" x14ac:dyDescent="0.25">
      <c r="A68" s="15"/>
      <c r="B68" s="15"/>
      <c r="C68" s="15"/>
      <c r="D68" s="15"/>
      <c r="E68" s="15"/>
      <c r="F68" s="15"/>
      <c r="G68" s="15"/>
      <c r="H68" s="15"/>
      <c r="I68" s="15"/>
      <c r="J68" s="19">
        <f>IF(OR(H68="",I68=""),"",IFERROR(INDEX(Catalogo_Vehiculos!$C$2:$C$1325,MATCH(TRUE(),INDEX(Catalogo_Vehiculos!$G$2:$G$1325=H68&amp;"|"&amp;I68,0),0)),"No en catálogo"))</f>
      </c>
      <c r="K68" s="19">
        <f>IF(OR(H68="",I68=""),"",IFERROR(INDEX(Catalogo_Vehiculos!$D$2:$D$1325,MATCH(TRUE(),INDEX(Catalogo_Vehiculos!$G$2:$G$1325=H68&amp;"|"&amp;I68,0),0)),"No en catálogo"))</f>
      </c>
      <c r="L68" s="19">
        <f>IF(OR(H68="",I68=""),"",IFERROR(INDEX(Catalogo_Vehiculos!$E$2:$E$1325,MATCH(TRUE(),INDEX(Catalogo_Vehiculos!$G$2:$G$1325=H68&amp;"|"&amp;I68,0),0)),"No en catálogo"))</f>
      </c>
      <c r="M68" s="19">
        <f>IF(OR(H68="",I68=""),"",IFERROR(INDEX(Catalogo_Vehiculos!$F$2:$F$1325,MATCH(TRUE(),INDEX(Catalogo_Vehiculos!$G$2:$G$1325=H68&amp;"|"&amp;I68,0),0)),"No en catálogo"))</f>
      </c>
      <c r="N68" s="20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9"/>
      <c r="Z68" s="19"/>
      <c r="AA68" s="15"/>
      <c r="AB68" s="15"/>
      <c r="AC68" s="15"/>
      <c r="AD68" s="15"/>
      <c r="AE68" s="15"/>
      <c r="AF68" s="19"/>
      <c r="AG68" s="19"/>
      <c r="AH68" s="15"/>
      <c r="AI68" s="15"/>
      <c r="AJ68" s="15"/>
      <c r="AK68" s="15"/>
      <c r="AL68" s="21"/>
      <c r="AM68" s="15"/>
      <c r="AN68" s="15"/>
      <c r="AO68" s="15"/>
      <c r="AP68" s="15"/>
      <c r="AQ68" s="15"/>
      <c r="AR68" s="15"/>
      <c r="AS68" s="15"/>
      <c r="AT68" s="19" t="str">
        <f>IF(COUNTA(A68:I68)+COUNTA(N68:X68)+COUNTA(AA68:AE68)+COUNTA(AH68:AS68)=0,"",IF(AND(A68&lt;&gt;"",E68&lt;&gt;"",OR(F68&lt;&gt;"",G68&lt;&gt;""),H68&lt;&gt;"",I68&lt;&gt;"",J68&lt;&gt;"No en catálogo",S68&lt;&gt;"",T68&lt;&gt;"",U68&lt;&gt;"",V68&lt;&gt;"",OR(AR68&lt;&gt;"",AND(W68&lt;&gt;"",X68&lt;&gt;"",AA68&lt;&gt;"",AB68&lt;&gt;"")),OR(AS68&lt;&gt;"",AND(AD68&lt;&gt;"",AE68&lt;&gt;"",AH68&lt;&gt;"",AI68&lt;&gt;"")),AK68&lt;&gt;"",OR(AK68&lt;&gt;"programado",AL68&lt;&gt;""),OR(AM68&lt;&gt;"específica",AN68&lt;&gt;""),OR(AO68&lt;&gt;"específica",AP68&lt;&gt;"")),"OK","Revisar"))</f>
        <v/>
      </c>
    </row>
    <row r="69" ht="15" customHeight="1" spans="1:46" x14ac:dyDescent="0.25">
      <c r="A69" s="15"/>
      <c r="B69" s="15"/>
      <c r="C69" s="15"/>
      <c r="D69" s="15"/>
      <c r="E69" s="15"/>
      <c r="F69" s="15"/>
      <c r="G69" s="15"/>
      <c r="H69" s="15"/>
      <c r="I69" s="15"/>
      <c r="J69" s="19">
        <f>IF(OR(H69="",I69=""),"",IFERROR(INDEX(Catalogo_Vehiculos!$C$2:$C$1325,MATCH(TRUE(),INDEX(Catalogo_Vehiculos!$G$2:$G$1325=H69&amp;"|"&amp;I69,0),0)),"No en catálogo"))</f>
      </c>
      <c r="K69" s="19">
        <f>IF(OR(H69="",I69=""),"",IFERROR(INDEX(Catalogo_Vehiculos!$D$2:$D$1325,MATCH(TRUE(),INDEX(Catalogo_Vehiculos!$G$2:$G$1325=H69&amp;"|"&amp;I69,0),0)),"No en catálogo"))</f>
      </c>
      <c r="L69" s="19">
        <f>IF(OR(H69="",I69=""),"",IFERROR(INDEX(Catalogo_Vehiculos!$E$2:$E$1325,MATCH(TRUE(),INDEX(Catalogo_Vehiculos!$G$2:$G$1325=H69&amp;"|"&amp;I69,0),0)),"No en catálogo"))</f>
      </c>
      <c r="M69" s="19">
        <f>IF(OR(H69="",I69=""),"",IFERROR(INDEX(Catalogo_Vehiculos!$F$2:$F$1325,MATCH(TRUE(),INDEX(Catalogo_Vehiculos!$G$2:$G$1325=H69&amp;"|"&amp;I69,0),0)),"No en catálogo"))</f>
      </c>
      <c r="N69" s="20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9"/>
      <c r="Z69" s="19"/>
      <c r="AA69" s="15"/>
      <c r="AB69" s="15"/>
      <c r="AC69" s="15"/>
      <c r="AD69" s="15"/>
      <c r="AE69" s="15"/>
      <c r="AF69" s="19"/>
      <c r="AG69" s="19"/>
      <c r="AH69" s="15"/>
      <c r="AI69" s="15"/>
      <c r="AJ69" s="15"/>
      <c r="AK69" s="15"/>
      <c r="AL69" s="21"/>
      <c r="AM69" s="15"/>
      <c r="AN69" s="15"/>
      <c r="AO69" s="15"/>
      <c r="AP69" s="15"/>
      <c r="AQ69" s="15"/>
      <c r="AR69" s="15"/>
      <c r="AS69" s="15"/>
      <c r="AT69" s="19" t="str">
        <f>IF(COUNTA(A69:I69)+COUNTA(N69:X69)+COUNTA(AA69:AE69)+COUNTA(AH69:AS69)=0,"",IF(AND(A69&lt;&gt;"",E69&lt;&gt;"",OR(F69&lt;&gt;"",G69&lt;&gt;""),H69&lt;&gt;"",I69&lt;&gt;"",J69&lt;&gt;"No en catálogo",S69&lt;&gt;"",T69&lt;&gt;"",U69&lt;&gt;"",V69&lt;&gt;"",OR(AR69&lt;&gt;"",AND(W69&lt;&gt;"",X69&lt;&gt;"",AA69&lt;&gt;"",AB69&lt;&gt;"")),OR(AS69&lt;&gt;"",AND(AD69&lt;&gt;"",AE69&lt;&gt;"",AH69&lt;&gt;"",AI69&lt;&gt;"")),AK69&lt;&gt;"",OR(AK69&lt;&gt;"programado",AL69&lt;&gt;""),OR(AM69&lt;&gt;"específica",AN69&lt;&gt;""),OR(AO69&lt;&gt;"específica",AP69&lt;&gt;"")),"OK","Revisar"))</f>
        <v/>
      </c>
    </row>
    <row r="70" ht="15" customHeight="1" spans="1:46" x14ac:dyDescent="0.25">
      <c r="A70" s="15"/>
      <c r="B70" s="15"/>
      <c r="C70" s="15"/>
      <c r="D70" s="15"/>
      <c r="E70" s="15"/>
      <c r="F70" s="15"/>
      <c r="G70" s="15"/>
      <c r="H70" s="15"/>
      <c r="I70" s="15"/>
      <c r="J70" s="19">
        <f>IF(OR(H70="",I70=""),"",IFERROR(INDEX(Catalogo_Vehiculos!$C$2:$C$1325,MATCH(TRUE(),INDEX(Catalogo_Vehiculos!$G$2:$G$1325=H70&amp;"|"&amp;I70,0),0)),"No en catálogo"))</f>
      </c>
      <c r="K70" s="19">
        <f>IF(OR(H70="",I70=""),"",IFERROR(INDEX(Catalogo_Vehiculos!$D$2:$D$1325,MATCH(TRUE(),INDEX(Catalogo_Vehiculos!$G$2:$G$1325=H70&amp;"|"&amp;I70,0),0)),"No en catálogo"))</f>
      </c>
      <c r="L70" s="19">
        <f>IF(OR(H70="",I70=""),"",IFERROR(INDEX(Catalogo_Vehiculos!$E$2:$E$1325,MATCH(TRUE(),INDEX(Catalogo_Vehiculos!$G$2:$G$1325=H70&amp;"|"&amp;I70,0),0)),"No en catálogo"))</f>
      </c>
      <c r="M70" s="19">
        <f>IF(OR(H70="",I70=""),"",IFERROR(INDEX(Catalogo_Vehiculos!$F$2:$F$1325,MATCH(TRUE(),INDEX(Catalogo_Vehiculos!$G$2:$G$1325=H70&amp;"|"&amp;I70,0),0)),"No en catálogo"))</f>
      </c>
      <c r="N70" s="20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9"/>
      <c r="Z70" s="19"/>
      <c r="AA70" s="15"/>
      <c r="AB70" s="15"/>
      <c r="AC70" s="15"/>
      <c r="AD70" s="15"/>
      <c r="AE70" s="15"/>
      <c r="AF70" s="19"/>
      <c r="AG70" s="19"/>
      <c r="AH70" s="15"/>
      <c r="AI70" s="15"/>
      <c r="AJ70" s="15"/>
      <c r="AK70" s="15"/>
      <c r="AL70" s="21"/>
      <c r="AM70" s="15"/>
      <c r="AN70" s="15"/>
      <c r="AO70" s="15"/>
      <c r="AP70" s="15"/>
      <c r="AQ70" s="15"/>
      <c r="AR70" s="15"/>
      <c r="AS70" s="15"/>
      <c r="AT70" s="19" t="str">
        <f>IF(COUNTA(A70:I70)+COUNTA(N70:X70)+COUNTA(AA70:AE70)+COUNTA(AH70:AS70)=0,"",IF(AND(A70&lt;&gt;"",E70&lt;&gt;"",OR(F70&lt;&gt;"",G70&lt;&gt;""),H70&lt;&gt;"",I70&lt;&gt;"",J70&lt;&gt;"No en catálogo",S70&lt;&gt;"",T70&lt;&gt;"",U70&lt;&gt;"",V70&lt;&gt;"",OR(AR70&lt;&gt;"",AND(W70&lt;&gt;"",X70&lt;&gt;"",AA70&lt;&gt;"",AB70&lt;&gt;"")),OR(AS70&lt;&gt;"",AND(AD70&lt;&gt;"",AE70&lt;&gt;"",AH70&lt;&gt;"",AI70&lt;&gt;"")),AK70&lt;&gt;"",OR(AK70&lt;&gt;"programado",AL70&lt;&gt;""),OR(AM70&lt;&gt;"específica",AN70&lt;&gt;""),OR(AO70&lt;&gt;"específica",AP70&lt;&gt;"")),"OK","Revisar"))</f>
        <v/>
      </c>
    </row>
    <row r="71" ht="15" customHeight="1" spans="1:46" x14ac:dyDescent="0.25">
      <c r="A71" s="15"/>
      <c r="B71" s="15"/>
      <c r="C71" s="15"/>
      <c r="D71" s="15"/>
      <c r="E71" s="15"/>
      <c r="F71" s="15"/>
      <c r="G71" s="15"/>
      <c r="H71" s="15"/>
      <c r="I71" s="15"/>
      <c r="J71" s="19">
        <f>IF(OR(H71="",I71=""),"",IFERROR(INDEX(Catalogo_Vehiculos!$C$2:$C$1325,MATCH(TRUE(),INDEX(Catalogo_Vehiculos!$G$2:$G$1325=H71&amp;"|"&amp;I71,0),0)),"No en catálogo"))</f>
      </c>
      <c r="K71" s="19">
        <f>IF(OR(H71="",I71=""),"",IFERROR(INDEX(Catalogo_Vehiculos!$D$2:$D$1325,MATCH(TRUE(),INDEX(Catalogo_Vehiculos!$G$2:$G$1325=H71&amp;"|"&amp;I71,0),0)),"No en catálogo"))</f>
      </c>
      <c r="L71" s="19">
        <f>IF(OR(H71="",I71=""),"",IFERROR(INDEX(Catalogo_Vehiculos!$E$2:$E$1325,MATCH(TRUE(),INDEX(Catalogo_Vehiculos!$G$2:$G$1325=H71&amp;"|"&amp;I71,0),0)),"No en catálogo"))</f>
      </c>
      <c r="M71" s="19">
        <f>IF(OR(H71="",I71=""),"",IFERROR(INDEX(Catalogo_Vehiculos!$F$2:$F$1325,MATCH(TRUE(),INDEX(Catalogo_Vehiculos!$G$2:$G$1325=H71&amp;"|"&amp;I71,0),0)),"No en catálogo"))</f>
      </c>
      <c r="N71" s="20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9"/>
      <c r="Z71" s="19"/>
      <c r="AA71" s="15"/>
      <c r="AB71" s="15"/>
      <c r="AC71" s="15"/>
      <c r="AD71" s="15"/>
      <c r="AE71" s="15"/>
      <c r="AF71" s="19"/>
      <c r="AG71" s="19"/>
      <c r="AH71" s="15"/>
      <c r="AI71" s="15"/>
      <c r="AJ71" s="15"/>
      <c r="AK71" s="15"/>
      <c r="AL71" s="21"/>
      <c r="AM71" s="15"/>
      <c r="AN71" s="15"/>
      <c r="AO71" s="15"/>
      <c r="AP71" s="15"/>
      <c r="AQ71" s="15"/>
      <c r="AR71" s="15"/>
      <c r="AS71" s="15"/>
      <c r="AT71" s="19" t="str">
        <f>IF(COUNTA(A71:I71)+COUNTA(N71:X71)+COUNTA(AA71:AE71)+COUNTA(AH71:AS71)=0,"",IF(AND(A71&lt;&gt;"",E71&lt;&gt;"",OR(F71&lt;&gt;"",G71&lt;&gt;""),H71&lt;&gt;"",I71&lt;&gt;"",J71&lt;&gt;"No en catálogo",S71&lt;&gt;"",T71&lt;&gt;"",U71&lt;&gt;"",V71&lt;&gt;"",OR(AR71&lt;&gt;"",AND(W71&lt;&gt;"",X71&lt;&gt;"",AA71&lt;&gt;"",AB71&lt;&gt;"")),OR(AS71&lt;&gt;"",AND(AD71&lt;&gt;"",AE71&lt;&gt;"",AH71&lt;&gt;"",AI71&lt;&gt;"")),AK71&lt;&gt;"",OR(AK71&lt;&gt;"programado",AL71&lt;&gt;""),OR(AM71&lt;&gt;"específica",AN71&lt;&gt;""),OR(AO71&lt;&gt;"específica",AP71&lt;&gt;"")),"OK","Revisar"))</f>
        <v/>
      </c>
    </row>
    <row r="72" ht="15" customHeight="1" spans="1:46" x14ac:dyDescent="0.25">
      <c r="A72" s="15"/>
      <c r="B72" s="15"/>
      <c r="C72" s="15"/>
      <c r="D72" s="15"/>
      <c r="E72" s="15"/>
      <c r="F72" s="15"/>
      <c r="G72" s="15"/>
      <c r="H72" s="15"/>
      <c r="I72" s="15"/>
      <c r="J72" s="19">
        <f>IF(OR(H72="",I72=""),"",IFERROR(INDEX(Catalogo_Vehiculos!$C$2:$C$1325,MATCH(TRUE(),INDEX(Catalogo_Vehiculos!$G$2:$G$1325=H72&amp;"|"&amp;I72,0),0)),"No en catálogo"))</f>
      </c>
      <c r="K72" s="19">
        <f>IF(OR(H72="",I72=""),"",IFERROR(INDEX(Catalogo_Vehiculos!$D$2:$D$1325,MATCH(TRUE(),INDEX(Catalogo_Vehiculos!$G$2:$G$1325=H72&amp;"|"&amp;I72,0),0)),"No en catálogo"))</f>
      </c>
      <c r="L72" s="19">
        <f>IF(OR(H72="",I72=""),"",IFERROR(INDEX(Catalogo_Vehiculos!$E$2:$E$1325,MATCH(TRUE(),INDEX(Catalogo_Vehiculos!$G$2:$G$1325=H72&amp;"|"&amp;I72,0),0)),"No en catálogo"))</f>
      </c>
      <c r="M72" s="19">
        <f>IF(OR(H72="",I72=""),"",IFERROR(INDEX(Catalogo_Vehiculos!$F$2:$F$1325,MATCH(TRUE(),INDEX(Catalogo_Vehiculos!$G$2:$G$1325=H72&amp;"|"&amp;I72,0),0)),"No en catálogo"))</f>
      </c>
      <c r="N72" s="20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9"/>
      <c r="Z72" s="19"/>
      <c r="AA72" s="15"/>
      <c r="AB72" s="15"/>
      <c r="AC72" s="15"/>
      <c r="AD72" s="15"/>
      <c r="AE72" s="15"/>
      <c r="AF72" s="19"/>
      <c r="AG72" s="19"/>
      <c r="AH72" s="15"/>
      <c r="AI72" s="15"/>
      <c r="AJ72" s="15"/>
      <c r="AK72" s="15"/>
      <c r="AL72" s="21"/>
      <c r="AM72" s="15"/>
      <c r="AN72" s="15"/>
      <c r="AO72" s="15"/>
      <c r="AP72" s="15"/>
      <c r="AQ72" s="15"/>
      <c r="AR72" s="15"/>
      <c r="AS72" s="15"/>
      <c r="AT72" s="19" t="str">
        <f>IF(COUNTA(A72:I72)+COUNTA(N72:X72)+COUNTA(AA72:AE72)+COUNTA(AH72:AS72)=0,"",IF(AND(A72&lt;&gt;"",E72&lt;&gt;"",OR(F72&lt;&gt;"",G72&lt;&gt;""),H72&lt;&gt;"",I72&lt;&gt;"",J72&lt;&gt;"No en catálogo",S72&lt;&gt;"",T72&lt;&gt;"",U72&lt;&gt;"",V72&lt;&gt;"",OR(AR72&lt;&gt;"",AND(W72&lt;&gt;"",X72&lt;&gt;"",AA72&lt;&gt;"",AB72&lt;&gt;"")),OR(AS72&lt;&gt;"",AND(AD72&lt;&gt;"",AE72&lt;&gt;"",AH72&lt;&gt;"",AI72&lt;&gt;"")),AK72&lt;&gt;"",OR(AK72&lt;&gt;"programado",AL72&lt;&gt;""),OR(AM72&lt;&gt;"específica",AN72&lt;&gt;""),OR(AO72&lt;&gt;"específica",AP72&lt;&gt;"")),"OK","Revisar"))</f>
        <v/>
      </c>
    </row>
    <row r="73" ht="15" customHeight="1" spans="1:46" x14ac:dyDescent="0.25">
      <c r="A73" s="15"/>
      <c r="B73" s="15"/>
      <c r="C73" s="15"/>
      <c r="D73" s="15"/>
      <c r="E73" s="15"/>
      <c r="F73" s="15"/>
      <c r="G73" s="15"/>
      <c r="H73" s="15"/>
      <c r="I73" s="15"/>
      <c r="J73" s="19">
        <f>IF(OR(H73="",I73=""),"",IFERROR(INDEX(Catalogo_Vehiculos!$C$2:$C$1325,MATCH(TRUE(),INDEX(Catalogo_Vehiculos!$G$2:$G$1325=H73&amp;"|"&amp;I73,0),0)),"No en catálogo"))</f>
      </c>
      <c r="K73" s="19">
        <f>IF(OR(H73="",I73=""),"",IFERROR(INDEX(Catalogo_Vehiculos!$D$2:$D$1325,MATCH(TRUE(),INDEX(Catalogo_Vehiculos!$G$2:$G$1325=H73&amp;"|"&amp;I73,0),0)),"No en catálogo"))</f>
      </c>
      <c r="L73" s="19">
        <f>IF(OR(H73="",I73=""),"",IFERROR(INDEX(Catalogo_Vehiculos!$E$2:$E$1325,MATCH(TRUE(),INDEX(Catalogo_Vehiculos!$G$2:$G$1325=H73&amp;"|"&amp;I73,0),0)),"No en catálogo"))</f>
      </c>
      <c r="M73" s="19">
        <f>IF(OR(H73="",I73=""),"",IFERROR(INDEX(Catalogo_Vehiculos!$F$2:$F$1325,MATCH(TRUE(),INDEX(Catalogo_Vehiculos!$G$2:$G$1325=H73&amp;"|"&amp;I73,0),0)),"No en catálogo"))</f>
      </c>
      <c r="N73" s="20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9"/>
      <c r="Z73" s="19"/>
      <c r="AA73" s="15"/>
      <c r="AB73" s="15"/>
      <c r="AC73" s="15"/>
      <c r="AD73" s="15"/>
      <c r="AE73" s="15"/>
      <c r="AF73" s="19"/>
      <c r="AG73" s="19"/>
      <c r="AH73" s="15"/>
      <c r="AI73" s="15"/>
      <c r="AJ73" s="15"/>
      <c r="AK73" s="15"/>
      <c r="AL73" s="21"/>
      <c r="AM73" s="15"/>
      <c r="AN73" s="15"/>
      <c r="AO73" s="15"/>
      <c r="AP73" s="15"/>
      <c r="AQ73" s="15"/>
      <c r="AR73" s="15"/>
      <c r="AS73" s="15"/>
      <c r="AT73" s="19" t="str">
        <f>IF(COUNTA(A73:I73)+COUNTA(N73:X73)+COUNTA(AA73:AE73)+COUNTA(AH73:AS73)=0,"",IF(AND(A73&lt;&gt;"",E73&lt;&gt;"",OR(F73&lt;&gt;"",G73&lt;&gt;""),H73&lt;&gt;"",I73&lt;&gt;"",J73&lt;&gt;"No en catálogo",S73&lt;&gt;"",T73&lt;&gt;"",U73&lt;&gt;"",V73&lt;&gt;"",OR(AR73&lt;&gt;"",AND(W73&lt;&gt;"",X73&lt;&gt;"",AA73&lt;&gt;"",AB73&lt;&gt;"")),OR(AS73&lt;&gt;"",AND(AD73&lt;&gt;"",AE73&lt;&gt;"",AH73&lt;&gt;"",AI73&lt;&gt;"")),AK73&lt;&gt;"",OR(AK73&lt;&gt;"programado",AL73&lt;&gt;""),OR(AM73&lt;&gt;"específica",AN73&lt;&gt;""),OR(AO73&lt;&gt;"específica",AP73&lt;&gt;"")),"OK","Revisar"))</f>
        <v/>
      </c>
    </row>
    <row r="74" ht="15" customHeight="1" spans="1:46" x14ac:dyDescent="0.25">
      <c r="A74" s="15"/>
      <c r="B74" s="15"/>
      <c r="C74" s="15"/>
      <c r="D74" s="15"/>
      <c r="E74" s="15"/>
      <c r="F74" s="15"/>
      <c r="G74" s="15"/>
      <c r="H74" s="15"/>
      <c r="I74" s="15"/>
      <c r="J74" s="19">
        <f>IF(OR(H74="",I74=""),"",IFERROR(INDEX(Catalogo_Vehiculos!$C$2:$C$1325,MATCH(TRUE(),INDEX(Catalogo_Vehiculos!$G$2:$G$1325=H74&amp;"|"&amp;I74,0),0)),"No en catálogo"))</f>
      </c>
      <c r="K74" s="19">
        <f>IF(OR(H74="",I74=""),"",IFERROR(INDEX(Catalogo_Vehiculos!$D$2:$D$1325,MATCH(TRUE(),INDEX(Catalogo_Vehiculos!$G$2:$G$1325=H74&amp;"|"&amp;I74,0),0)),"No en catálogo"))</f>
      </c>
      <c r="L74" s="19">
        <f>IF(OR(H74="",I74=""),"",IFERROR(INDEX(Catalogo_Vehiculos!$E$2:$E$1325,MATCH(TRUE(),INDEX(Catalogo_Vehiculos!$G$2:$G$1325=H74&amp;"|"&amp;I74,0),0)),"No en catálogo"))</f>
      </c>
      <c r="M74" s="19">
        <f>IF(OR(H74="",I74=""),"",IFERROR(INDEX(Catalogo_Vehiculos!$F$2:$F$1325,MATCH(TRUE(),INDEX(Catalogo_Vehiculos!$G$2:$G$1325=H74&amp;"|"&amp;I74,0),0)),"No en catálogo"))</f>
      </c>
      <c r="N74" s="20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9"/>
      <c r="Z74" s="19"/>
      <c r="AA74" s="15"/>
      <c r="AB74" s="15"/>
      <c r="AC74" s="15"/>
      <c r="AD74" s="15"/>
      <c r="AE74" s="15"/>
      <c r="AF74" s="19"/>
      <c r="AG74" s="19"/>
      <c r="AH74" s="15"/>
      <c r="AI74" s="15"/>
      <c r="AJ74" s="15"/>
      <c r="AK74" s="15"/>
      <c r="AL74" s="21"/>
      <c r="AM74" s="15"/>
      <c r="AN74" s="15"/>
      <c r="AO74" s="15"/>
      <c r="AP74" s="15"/>
      <c r="AQ74" s="15"/>
      <c r="AR74" s="15"/>
      <c r="AS74" s="15"/>
      <c r="AT74" s="19" t="str">
        <f>IF(COUNTA(A74:I74)+COUNTA(N74:X74)+COUNTA(AA74:AE74)+COUNTA(AH74:AS74)=0,"",IF(AND(A74&lt;&gt;"",E74&lt;&gt;"",OR(F74&lt;&gt;"",G74&lt;&gt;""),H74&lt;&gt;"",I74&lt;&gt;"",J74&lt;&gt;"No en catálogo",S74&lt;&gt;"",T74&lt;&gt;"",U74&lt;&gt;"",V74&lt;&gt;"",OR(AR74&lt;&gt;"",AND(W74&lt;&gt;"",X74&lt;&gt;"",AA74&lt;&gt;"",AB74&lt;&gt;"")),OR(AS74&lt;&gt;"",AND(AD74&lt;&gt;"",AE74&lt;&gt;"",AH74&lt;&gt;"",AI74&lt;&gt;"")),AK74&lt;&gt;"",OR(AK74&lt;&gt;"programado",AL74&lt;&gt;""),OR(AM74&lt;&gt;"específica",AN74&lt;&gt;""),OR(AO74&lt;&gt;"específica",AP74&lt;&gt;"")),"OK","Revisar"))</f>
        <v/>
      </c>
    </row>
    <row r="75" ht="15" customHeight="1" spans="1:46" x14ac:dyDescent="0.25">
      <c r="A75" s="15"/>
      <c r="B75" s="15"/>
      <c r="C75" s="15"/>
      <c r="D75" s="15"/>
      <c r="E75" s="15"/>
      <c r="F75" s="15"/>
      <c r="G75" s="15"/>
      <c r="H75" s="15"/>
      <c r="I75" s="15"/>
      <c r="J75" s="19">
        <f>IF(OR(H75="",I75=""),"",IFERROR(INDEX(Catalogo_Vehiculos!$C$2:$C$1325,MATCH(TRUE(),INDEX(Catalogo_Vehiculos!$G$2:$G$1325=H75&amp;"|"&amp;I75,0),0)),"No en catálogo"))</f>
      </c>
      <c r="K75" s="19">
        <f>IF(OR(H75="",I75=""),"",IFERROR(INDEX(Catalogo_Vehiculos!$D$2:$D$1325,MATCH(TRUE(),INDEX(Catalogo_Vehiculos!$G$2:$G$1325=H75&amp;"|"&amp;I75,0),0)),"No en catálogo"))</f>
      </c>
      <c r="L75" s="19">
        <f>IF(OR(H75="",I75=""),"",IFERROR(INDEX(Catalogo_Vehiculos!$E$2:$E$1325,MATCH(TRUE(),INDEX(Catalogo_Vehiculos!$G$2:$G$1325=H75&amp;"|"&amp;I75,0),0)),"No en catálogo"))</f>
      </c>
      <c r="M75" s="19">
        <f>IF(OR(H75="",I75=""),"",IFERROR(INDEX(Catalogo_Vehiculos!$F$2:$F$1325,MATCH(TRUE(),INDEX(Catalogo_Vehiculos!$G$2:$G$1325=H75&amp;"|"&amp;I75,0),0)),"No en catálogo"))</f>
      </c>
      <c r="N75" s="20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9"/>
      <c r="Z75" s="19"/>
      <c r="AA75" s="15"/>
      <c r="AB75" s="15"/>
      <c r="AC75" s="15"/>
      <c r="AD75" s="15"/>
      <c r="AE75" s="15"/>
      <c r="AF75" s="19"/>
      <c r="AG75" s="19"/>
      <c r="AH75" s="15"/>
      <c r="AI75" s="15"/>
      <c r="AJ75" s="15"/>
      <c r="AK75" s="15"/>
      <c r="AL75" s="21"/>
      <c r="AM75" s="15"/>
      <c r="AN75" s="15"/>
      <c r="AO75" s="15"/>
      <c r="AP75" s="15"/>
      <c r="AQ75" s="15"/>
      <c r="AR75" s="15"/>
      <c r="AS75" s="15"/>
      <c r="AT75" s="19" t="str">
        <f>IF(COUNTA(A75:I75)+COUNTA(N75:X75)+COUNTA(AA75:AE75)+COUNTA(AH75:AS75)=0,"",IF(AND(A75&lt;&gt;"",E75&lt;&gt;"",OR(F75&lt;&gt;"",G75&lt;&gt;""),H75&lt;&gt;"",I75&lt;&gt;"",J75&lt;&gt;"No en catálogo",S75&lt;&gt;"",T75&lt;&gt;"",U75&lt;&gt;"",V75&lt;&gt;"",OR(AR75&lt;&gt;"",AND(W75&lt;&gt;"",X75&lt;&gt;"",AA75&lt;&gt;"",AB75&lt;&gt;"")),OR(AS75&lt;&gt;"",AND(AD75&lt;&gt;"",AE75&lt;&gt;"",AH75&lt;&gt;"",AI75&lt;&gt;"")),AK75&lt;&gt;"",OR(AK75&lt;&gt;"programado",AL75&lt;&gt;""),OR(AM75&lt;&gt;"específica",AN75&lt;&gt;""),OR(AO75&lt;&gt;"específica",AP75&lt;&gt;"")),"OK","Revisar"))</f>
        <v/>
      </c>
    </row>
    <row r="76" ht="15" customHeight="1" spans="1:46" x14ac:dyDescent="0.25">
      <c r="A76" s="15"/>
      <c r="B76" s="15"/>
      <c r="C76" s="15"/>
      <c r="D76" s="15"/>
      <c r="E76" s="15"/>
      <c r="F76" s="15"/>
      <c r="G76" s="15"/>
      <c r="H76" s="15"/>
      <c r="I76" s="15"/>
      <c r="J76" s="19">
        <f>IF(OR(H76="",I76=""),"",IFERROR(INDEX(Catalogo_Vehiculos!$C$2:$C$1325,MATCH(TRUE(),INDEX(Catalogo_Vehiculos!$G$2:$G$1325=H76&amp;"|"&amp;I76,0),0)),"No en catálogo"))</f>
      </c>
      <c r="K76" s="19">
        <f>IF(OR(H76="",I76=""),"",IFERROR(INDEX(Catalogo_Vehiculos!$D$2:$D$1325,MATCH(TRUE(),INDEX(Catalogo_Vehiculos!$G$2:$G$1325=H76&amp;"|"&amp;I76,0),0)),"No en catálogo"))</f>
      </c>
      <c r="L76" s="19">
        <f>IF(OR(H76="",I76=""),"",IFERROR(INDEX(Catalogo_Vehiculos!$E$2:$E$1325,MATCH(TRUE(),INDEX(Catalogo_Vehiculos!$G$2:$G$1325=H76&amp;"|"&amp;I76,0),0)),"No en catálogo"))</f>
      </c>
      <c r="M76" s="19">
        <f>IF(OR(H76="",I76=""),"",IFERROR(INDEX(Catalogo_Vehiculos!$F$2:$F$1325,MATCH(TRUE(),INDEX(Catalogo_Vehiculos!$G$2:$G$1325=H76&amp;"|"&amp;I76,0),0)),"No en catálogo"))</f>
      </c>
      <c r="N76" s="20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9"/>
      <c r="Z76" s="19"/>
      <c r="AA76" s="15"/>
      <c r="AB76" s="15"/>
      <c r="AC76" s="15"/>
      <c r="AD76" s="15"/>
      <c r="AE76" s="15"/>
      <c r="AF76" s="19"/>
      <c r="AG76" s="19"/>
      <c r="AH76" s="15"/>
      <c r="AI76" s="15"/>
      <c r="AJ76" s="15"/>
      <c r="AK76" s="15"/>
      <c r="AL76" s="21"/>
      <c r="AM76" s="15"/>
      <c r="AN76" s="15"/>
      <c r="AO76" s="15"/>
      <c r="AP76" s="15"/>
      <c r="AQ76" s="15"/>
      <c r="AR76" s="15"/>
      <c r="AS76" s="15"/>
      <c r="AT76" s="19" t="str">
        <f>IF(COUNTA(A76:I76)+COUNTA(N76:X76)+COUNTA(AA76:AE76)+COUNTA(AH76:AS76)=0,"",IF(AND(A76&lt;&gt;"",E76&lt;&gt;"",OR(F76&lt;&gt;"",G76&lt;&gt;""),H76&lt;&gt;"",I76&lt;&gt;"",J76&lt;&gt;"No en catálogo",S76&lt;&gt;"",T76&lt;&gt;"",U76&lt;&gt;"",V76&lt;&gt;"",OR(AR76&lt;&gt;"",AND(W76&lt;&gt;"",X76&lt;&gt;"",AA76&lt;&gt;"",AB76&lt;&gt;"")),OR(AS76&lt;&gt;"",AND(AD76&lt;&gt;"",AE76&lt;&gt;"",AH76&lt;&gt;"",AI76&lt;&gt;"")),AK76&lt;&gt;"",OR(AK76&lt;&gt;"programado",AL76&lt;&gt;""),OR(AM76&lt;&gt;"específica",AN76&lt;&gt;""),OR(AO76&lt;&gt;"específica",AP76&lt;&gt;"")),"OK","Revisar"))</f>
        <v/>
      </c>
    </row>
    <row r="77" ht="15" customHeight="1" spans="1:46" x14ac:dyDescent="0.25">
      <c r="A77" s="15"/>
      <c r="B77" s="15"/>
      <c r="C77" s="15"/>
      <c r="D77" s="15"/>
      <c r="E77" s="15"/>
      <c r="F77" s="15"/>
      <c r="G77" s="15"/>
      <c r="H77" s="15"/>
      <c r="I77" s="15"/>
      <c r="J77" s="19">
        <f>IF(OR(H77="",I77=""),"",IFERROR(INDEX(Catalogo_Vehiculos!$C$2:$C$1325,MATCH(TRUE(),INDEX(Catalogo_Vehiculos!$G$2:$G$1325=H77&amp;"|"&amp;I77,0),0)),"No en catálogo"))</f>
      </c>
      <c r="K77" s="19">
        <f>IF(OR(H77="",I77=""),"",IFERROR(INDEX(Catalogo_Vehiculos!$D$2:$D$1325,MATCH(TRUE(),INDEX(Catalogo_Vehiculos!$G$2:$G$1325=H77&amp;"|"&amp;I77,0),0)),"No en catálogo"))</f>
      </c>
      <c r="L77" s="19">
        <f>IF(OR(H77="",I77=""),"",IFERROR(INDEX(Catalogo_Vehiculos!$E$2:$E$1325,MATCH(TRUE(),INDEX(Catalogo_Vehiculos!$G$2:$G$1325=H77&amp;"|"&amp;I77,0),0)),"No en catálogo"))</f>
      </c>
      <c r="M77" s="19">
        <f>IF(OR(H77="",I77=""),"",IFERROR(INDEX(Catalogo_Vehiculos!$F$2:$F$1325,MATCH(TRUE(),INDEX(Catalogo_Vehiculos!$G$2:$G$1325=H77&amp;"|"&amp;I77,0),0)),"No en catálogo"))</f>
      </c>
      <c r="N77" s="20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9"/>
      <c r="Z77" s="19"/>
      <c r="AA77" s="15"/>
      <c r="AB77" s="15"/>
      <c r="AC77" s="15"/>
      <c r="AD77" s="15"/>
      <c r="AE77" s="15"/>
      <c r="AF77" s="19"/>
      <c r="AG77" s="19"/>
      <c r="AH77" s="15"/>
      <c r="AI77" s="15"/>
      <c r="AJ77" s="15"/>
      <c r="AK77" s="15"/>
      <c r="AL77" s="21"/>
      <c r="AM77" s="15"/>
      <c r="AN77" s="15"/>
      <c r="AO77" s="15"/>
      <c r="AP77" s="15"/>
      <c r="AQ77" s="15"/>
      <c r="AR77" s="15"/>
      <c r="AS77" s="15"/>
      <c r="AT77" s="19" t="str">
        <f>IF(COUNTA(A77:I77)+COUNTA(N77:X77)+COUNTA(AA77:AE77)+COUNTA(AH77:AS77)=0,"",IF(AND(A77&lt;&gt;"",E77&lt;&gt;"",OR(F77&lt;&gt;"",G77&lt;&gt;""),H77&lt;&gt;"",I77&lt;&gt;"",J77&lt;&gt;"No en catálogo",S77&lt;&gt;"",T77&lt;&gt;"",U77&lt;&gt;"",V77&lt;&gt;"",OR(AR77&lt;&gt;"",AND(W77&lt;&gt;"",X77&lt;&gt;"",AA77&lt;&gt;"",AB77&lt;&gt;"")),OR(AS77&lt;&gt;"",AND(AD77&lt;&gt;"",AE77&lt;&gt;"",AH77&lt;&gt;"",AI77&lt;&gt;"")),AK77&lt;&gt;"",OR(AK77&lt;&gt;"programado",AL77&lt;&gt;""),OR(AM77&lt;&gt;"específica",AN77&lt;&gt;""),OR(AO77&lt;&gt;"específica",AP77&lt;&gt;"")),"OK","Revisar"))</f>
        <v/>
      </c>
    </row>
    <row r="78" ht="15" customHeight="1" spans="1:46" x14ac:dyDescent="0.25">
      <c r="A78" s="15"/>
      <c r="B78" s="15"/>
      <c r="C78" s="15"/>
      <c r="D78" s="15"/>
      <c r="E78" s="15"/>
      <c r="F78" s="15"/>
      <c r="G78" s="15"/>
      <c r="H78" s="15"/>
      <c r="I78" s="15"/>
      <c r="J78" s="19">
        <f>IF(OR(H78="",I78=""),"",IFERROR(INDEX(Catalogo_Vehiculos!$C$2:$C$1325,MATCH(TRUE(),INDEX(Catalogo_Vehiculos!$G$2:$G$1325=H78&amp;"|"&amp;I78,0),0)),"No en catálogo"))</f>
      </c>
      <c r="K78" s="19">
        <f>IF(OR(H78="",I78=""),"",IFERROR(INDEX(Catalogo_Vehiculos!$D$2:$D$1325,MATCH(TRUE(),INDEX(Catalogo_Vehiculos!$G$2:$G$1325=H78&amp;"|"&amp;I78,0),0)),"No en catálogo"))</f>
      </c>
      <c r="L78" s="19">
        <f>IF(OR(H78="",I78=""),"",IFERROR(INDEX(Catalogo_Vehiculos!$E$2:$E$1325,MATCH(TRUE(),INDEX(Catalogo_Vehiculos!$G$2:$G$1325=H78&amp;"|"&amp;I78,0),0)),"No en catálogo"))</f>
      </c>
      <c r="M78" s="19">
        <f>IF(OR(H78="",I78=""),"",IFERROR(INDEX(Catalogo_Vehiculos!$F$2:$F$1325,MATCH(TRUE(),INDEX(Catalogo_Vehiculos!$G$2:$G$1325=H78&amp;"|"&amp;I78,0),0)),"No en catálogo"))</f>
      </c>
      <c r="N78" s="20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9"/>
      <c r="Z78" s="19"/>
      <c r="AA78" s="15"/>
      <c r="AB78" s="15"/>
      <c r="AC78" s="15"/>
      <c r="AD78" s="15"/>
      <c r="AE78" s="15"/>
      <c r="AF78" s="19"/>
      <c r="AG78" s="19"/>
      <c r="AH78" s="15"/>
      <c r="AI78" s="15"/>
      <c r="AJ78" s="15"/>
      <c r="AK78" s="15"/>
      <c r="AL78" s="21"/>
      <c r="AM78" s="15"/>
      <c r="AN78" s="15"/>
      <c r="AO78" s="15"/>
      <c r="AP78" s="15"/>
      <c r="AQ78" s="15"/>
      <c r="AR78" s="15"/>
      <c r="AS78" s="15"/>
      <c r="AT78" s="19" t="str">
        <f>IF(COUNTA(A78:I78)+COUNTA(N78:X78)+COUNTA(AA78:AE78)+COUNTA(AH78:AS78)=0,"",IF(AND(A78&lt;&gt;"",E78&lt;&gt;"",OR(F78&lt;&gt;"",G78&lt;&gt;""),H78&lt;&gt;"",I78&lt;&gt;"",J78&lt;&gt;"No en catálogo",S78&lt;&gt;"",T78&lt;&gt;"",U78&lt;&gt;"",V78&lt;&gt;"",OR(AR78&lt;&gt;"",AND(W78&lt;&gt;"",X78&lt;&gt;"",AA78&lt;&gt;"",AB78&lt;&gt;"")),OR(AS78&lt;&gt;"",AND(AD78&lt;&gt;"",AE78&lt;&gt;"",AH78&lt;&gt;"",AI78&lt;&gt;"")),AK78&lt;&gt;"",OR(AK78&lt;&gt;"programado",AL78&lt;&gt;""),OR(AM78&lt;&gt;"específica",AN78&lt;&gt;""),OR(AO78&lt;&gt;"específica",AP78&lt;&gt;"")),"OK","Revisar"))</f>
        <v/>
      </c>
    </row>
    <row r="79" ht="15" customHeight="1" spans="1:46" x14ac:dyDescent="0.25">
      <c r="A79" s="15"/>
      <c r="B79" s="15"/>
      <c r="C79" s="15"/>
      <c r="D79" s="15"/>
      <c r="E79" s="15"/>
      <c r="F79" s="15"/>
      <c r="G79" s="15"/>
      <c r="H79" s="15"/>
      <c r="I79" s="15"/>
      <c r="J79" s="19">
        <f>IF(OR(H79="",I79=""),"",IFERROR(INDEX(Catalogo_Vehiculos!$C$2:$C$1325,MATCH(TRUE(),INDEX(Catalogo_Vehiculos!$G$2:$G$1325=H79&amp;"|"&amp;I79,0),0)),"No en catálogo"))</f>
      </c>
      <c r="K79" s="19">
        <f>IF(OR(H79="",I79=""),"",IFERROR(INDEX(Catalogo_Vehiculos!$D$2:$D$1325,MATCH(TRUE(),INDEX(Catalogo_Vehiculos!$G$2:$G$1325=H79&amp;"|"&amp;I79,0),0)),"No en catálogo"))</f>
      </c>
      <c r="L79" s="19">
        <f>IF(OR(H79="",I79=""),"",IFERROR(INDEX(Catalogo_Vehiculos!$E$2:$E$1325,MATCH(TRUE(),INDEX(Catalogo_Vehiculos!$G$2:$G$1325=H79&amp;"|"&amp;I79,0),0)),"No en catálogo"))</f>
      </c>
      <c r="M79" s="19">
        <f>IF(OR(H79="",I79=""),"",IFERROR(INDEX(Catalogo_Vehiculos!$F$2:$F$1325,MATCH(TRUE(),INDEX(Catalogo_Vehiculos!$G$2:$G$1325=H79&amp;"|"&amp;I79,0),0)),"No en catálogo"))</f>
      </c>
      <c r="N79" s="20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9"/>
      <c r="Z79" s="19"/>
      <c r="AA79" s="15"/>
      <c r="AB79" s="15"/>
      <c r="AC79" s="15"/>
      <c r="AD79" s="15"/>
      <c r="AE79" s="15"/>
      <c r="AF79" s="19"/>
      <c r="AG79" s="19"/>
      <c r="AH79" s="15"/>
      <c r="AI79" s="15"/>
      <c r="AJ79" s="15"/>
      <c r="AK79" s="15"/>
      <c r="AL79" s="21"/>
      <c r="AM79" s="15"/>
      <c r="AN79" s="15"/>
      <c r="AO79" s="15"/>
      <c r="AP79" s="15"/>
      <c r="AQ79" s="15"/>
      <c r="AR79" s="15"/>
      <c r="AS79" s="15"/>
      <c r="AT79" s="19" t="str">
        <f>IF(COUNTA(A79:I79)+COUNTA(N79:X79)+COUNTA(AA79:AE79)+COUNTA(AH79:AS79)=0,"",IF(AND(A79&lt;&gt;"",E79&lt;&gt;"",OR(F79&lt;&gt;"",G79&lt;&gt;""),H79&lt;&gt;"",I79&lt;&gt;"",J79&lt;&gt;"No en catálogo",S79&lt;&gt;"",T79&lt;&gt;"",U79&lt;&gt;"",V79&lt;&gt;"",OR(AR79&lt;&gt;"",AND(W79&lt;&gt;"",X79&lt;&gt;"",AA79&lt;&gt;"",AB79&lt;&gt;"")),OR(AS79&lt;&gt;"",AND(AD79&lt;&gt;"",AE79&lt;&gt;"",AH79&lt;&gt;"",AI79&lt;&gt;"")),AK79&lt;&gt;"",OR(AK79&lt;&gt;"programado",AL79&lt;&gt;""),OR(AM79&lt;&gt;"específica",AN79&lt;&gt;""),OR(AO79&lt;&gt;"específica",AP79&lt;&gt;"")),"OK","Revisar"))</f>
        <v/>
      </c>
    </row>
    <row r="80" ht="15" customHeight="1" spans="1:46" x14ac:dyDescent="0.25">
      <c r="A80" s="15"/>
      <c r="B80" s="15"/>
      <c r="C80" s="15"/>
      <c r="D80" s="15"/>
      <c r="E80" s="15"/>
      <c r="F80" s="15"/>
      <c r="G80" s="15"/>
      <c r="H80" s="15"/>
      <c r="I80" s="15"/>
      <c r="J80" s="19">
        <f>IF(OR(H80="",I80=""),"",IFERROR(INDEX(Catalogo_Vehiculos!$C$2:$C$1325,MATCH(TRUE(),INDEX(Catalogo_Vehiculos!$G$2:$G$1325=H80&amp;"|"&amp;I80,0),0)),"No en catálogo"))</f>
      </c>
      <c r="K80" s="19">
        <f>IF(OR(H80="",I80=""),"",IFERROR(INDEX(Catalogo_Vehiculos!$D$2:$D$1325,MATCH(TRUE(),INDEX(Catalogo_Vehiculos!$G$2:$G$1325=H80&amp;"|"&amp;I80,0),0)),"No en catálogo"))</f>
      </c>
      <c r="L80" s="19">
        <f>IF(OR(H80="",I80=""),"",IFERROR(INDEX(Catalogo_Vehiculos!$E$2:$E$1325,MATCH(TRUE(),INDEX(Catalogo_Vehiculos!$G$2:$G$1325=H80&amp;"|"&amp;I80,0),0)),"No en catálogo"))</f>
      </c>
      <c r="M80" s="19">
        <f>IF(OR(H80="",I80=""),"",IFERROR(INDEX(Catalogo_Vehiculos!$F$2:$F$1325,MATCH(TRUE(),INDEX(Catalogo_Vehiculos!$G$2:$G$1325=H80&amp;"|"&amp;I80,0),0)),"No en catálogo"))</f>
      </c>
      <c r="N80" s="20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9"/>
      <c r="Z80" s="19"/>
      <c r="AA80" s="15"/>
      <c r="AB80" s="15"/>
      <c r="AC80" s="15"/>
      <c r="AD80" s="15"/>
      <c r="AE80" s="15"/>
      <c r="AF80" s="19"/>
      <c r="AG80" s="19"/>
      <c r="AH80" s="15"/>
      <c r="AI80" s="15"/>
      <c r="AJ80" s="15"/>
      <c r="AK80" s="15"/>
      <c r="AL80" s="21"/>
      <c r="AM80" s="15"/>
      <c r="AN80" s="15"/>
      <c r="AO80" s="15"/>
      <c r="AP80" s="15"/>
      <c r="AQ80" s="15"/>
      <c r="AR80" s="15"/>
      <c r="AS80" s="15"/>
      <c r="AT80" s="19" t="str">
        <f>IF(COUNTA(A80:I80)+COUNTA(N80:X80)+COUNTA(AA80:AE80)+COUNTA(AH80:AS80)=0,"",IF(AND(A80&lt;&gt;"",E80&lt;&gt;"",OR(F80&lt;&gt;"",G80&lt;&gt;""),H80&lt;&gt;"",I80&lt;&gt;"",J80&lt;&gt;"No en catálogo",S80&lt;&gt;"",T80&lt;&gt;"",U80&lt;&gt;"",V80&lt;&gt;"",OR(AR80&lt;&gt;"",AND(W80&lt;&gt;"",X80&lt;&gt;"",AA80&lt;&gt;"",AB80&lt;&gt;"")),OR(AS80&lt;&gt;"",AND(AD80&lt;&gt;"",AE80&lt;&gt;"",AH80&lt;&gt;"",AI80&lt;&gt;"")),AK80&lt;&gt;"",OR(AK80&lt;&gt;"programado",AL80&lt;&gt;""),OR(AM80&lt;&gt;"específica",AN80&lt;&gt;""),OR(AO80&lt;&gt;"específica",AP80&lt;&gt;"")),"OK","Revisar"))</f>
        <v/>
      </c>
    </row>
    <row r="81" ht="15" customHeight="1" spans="1:46" x14ac:dyDescent="0.25">
      <c r="A81" s="15"/>
      <c r="B81" s="15"/>
      <c r="C81" s="15"/>
      <c r="D81" s="15"/>
      <c r="E81" s="15"/>
      <c r="F81" s="15"/>
      <c r="G81" s="15"/>
      <c r="H81" s="15"/>
      <c r="I81" s="15"/>
      <c r="J81" s="19">
        <f>IF(OR(H81="",I81=""),"",IFERROR(INDEX(Catalogo_Vehiculos!$C$2:$C$1325,MATCH(TRUE(),INDEX(Catalogo_Vehiculos!$G$2:$G$1325=H81&amp;"|"&amp;I81,0),0)),"No en catálogo"))</f>
      </c>
      <c r="K81" s="19">
        <f>IF(OR(H81="",I81=""),"",IFERROR(INDEX(Catalogo_Vehiculos!$D$2:$D$1325,MATCH(TRUE(),INDEX(Catalogo_Vehiculos!$G$2:$G$1325=H81&amp;"|"&amp;I81,0),0)),"No en catálogo"))</f>
      </c>
      <c r="L81" s="19">
        <f>IF(OR(H81="",I81=""),"",IFERROR(INDEX(Catalogo_Vehiculos!$E$2:$E$1325,MATCH(TRUE(),INDEX(Catalogo_Vehiculos!$G$2:$G$1325=H81&amp;"|"&amp;I81,0),0)),"No en catálogo"))</f>
      </c>
      <c r="M81" s="19">
        <f>IF(OR(H81="",I81=""),"",IFERROR(INDEX(Catalogo_Vehiculos!$F$2:$F$1325,MATCH(TRUE(),INDEX(Catalogo_Vehiculos!$G$2:$G$1325=H81&amp;"|"&amp;I81,0),0)),"No en catálogo"))</f>
      </c>
      <c r="N81" s="20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9"/>
      <c r="Z81" s="19"/>
      <c r="AA81" s="15"/>
      <c r="AB81" s="15"/>
      <c r="AC81" s="15"/>
      <c r="AD81" s="15"/>
      <c r="AE81" s="15"/>
      <c r="AF81" s="19"/>
      <c r="AG81" s="19"/>
      <c r="AH81" s="15"/>
      <c r="AI81" s="15"/>
      <c r="AJ81" s="15"/>
      <c r="AK81" s="15"/>
      <c r="AL81" s="21"/>
      <c r="AM81" s="15"/>
      <c r="AN81" s="15"/>
      <c r="AO81" s="15"/>
      <c r="AP81" s="15"/>
      <c r="AQ81" s="15"/>
      <c r="AR81" s="15"/>
      <c r="AS81" s="15"/>
      <c r="AT81" s="19" t="str">
        <f>IF(COUNTA(A81:I81)+COUNTA(N81:X81)+COUNTA(AA81:AE81)+COUNTA(AH81:AS81)=0,"",IF(AND(A81&lt;&gt;"",E81&lt;&gt;"",OR(F81&lt;&gt;"",G81&lt;&gt;""),H81&lt;&gt;"",I81&lt;&gt;"",J81&lt;&gt;"No en catálogo",S81&lt;&gt;"",T81&lt;&gt;"",U81&lt;&gt;"",V81&lt;&gt;"",OR(AR81&lt;&gt;"",AND(W81&lt;&gt;"",X81&lt;&gt;"",AA81&lt;&gt;"",AB81&lt;&gt;"")),OR(AS81&lt;&gt;"",AND(AD81&lt;&gt;"",AE81&lt;&gt;"",AH81&lt;&gt;"",AI81&lt;&gt;"")),AK81&lt;&gt;"",OR(AK81&lt;&gt;"programado",AL81&lt;&gt;""),OR(AM81&lt;&gt;"específica",AN81&lt;&gt;""),OR(AO81&lt;&gt;"específica",AP81&lt;&gt;"")),"OK","Revisar"))</f>
        <v/>
      </c>
    </row>
    <row r="82" ht="15" customHeight="1" spans="1:46" x14ac:dyDescent="0.25">
      <c r="A82" s="15"/>
      <c r="B82" s="15"/>
      <c r="C82" s="15"/>
      <c r="D82" s="15"/>
      <c r="E82" s="15"/>
      <c r="F82" s="15"/>
      <c r="G82" s="15"/>
      <c r="H82" s="15"/>
      <c r="I82" s="15"/>
      <c r="J82" s="19">
        <f>IF(OR(H82="",I82=""),"",IFERROR(INDEX(Catalogo_Vehiculos!$C$2:$C$1325,MATCH(TRUE(),INDEX(Catalogo_Vehiculos!$G$2:$G$1325=H82&amp;"|"&amp;I82,0),0)),"No en catálogo"))</f>
      </c>
      <c r="K82" s="19">
        <f>IF(OR(H82="",I82=""),"",IFERROR(INDEX(Catalogo_Vehiculos!$D$2:$D$1325,MATCH(TRUE(),INDEX(Catalogo_Vehiculos!$G$2:$G$1325=H82&amp;"|"&amp;I82,0),0)),"No en catálogo"))</f>
      </c>
      <c r="L82" s="19">
        <f>IF(OR(H82="",I82=""),"",IFERROR(INDEX(Catalogo_Vehiculos!$E$2:$E$1325,MATCH(TRUE(),INDEX(Catalogo_Vehiculos!$G$2:$G$1325=H82&amp;"|"&amp;I82,0),0)),"No en catálogo"))</f>
      </c>
      <c r="M82" s="19">
        <f>IF(OR(H82="",I82=""),"",IFERROR(INDEX(Catalogo_Vehiculos!$F$2:$F$1325,MATCH(TRUE(),INDEX(Catalogo_Vehiculos!$G$2:$G$1325=H82&amp;"|"&amp;I82,0),0)),"No en catálogo"))</f>
      </c>
      <c r="N82" s="20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9"/>
      <c r="Z82" s="19"/>
      <c r="AA82" s="15"/>
      <c r="AB82" s="15"/>
      <c r="AC82" s="15"/>
      <c r="AD82" s="15"/>
      <c r="AE82" s="15"/>
      <c r="AF82" s="19"/>
      <c r="AG82" s="19"/>
      <c r="AH82" s="15"/>
      <c r="AI82" s="15"/>
      <c r="AJ82" s="15"/>
      <c r="AK82" s="15"/>
      <c r="AL82" s="21"/>
      <c r="AM82" s="15"/>
      <c r="AN82" s="15"/>
      <c r="AO82" s="15"/>
      <c r="AP82" s="15"/>
      <c r="AQ82" s="15"/>
      <c r="AR82" s="15"/>
      <c r="AS82" s="15"/>
      <c r="AT82" s="19" t="str">
        <f>IF(COUNTA(A82:I82)+COUNTA(N82:X82)+COUNTA(AA82:AE82)+COUNTA(AH82:AS82)=0,"",IF(AND(A82&lt;&gt;"",E82&lt;&gt;"",OR(F82&lt;&gt;"",G82&lt;&gt;""),H82&lt;&gt;"",I82&lt;&gt;"",J82&lt;&gt;"No en catálogo",S82&lt;&gt;"",T82&lt;&gt;"",U82&lt;&gt;"",V82&lt;&gt;"",OR(AR82&lt;&gt;"",AND(W82&lt;&gt;"",X82&lt;&gt;"",AA82&lt;&gt;"",AB82&lt;&gt;"")),OR(AS82&lt;&gt;"",AND(AD82&lt;&gt;"",AE82&lt;&gt;"",AH82&lt;&gt;"",AI82&lt;&gt;"")),AK82&lt;&gt;"",OR(AK82&lt;&gt;"programado",AL82&lt;&gt;""),OR(AM82&lt;&gt;"específica",AN82&lt;&gt;""),OR(AO82&lt;&gt;"específica",AP82&lt;&gt;"")),"OK","Revisar"))</f>
        <v/>
      </c>
    </row>
    <row r="83" ht="15" customHeight="1" spans="1:46" x14ac:dyDescent="0.25">
      <c r="A83" s="15"/>
      <c r="B83" s="15"/>
      <c r="C83" s="15"/>
      <c r="D83" s="15"/>
      <c r="E83" s="15"/>
      <c r="F83" s="15"/>
      <c r="G83" s="15"/>
      <c r="H83" s="15"/>
      <c r="I83" s="15"/>
      <c r="J83" s="19">
        <f>IF(OR(H83="",I83=""),"",IFERROR(INDEX(Catalogo_Vehiculos!$C$2:$C$1325,MATCH(TRUE(),INDEX(Catalogo_Vehiculos!$G$2:$G$1325=H83&amp;"|"&amp;I83,0),0)),"No en catálogo"))</f>
      </c>
      <c r="K83" s="19">
        <f>IF(OR(H83="",I83=""),"",IFERROR(INDEX(Catalogo_Vehiculos!$D$2:$D$1325,MATCH(TRUE(),INDEX(Catalogo_Vehiculos!$G$2:$G$1325=H83&amp;"|"&amp;I83,0),0)),"No en catálogo"))</f>
      </c>
      <c r="L83" s="19">
        <f>IF(OR(H83="",I83=""),"",IFERROR(INDEX(Catalogo_Vehiculos!$E$2:$E$1325,MATCH(TRUE(),INDEX(Catalogo_Vehiculos!$G$2:$G$1325=H83&amp;"|"&amp;I83,0),0)),"No en catálogo"))</f>
      </c>
      <c r="M83" s="19">
        <f>IF(OR(H83="",I83=""),"",IFERROR(INDEX(Catalogo_Vehiculos!$F$2:$F$1325,MATCH(TRUE(),INDEX(Catalogo_Vehiculos!$G$2:$G$1325=H83&amp;"|"&amp;I83,0),0)),"No en catálogo"))</f>
      </c>
      <c r="N83" s="20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9"/>
      <c r="Z83" s="19"/>
      <c r="AA83" s="15"/>
      <c r="AB83" s="15"/>
      <c r="AC83" s="15"/>
      <c r="AD83" s="15"/>
      <c r="AE83" s="15"/>
      <c r="AF83" s="19"/>
      <c r="AG83" s="19"/>
      <c r="AH83" s="15"/>
      <c r="AI83" s="15"/>
      <c r="AJ83" s="15"/>
      <c r="AK83" s="15"/>
      <c r="AL83" s="21"/>
      <c r="AM83" s="15"/>
      <c r="AN83" s="15"/>
      <c r="AO83" s="15"/>
      <c r="AP83" s="15"/>
      <c r="AQ83" s="15"/>
      <c r="AR83" s="15"/>
      <c r="AS83" s="15"/>
      <c r="AT83" s="19" t="str">
        <f>IF(COUNTA(A83:I83)+COUNTA(N83:X83)+COUNTA(AA83:AE83)+COUNTA(AH83:AS83)=0,"",IF(AND(A83&lt;&gt;"",E83&lt;&gt;"",OR(F83&lt;&gt;"",G83&lt;&gt;""),H83&lt;&gt;"",I83&lt;&gt;"",J83&lt;&gt;"No en catálogo",S83&lt;&gt;"",T83&lt;&gt;"",U83&lt;&gt;"",V83&lt;&gt;"",OR(AR83&lt;&gt;"",AND(W83&lt;&gt;"",X83&lt;&gt;"",AA83&lt;&gt;"",AB83&lt;&gt;"")),OR(AS83&lt;&gt;"",AND(AD83&lt;&gt;"",AE83&lt;&gt;"",AH83&lt;&gt;"",AI83&lt;&gt;"")),AK83&lt;&gt;"",OR(AK83&lt;&gt;"programado",AL83&lt;&gt;""),OR(AM83&lt;&gt;"específica",AN83&lt;&gt;""),OR(AO83&lt;&gt;"específica",AP83&lt;&gt;"")),"OK","Revisar"))</f>
        <v/>
      </c>
    </row>
    <row r="84" ht="15" customHeight="1" spans="1:46" x14ac:dyDescent="0.25">
      <c r="A84" s="15"/>
      <c r="B84" s="15"/>
      <c r="C84" s="15"/>
      <c r="D84" s="15"/>
      <c r="E84" s="15"/>
      <c r="F84" s="15"/>
      <c r="G84" s="15"/>
      <c r="H84" s="15"/>
      <c r="I84" s="15"/>
      <c r="J84" s="19">
        <f>IF(OR(H84="",I84=""),"",IFERROR(INDEX(Catalogo_Vehiculos!$C$2:$C$1325,MATCH(TRUE(),INDEX(Catalogo_Vehiculos!$G$2:$G$1325=H84&amp;"|"&amp;I84,0),0)),"No en catálogo"))</f>
      </c>
      <c r="K84" s="19">
        <f>IF(OR(H84="",I84=""),"",IFERROR(INDEX(Catalogo_Vehiculos!$D$2:$D$1325,MATCH(TRUE(),INDEX(Catalogo_Vehiculos!$G$2:$G$1325=H84&amp;"|"&amp;I84,0),0)),"No en catálogo"))</f>
      </c>
      <c r="L84" s="19">
        <f>IF(OR(H84="",I84=""),"",IFERROR(INDEX(Catalogo_Vehiculos!$E$2:$E$1325,MATCH(TRUE(),INDEX(Catalogo_Vehiculos!$G$2:$G$1325=H84&amp;"|"&amp;I84,0),0)),"No en catálogo"))</f>
      </c>
      <c r="M84" s="19">
        <f>IF(OR(H84="",I84=""),"",IFERROR(INDEX(Catalogo_Vehiculos!$F$2:$F$1325,MATCH(TRUE(),INDEX(Catalogo_Vehiculos!$G$2:$G$1325=H84&amp;"|"&amp;I84,0),0)),"No en catálogo"))</f>
      </c>
      <c r="N84" s="20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9"/>
      <c r="Z84" s="19"/>
      <c r="AA84" s="15"/>
      <c r="AB84" s="15"/>
      <c r="AC84" s="15"/>
      <c r="AD84" s="15"/>
      <c r="AE84" s="15"/>
      <c r="AF84" s="19"/>
      <c r="AG84" s="19"/>
      <c r="AH84" s="15"/>
      <c r="AI84" s="15"/>
      <c r="AJ84" s="15"/>
      <c r="AK84" s="15"/>
      <c r="AL84" s="21"/>
      <c r="AM84" s="15"/>
      <c r="AN84" s="15"/>
      <c r="AO84" s="15"/>
      <c r="AP84" s="15"/>
      <c r="AQ84" s="15"/>
      <c r="AR84" s="15"/>
      <c r="AS84" s="15"/>
      <c r="AT84" s="19" t="str">
        <f>IF(COUNTA(A84:I84)+COUNTA(N84:X84)+COUNTA(AA84:AE84)+COUNTA(AH84:AS84)=0,"",IF(AND(A84&lt;&gt;"",E84&lt;&gt;"",OR(F84&lt;&gt;"",G84&lt;&gt;""),H84&lt;&gt;"",I84&lt;&gt;"",J84&lt;&gt;"No en catálogo",S84&lt;&gt;"",T84&lt;&gt;"",U84&lt;&gt;"",V84&lt;&gt;"",OR(AR84&lt;&gt;"",AND(W84&lt;&gt;"",X84&lt;&gt;"",AA84&lt;&gt;"",AB84&lt;&gt;"")),OR(AS84&lt;&gt;"",AND(AD84&lt;&gt;"",AE84&lt;&gt;"",AH84&lt;&gt;"",AI84&lt;&gt;"")),AK84&lt;&gt;"",OR(AK84&lt;&gt;"programado",AL84&lt;&gt;""),OR(AM84&lt;&gt;"específica",AN84&lt;&gt;""),OR(AO84&lt;&gt;"específica",AP84&lt;&gt;"")),"OK","Revisar"))</f>
        <v/>
      </c>
    </row>
    <row r="85" ht="15" customHeight="1" spans="1:46" x14ac:dyDescent="0.25">
      <c r="A85" s="15"/>
      <c r="B85" s="15"/>
      <c r="C85" s="15"/>
      <c r="D85" s="15"/>
      <c r="E85" s="15"/>
      <c r="F85" s="15"/>
      <c r="G85" s="15"/>
      <c r="H85" s="15"/>
      <c r="I85" s="15"/>
      <c r="J85" s="19">
        <f>IF(OR(H85="",I85=""),"",IFERROR(INDEX(Catalogo_Vehiculos!$C$2:$C$1325,MATCH(TRUE(),INDEX(Catalogo_Vehiculos!$G$2:$G$1325=H85&amp;"|"&amp;I85,0),0)),"No en catálogo"))</f>
      </c>
      <c r="K85" s="19">
        <f>IF(OR(H85="",I85=""),"",IFERROR(INDEX(Catalogo_Vehiculos!$D$2:$D$1325,MATCH(TRUE(),INDEX(Catalogo_Vehiculos!$G$2:$G$1325=H85&amp;"|"&amp;I85,0),0)),"No en catálogo"))</f>
      </c>
      <c r="L85" s="19">
        <f>IF(OR(H85="",I85=""),"",IFERROR(INDEX(Catalogo_Vehiculos!$E$2:$E$1325,MATCH(TRUE(),INDEX(Catalogo_Vehiculos!$G$2:$G$1325=H85&amp;"|"&amp;I85,0),0)),"No en catálogo"))</f>
      </c>
      <c r="M85" s="19">
        <f>IF(OR(H85="",I85=""),"",IFERROR(INDEX(Catalogo_Vehiculos!$F$2:$F$1325,MATCH(TRUE(),INDEX(Catalogo_Vehiculos!$G$2:$G$1325=H85&amp;"|"&amp;I85,0),0)),"No en catálogo"))</f>
      </c>
      <c r="N85" s="20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9"/>
      <c r="Z85" s="19"/>
      <c r="AA85" s="15"/>
      <c r="AB85" s="15"/>
      <c r="AC85" s="15"/>
      <c r="AD85" s="15"/>
      <c r="AE85" s="15"/>
      <c r="AF85" s="19"/>
      <c r="AG85" s="19"/>
      <c r="AH85" s="15"/>
      <c r="AI85" s="15"/>
      <c r="AJ85" s="15"/>
      <c r="AK85" s="15"/>
      <c r="AL85" s="21"/>
      <c r="AM85" s="15"/>
      <c r="AN85" s="15"/>
      <c r="AO85" s="15"/>
      <c r="AP85" s="15"/>
      <c r="AQ85" s="15"/>
      <c r="AR85" s="15"/>
      <c r="AS85" s="15"/>
      <c r="AT85" s="19" t="str">
        <f>IF(COUNTA(A85:I85)+COUNTA(N85:X85)+COUNTA(AA85:AE85)+COUNTA(AH85:AS85)=0,"",IF(AND(A85&lt;&gt;"",E85&lt;&gt;"",OR(F85&lt;&gt;"",G85&lt;&gt;""),H85&lt;&gt;"",I85&lt;&gt;"",J85&lt;&gt;"No en catálogo",S85&lt;&gt;"",T85&lt;&gt;"",U85&lt;&gt;"",V85&lt;&gt;"",OR(AR85&lt;&gt;"",AND(W85&lt;&gt;"",X85&lt;&gt;"",AA85&lt;&gt;"",AB85&lt;&gt;"")),OR(AS85&lt;&gt;"",AND(AD85&lt;&gt;"",AE85&lt;&gt;"",AH85&lt;&gt;"",AI85&lt;&gt;"")),AK85&lt;&gt;"",OR(AK85&lt;&gt;"programado",AL85&lt;&gt;""),OR(AM85&lt;&gt;"específica",AN85&lt;&gt;""),OR(AO85&lt;&gt;"específica",AP85&lt;&gt;"")),"OK","Revisar"))</f>
        <v/>
      </c>
    </row>
    <row r="86" ht="15" customHeight="1" spans="1:46" x14ac:dyDescent="0.25">
      <c r="A86" s="15"/>
      <c r="B86" s="15"/>
      <c r="C86" s="15"/>
      <c r="D86" s="15"/>
      <c r="E86" s="15"/>
      <c r="F86" s="15"/>
      <c r="G86" s="15"/>
      <c r="H86" s="15"/>
      <c r="I86" s="15"/>
      <c r="J86" s="19">
        <f>IF(OR(H86="",I86=""),"",IFERROR(INDEX(Catalogo_Vehiculos!$C$2:$C$1325,MATCH(TRUE(),INDEX(Catalogo_Vehiculos!$G$2:$G$1325=H86&amp;"|"&amp;I86,0),0)),"No en catálogo"))</f>
      </c>
      <c r="K86" s="19">
        <f>IF(OR(H86="",I86=""),"",IFERROR(INDEX(Catalogo_Vehiculos!$D$2:$D$1325,MATCH(TRUE(),INDEX(Catalogo_Vehiculos!$G$2:$G$1325=H86&amp;"|"&amp;I86,0),0)),"No en catálogo"))</f>
      </c>
      <c r="L86" s="19">
        <f>IF(OR(H86="",I86=""),"",IFERROR(INDEX(Catalogo_Vehiculos!$E$2:$E$1325,MATCH(TRUE(),INDEX(Catalogo_Vehiculos!$G$2:$G$1325=H86&amp;"|"&amp;I86,0),0)),"No en catálogo"))</f>
      </c>
      <c r="M86" s="19">
        <f>IF(OR(H86="",I86=""),"",IFERROR(INDEX(Catalogo_Vehiculos!$F$2:$F$1325,MATCH(TRUE(),INDEX(Catalogo_Vehiculos!$G$2:$G$1325=H86&amp;"|"&amp;I86,0),0)),"No en catálogo"))</f>
      </c>
      <c r="N86" s="20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9"/>
      <c r="Z86" s="19"/>
      <c r="AA86" s="15"/>
      <c r="AB86" s="15"/>
      <c r="AC86" s="15"/>
      <c r="AD86" s="15"/>
      <c r="AE86" s="15"/>
      <c r="AF86" s="19"/>
      <c r="AG86" s="19"/>
      <c r="AH86" s="15"/>
      <c r="AI86" s="15"/>
      <c r="AJ86" s="15"/>
      <c r="AK86" s="15"/>
      <c r="AL86" s="21"/>
      <c r="AM86" s="15"/>
      <c r="AN86" s="15"/>
      <c r="AO86" s="15"/>
      <c r="AP86" s="15"/>
      <c r="AQ86" s="15"/>
      <c r="AR86" s="15"/>
      <c r="AS86" s="15"/>
      <c r="AT86" s="19" t="str">
        <f>IF(COUNTA(A86:I86)+COUNTA(N86:X86)+COUNTA(AA86:AE86)+COUNTA(AH86:AS86)=0,"",IF(AND(A86&lt;&gt;"",E86&lt;&gt;"",OR(F86&lt;&gt;"",G86&lt;&gt;""),H86&lt;&gt;"",I86&lt;&gt;"",J86&lt;&gt;"No en catálogo",S86&lt;&gt;"",T86&lt;&gt;"",U86&lt;&gt;"",V86&lt;&gt;"",OR(AR86&lt;&gt;"",AND(W86&lt;&gt;"",X86&lt;&gt;"",AA86&lt;&gt;"",AB86&lt;&gt;"")),OR(AS86&lt;&gt;"",AND(AD86&lt;&gt;"",AE86&lt;&gt;"",AH86&lt;&gt;"",AI86&lt;&gt;"")),AK86&lt;&gt;"",OR(AK86&lt;&gt;"programado",AL86&lt;&gt;""),OR(AM86&lt;&gt;"específica",AN86&lt;&gt;""),OR(AO86&lt;&gt;"específica",AP86&lt;&gt;"")),"OK","Revisar"))</f>
        <v/>
      </c>
    </row>
    <row r="87" ht="15" customHeight="1" spans="1:46" x14ac:dyDescent="0.25">
      <c r="A87" s="15"/>
      <c r="B87" s="15"/>
      <c r="C87" s="15"/>
      <c r="D87" s="15"/>
      <c r="E87" s="15"/>
      <c r="F87" s="15"/>
      <c r="G87" s="15"/>
      <c r="H87" s="15"/>
      <c r="I87" s="15"/>
      <c r="J87" s="19">
        <f>IF(OR(H87="",I87=""),"",IFERROR(INDEX(Catalogo_Vehiculos!$C$2:$C$1325,MATCH(TRUE(),INDEX(Catalogo_Vehiculos!$G$2:$G$1325=H87&amp;"|"&amp;I87,0),0)),"No en catálogo"))</f>
      </c>
      <c r="K87" s="19">
        <f>IF(OR(H87="",I87=""),"",IFERROR(INDEX(Catalogo_Vehiculos!$D$2:$D$1325,MATCH(TRUE(),INDEX(Catalogo_Vehiculos!$G$2:$G$1325=H87&amp;"|"&amp;I87,0),0)),"No en catálogo"))</f>
      </c>
      <c r="L87" s="19">
        <f>IF(OR(H87="",I87=""),"",IFERROR(INDEX(Catalogo_Vehiculos!$E$2:$E$1325,MATCH(TRUE(),INDEX(Catalogo_Vehiculos!$G$2:$G$1325=H87&amp;"|"&amp;I87,0),0)),"No en catálogo"))</f>
      </c>
      <c r="M87" s="19">
        <f>IF(OR(H87="",I87=""),"",IFERROR(INDEX(Catalogo_Vehiculos!$F$2:$F$1325,MATCH(TRUE(),INDEX(Catalogo_Vehiculos!$G$2:$G$1325=H87&amp;"|"&amp;I87,0),0)),"No en catálogo"))</f>
      </c>
      <c r="N87" s="20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9"/>
      <c r="Z87" s="19"/>
      <c r="AA87" s="15"/>
      <c r="AB87" s="15"/>
      <c r="AC87" s="15"/>
      <c r="AD87" s="15"/>
      <c r="AE87" s="15"/>
      <c r="AF87" s="19"/>
      <c r="AG87" s="19"/>
      <c r="AH87" s="15"/>
      <c r="AI87" s="15"/>
      <c r="AJ87" s="15"/>
      <c r="AK87" s="15"/>
      <c r="AL87" s="21"/>
      <c r="AM87" s="15"/>
      <c r="AN87" s="15"/>
      <c r="AO87" s="15"/>
      <c r="AP87" s="15"/>
      <c r="AQ87" s="15"/>
      <c r="AR87" s="15"/>
      <c r="AS87" s="15"/>
      <c r="AT87" s="19" t="str">
        <f>IF(COUNTA(A87:I87)+COUNTA(N87:X87)+COUNTA(AA87:AE87)+COUNTA(AH87:AS87)=0,"",IF(AND(A87&lt;&gt;"",E87&lt;&gt;"",OR(F87&lt;&gt;"",G87&lt;&gt;""),H87&lt;&gt;"",I87&lt;&gt;"",J87&lt;&gt;"No en catálogo",S87&lt;&gt;"",T87&lt;&gt;"",U87&lt;&gt;"",V87&lt;&gt;"",OR(AR87&lt;&gt;"",AND(W87&lt;&gt;"",X87&lt;&gt;"",AA87&lt;&gt;"",AB87&lt;&gt;"")),OR(AS87&lt;&gt;"",AND(AD87&lt;&gt;"",AE87&lt;&gt;"",AH87&lt;&gt;"",AI87&lt;&gt;"")),AK87&lt;&gt;"",OR(AK87&lt;&gt;"programado",AL87&lt;&gt;""),OR(AM87&lt;&gt;"específica",AN87&lt;&gt;""),OR(AO87&lt;&gt;"específica",AP87&lt;&gt;"")),"OK","Revisar"))</f>
        <v/>
      </c>
    </row>
    <row r="88" ht="15" customHeight="1" spans="1:46" x14ac:dyDescent="0.25">
      <c r="A88" s="15"/>
      <c r="B88" s="15"/>
      <c r="C88" s="15"/>
      <c r="D88" s="15"/>
      <c r="E88" s="15"/>
      <c r="F88" s="15"/>
      <c r="G88" s="15"/>
      <c r="H88" s="15"/>
      <c r="I88" s="15"/>
      <c r="J88" s="19">
        <f>IF(OR(H88="",I88=""),"",IFERROR(INDEX(Catalogo_Vehiculos!$C$2:$C$1325,MATCH(TRUE(),INDEX(Catalogo_Vehiculos!$G$2:$G$1325=H88&amp;"|"&amp;I88,0),0)),"No en catálogo"))</f>
      </c>
      <c r="K88" s="19">
        <f>IF(OR(H88="",I88=""),"",IFERROR(INDEX(Catalogo_Vehiculos!$D$2:$D$1325,MATCH(TRUE(),INDEX(Catalogo_Vehiculos!$G$2:$G$1325=H88&amp;"|"&amp;I88,0),0)),"No en catálogo"))</f>
      </c>
      <c r="L88" s="19">
        <f>IF(OR(H88="",I88=""),"",IFERROR(INDEX(Catalogo_Vehiculos!$E$2:$E$1325,MATCH(TRUE(),INDEX(Catalogo_Vehiculos!$G$2:$G$1325=H88&amp;"|"&amp;I88,0),0)),"No en catálogo"))</f>
      </c>
      <c r="M88" s="19">
        <f>IF(OR(H88="",I88=""),"",IFERROR(INDEX(Catalogo_Vehiculos!$F$2:$F$1325,MATCH(TRUE(),INDEX(Catalogo_Vehiculos!$G$2:$G$1325=H88&amp;"|"&amp;I88,0),0)),"No en catálogo"))</f>
      </c>
      <c r="N88" s="20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9"/>
      <c r="Z88" s="19"/>
      <c r="AA88" s="15"/>
      <c r="AB88" s="15"/>
      <c r="AC88" s="15"/>
      <c r="AD88" s="15"/>
      <c r="AE88" s="15"/>
      <c r="AF88" s="19"/>
      <c r="AG88" s="19"/>
      <c r="AH88" s="15"/>
      <c r="AI88" s="15"/>
      <c r="AJ88" s="15"/>
      <c r="AK88" s="15"/>
      <c r="AL88" s="21"/>
      <c r="AM88" s="15"/>
      <c r="AN88" s="15"/>
      <c r="AO88" s="15"/>
      <c r="AP88" s="15"/>
      <c r="AQ88" s="15"/>
      <c r="AR88" s="15"/>
      <c r="AS88" s="15"/>
      <c r="AT88" s="19" t="str">
        <f>IF(COUNTA(A88:I88)+COUNTA(N88:X88)+COUNTA(AA88:AE88)+COUNTA(AH88:AS88)=0,"",IF(AND(A88&lt;&gt;"",E88&lt;&gt;"",OR(F88&lt;&gt;"",G88&lt;&gt;""),H88&lt;&gt;"",I88&lt;&gt;"",J88&lt;&gt;"No en catálogo",S88&lt;&gt;"",T88&lt;&gt;"",U88&lt;&gt;"",V88&lt;&gt;"",OR(AR88&lt;&gt;"",AND(W88&lt;&gt;"",X88&lt;&gt;"",AA88&lt;&gt;"",AB88&lt;&gt;"")),OR(AS88&lt;&gt;"",AND(AD88&lt;&gt;"",AE88&lt;&gt;"",AH88&lt;&gt;"",AI88&lt;&gt;"")),AK88&lt;&gt;"",OR(AK88&lt;&gt;"programado",AL88&lt;&gt;""),OR(AM88&lt;&gt;"específica",AN88&lt;&gt;""),OR(AO88&lt;&gt;"específica",AP88&lt;&gt;"")),"OK","Revisar"))</f>
        <v/>
      </c>
    </row>
    <row r="89" ht="15" customHeight="1" spans="1:46" x14ac:dyDescent="0.25">
      <c r="A89" s="15"/>
      <c r="B89" s="15"/>
      <c r="C89" s="15"/>
      <c r="D89" s="15"/>
      <c r="E89" s="15"/>
      <c r="F89" s="15"/>
      <c r="G89" s="15"/>
      <c r="H89" s="15"/>
      <c r="I89" s="15"/>
      <c r="J89" s="19">
        <f>IF(OR(H89="",I89=""),"",IFERROR(INDEX(Catalogo_Vehiculos!$C$2:$C$1325,MATCH(TRUE(),INDEX(Catalogo_Vehiculos!$G$2:$G$1325=H89&amp;"|"&amp;I89,0),0)),"No en catálogo"))</f>
      </c>
      <c r="K89" s="19">
        <f>IF(OR(H89="",I89=""),"",IFERROR(INDEX(Catalogo_Vehiculos!$D$2:$D$1325,MATCH(TRUE(),INDEX(Catalogo_Vehiculos!$G$2:$G$1325=H89&amp;"|"&amp;I89,0),0)),"No en catálogo"))</f>
      </c>
      <c r="L89" s="19">
        <f>IF(OR(H89="",I89=""),"",IFERROR(INDEX(Catalogo_Vehiculos!$E$2:$E$1325,MATCH(TRUE(),INDEX(Catalogo_Vehiculos!$G$2:$G$1325=H89&amp;"|"&amp;I89,0),0)),"No en catálogo"))</f>
      </c>
      <c r="M89" s="19">
        <f>IF(OR(H89="",I89=""),"",IFERROR(INDEX(Catalogo_Vehiculos!$F$2:$F$1325,MATCH(TRUE(),INDEX(Catalogo_Vehiculos!$G$2:$G$1325=H89&amp;"|"&amp;I89,0),0)),"No en catálogo"))</f>
      </c>
      <c r="N89" s="20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9"/>
      <c r="Z89" s="19"/>
      <c r="AA89" s="15"/>
      <c r="AB89" s="15"/>
      <c r="AC89" s="15"/>
      <c r="AD89" s="15"/>
      <c r="AE89" s="15"/>
      <c r="AF89" s="19"/>
      <c r="AG89" s="19"/>
      <c r="AH89" s="15"/>
      <c r="AI89" s="15"/>
      <c r="AJ89" s="15"/>
      <c r="AK89" s="15"/>
      <c r="AL89" s="21"/>
      <c r="AM89" s="15"/>
      <c r="AN89" s="15"/>
      <c r="AO89" s="15"/>
      <c r="AP89" s="15"/>
      <c r="AQ89" s="15"/>
      <c r="AR89" s="15"/>
      <c r="AS89" s="15"/>
      <c r="AT89" s="19" t="str">
        <f>IF(COUNTA(A89:I89)+COUNTA(N89:X89)+COUNTA(AA89:AE89)+COUNTA(AH89:AS89)=0,"",IF(AND(A89&lt;&gt;"",E89&lt;&gt;"",OR(F89&lt;&gt;"",G89&lt;&gt;""),H89&lt;&gt;"",I89&lt;&gt;"",J89&lt;&gt;"No en catálogo",S89&lt;&gt;"",T89&lt;&gt;"",U89&lt;&gt;"",V89&lt;&gt;"",OR(AR89&lt;&gt;"",AND(W89&lt;&gt;"",X89&lt;&gt;"",AA89&lt;&gt;"",AB89&lt;&gt;"")),OR(AS89&lt;&gt;"",AND(AD89&lt;&gt;"",AE89&lt;&gt;"",AH89&lt;&gt;"",AI89&lt;&gt;"")),AK89&lt;&gt;"",OR(AK89&lt;&gt;"programado",AL89&lt;&gt;""),OR(AM89&lt;&gt;"específica",AN89&lt;&gt;""),OR(AO89&lt;&gt;"específica",AP89&lt;&gt;"")),"OK","Revisar"))</f>
        <v/>
      </c>
    </row>
    <row r="90" ht="15" customHeight="1" spans="1:46" x14ac:dyDescent="0.25">
      <c r="A90" s="15"/>
      <c r="B90" s="15"/>
      <c r="C90" s="15"/>
      <c r="D90" s="15"/>
      <c r="E90" s="15"/>
      <c r="F90" s="15"/>
      <c r="G90" s="15"/>
      <c r="H90" s="15"/>
      <c r="I90" s="15"/>
      <c r="J90" s="19">
        <f>IF(OR(H90="",I90=""),"",IFERROR(INDEX(Catalogo_Vehiculos!$C$2:$C$1325,MATCH(TRUE(),INDEX(Catalogo_Vehiculos!$G$2:$G$1325=H90&amp;"|"&amp;I90,0),0)),"No en catálogo"))</f>
      </c>
      <c r="K90" s="19">
        <f>IF(OR(H90="",I90=""),"",IFERROR(INDEX(Catalogo_Vehiculos!$D$2:$D$1325,MATCH(TRUE(),INDEX(Catalogo_Vehiculos!$G$2:$G$1325=H90&amp;"|"&amp;I90,0),0)),"No en catálogo"))</f>
      </c>
      <c r="L90" s="19">
        <f>IF(OR(H90="",I90=""),"",IFERROR(INDEX(Catalogo_Vehiculos!$E$2:$E$1325,MATCH(TRUE(),INDEX(Catalogo_Vehiculos!$G$2:$G$1325=H90&amp;"|"&amp;I90,0),0)),"No en catálogo"))</f>
      </c>
      <c r="M90" s="19">
        <f>IF(OR(H90="",I90=""),"",IFERROR(INDEX(Catalogo_Vehiculos!$F$2:$F$1325,MATCH(TRUE(),INDEX(Catalogo_Vehiculos!$G$2:$G$1325=H90&amp;"|"&amp;I90,0),0)),"No en catálogo"))</f>
      </c>
      <c r="N90" s="20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9"/>
      <c r="Z90" s="19"/>
      <c r="AA90" s="15"/>
      <c r="AB90" s="15"/>
      <c r="AC90" s="15"/>
      <c r="AD90" s="15"/>
      <c r="AE90" s="15"/>
      <c r="AF90" s="19"/>
      <c r="AG90" s="19"/>
      <c r="AH90" s="15"/>
      <c r="AI90" s="15"/>
      <c r="AJ90" s="15"/>
      <c r="AK90" s="15"/>
      <c r="AL90" s="21"/>
      <c r="AM90" s="15"/>
      <c r="AN90" s="15"/>
      <c r="AO90" s="15"/>
      <c r="AP90" s="15"/>
      <c r="AQ90" s="15"/>
      <c r="AR90" s="15"/>
      <c r="AS90" s="15"/>
      <c r="AT90" s="19" t="str">
        <f>IF(COUNTA(A90:I90)+COUNTA(N90:X90)+COUNTA(AA90:AE90)+COUNTA(AH90:AS90)=0,"",IF(AND(A90&lt;&gt;"",E90&lt;&gt;"",OR(F90&lt;&gt;"",G90&lt;&gt;""),H90&lt;&gt;"",I90&lt;&gt;"",J90&lt;&gt;"No en catálogo",S90&lt;&gt;"",T90&lt;&gt;"",U90&lt;&gt;"",V90&lt;&gt;"",OR(AR90&lt;&gt;"",AND(W90&lt;&gt;"",X90&lt;&gt;"",AA90&lt;&gt;"",AB90&lt;&gt;"")),OR(AS90&lt;&gt;"",AND(AD90&lt;&gt;"",AE90&lt;&gt;"",AH90&lt;&gt;"",AI90&lt;&gt;"")),AK90&lt;&gt;"",OR(AK90&lt;&gt;"programado",AL90&lt;&gt;""),OR(AM90&lt;&gt;"específica",AN90&lt;&gt;""),OR(AO90&lt;&gt;"específica",AP90&lt;&gt;"")),"OK","Revisar"))</f>
        <v/>
      </c>
    </row>
    <row r="91" ht="15" customHeight="1" spans="1:46" x14ac:dyDescent="0.25">
      <c r="A91" s="15"/>
      <c r="B91" s="15"/>
      <c r="C91" s="15"/>
      <c r="D91" s="15"/>
      <c r="E91" s="15"/>
      <c r="F91" s="15"/>
      <c r="G91" s="15"/>
      <c r="H91" s="15"/>
      <c r="I91" s="15"/>
      <c r="J91" s="19">
        <f>IF(OR(H91="",I91=""),"",IFERROR(INDEX(Catalogo_Vehiculos!$C$2:$C$1325,MATCH(TRUE(),INDEX(Catalogo_Vehiculos!$G$2:$G$1325=H91&amp;"|"&amp;I91,0),0)),"No en catálogo"))</f>
      </c>
      <c r="K91" s="19">
        <f>IF(OR(H91="",I91=""),"",IFERROR(INDEX(Catalogo_Vehiculos!$D$2:$D$1325,MATCH(TRUE(),INDEX(Catalogo_Vehiculos!$G$2:$G$1325=H91&amp;"|"&amp;I91,0),0)),"No en catálogo"))</f>
      </c>
      <c r="L91" s="19">
        <f>IF(OR(H91="",I91=""),"",IFERROR(INDEX(Catalogo_Vehiculos!$E$2:$E$1325,MATCH(TRUE(),INDEX(Catalogo_Vehiculos!$G$2:$G$1325=H91&amp;"|"&amp;I91,0),0)),"No en catálogo"))</f>
      </c>
      <c r="M91" s="19">
        <f>IF(OR(H91="",I91=""),"",IFERROR(INDEX(Catalogo_Vehiculos!$F$2:$F$1325,MATCH(TRUE(),INDEX(Catalogo_Vehiculos!$G$2:$G$1325=H91&amp;"|"&amp;I91,0),0)),"No en catálogo"))</f>
      </c>
      <c r="N91" s="20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9"/>
      <c r="Z91" s="19"/>
      <c r="AA91" s="15"/>
      <c r="AB91" s="15"/>
      <c r="AC91" s="15"/>
      <c r="AD91" s="15"/>
      <c r="AE91" s="15"/>
      <c r="AF91" s="19"/>
      <c r="AG91" s="19"/>
      <c r="AH91" s="15"/>
      <c r="AI91" s="15"/>
      <c r="AJ91" s="15"/>
      <c r="AK91" s="15"/>
      <c r="AL91" s="21"/>
      <c r="AM91" s="15"/>
      <c r="AN91" s="15"/>
      <c r="AO91" s="15"/>
      <c r="AP91" s="15"/>
      <c r="AQ91" s="15"/>
      <c r="AR91" s="15"/>
      <c r="AS91" s="15"/>
      <c r="AT91" s="19" t="str">
        <f>IF(COUNTA(A91:I91)+COUNTA(N91:X91)+COUNTA(AA91:AE91)+COUNTA(AH91:AS91)=0,"",IF(AND(A91&lt;&gt;"",E91&lt;&gt;"",OR(F91&lt;&gt;"",G91&lt;&gt;""),H91&lt;&gt;"",I91&lt;&gt;"",J91&lt;&gt;"No en catálogo",S91&lt;&gt;"",T91&lt;&gt;"",U91&lt;&gt;"",V91&lt;&gt;"",OR(AR91&lt;&gt;"",AND(W91&lt;&gt;"",X91&lt;&gt;"",AA91&lt;&gt;"",AB91&lt;&gt;"")),OR(AS91&lt;&gt;"",AND(AD91&lt;&gt;"",AE91&lt;&gt;"",AH91&lt;&gt;"",AI91&lt;&gt;"")),AK91&lt;&gt;"",OR(AK91&lt;&gt;"programado",AL91&lt;&gt;""),OR(AM91&lt;&gt;"específica",AN91&lt;&gt;""),OR(AO91&lt;&gt;"específica",AP91&lt;&gt;"")),"OK","Revisar"))</f>
        <v/>
      </c>
    </row>
    <row r="92" ht="15" customHeight="1" spans="1:46" x14ac:dyDescent="0.25">
      <c r="A92" s="15"/>
      <c r="B92" s="15"/>
      <c r="C92" s="15"/>
      <c r="D92" s="15"/>
      <c r="E92" s="15"/>
      <c r="F92" s="15"/>
      <c r="G92" s="15"/>
      <c r="H92" s="15"/>
      <c r="I92" s="15"/>
      <c r="J92" s="19">
        <f>IF(OR(H92="",I92=""),"",IFERROR(INDEX(Catalogo_Vehiculos!$C$2:$C$1325,MATCH(TRUE(),INDEX(Catalogo_Vehiculos!$G$2:$G$1325=H92&amp;"|"&amp;I92,0),0)),"No en catálogo"))</f>
      </c>
      <c r="K92" s="19">
        <f>IF(OR(H92="",I92=""),"",IFERROR(INDEX(Catalogo_Vehiculos!$D$2:$D$1325,MATCH(TRUE(),INDEX(Catalogo_Vehiculos!$G$2:$G$1325=H92&amp;"|"&amp;I92,0),0)),"No en catálogo"))</f>
      </c>
      <c r="L92" s="19">
        <f>IF(OR(H92="",I92=""),"",IFERROR(INDEX(Catalogo_Vehiculos!$E$2:$E$1325,MATCH(TRUE(),INDEX(Catalogo_Vehiculos!$G$2:$G$1325=H92&amp;"|"&amp;I92,0),0)),"No en catálogo"))</f>
      </c>
      <c r="M92" s="19">
        <f>IF(OR(H92="",I92=""),"",IFERROR(INDEX(Catalogo_Vehiculos!$F$2:$F$1325,MATCH(TRUE(),INDEX(Catalogo_Vehiculos!$G$2:$G$1325=H92&amp;"|"&amp;I92,0),0)),"No en catálogo"))</f>
      </c>
      <c r="N92" s="20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9"/>
      <c r="Z92" s="19"/>
      <c r="AA92" s="15"/>
      <c r="AB92" s="15"/>
      <c r="AC92" s="15"/>
      <c r="AD92" s="15"/>
      <c r="AE92" s="15"/>
      <c r="AF92" s="19"/>
      <c r="AG92" s="19"/>
      <c r="AH92" s="15"/>
      <c r="AI92" s="15"/>
      <c r="AJ92" s="15"/>
      <c r="AK92" s="15"/>
      <c r="AL92" s="21"/>
      <c r="AM92" s="15"/>
      <c r="AN92" s="15"/>
      <c r="AO92" s="15"/>
      <c r="AP92" s="15"/>
      <c r="AQ92" s="15"/>
      <c r="AR92" s="15"/>
      <c r="AS92" s="15"/>
      <c r="AT92" s="19" t="str">
        <f>IF(COUNTA(A92:I92)+COUNTA(N92:X92)+COUNTA(AA92:AE92)+COUNTA(AH92:AS92)=0,"",IF(AND(A92&lt;&gt;"",E92&lt;&gt;"",OR(F92&lt;&gt;"",G92&lt;&gt;""),H92&lt;&gt;"",I92&lt;&gt;"",J92&lt;&gt;"No en catálogo",S92&lt;&gt;"",T92&lt;&gt;"",U92&lt;&gt;"",V92&lt;&gt;"",OR(AR92&lt;&gt;"",AND(W92&lt;&gt;"",X92&lt;&gt;"",AA92&lt;&gt;"",AB92&lt;&gt;"")),OR(AS92&lt;&gt;"",AND(AD92&lt;&gt;"",AE92&lt;&gt;"",AH92&lt;&gt;"",AI92&lt;&gt;"")),AK92&lt;&gt;"",OR(AK92&lt;&gt;"programado",AL92&lt;&gt;""),OR(AM92&lt;&gt;"específica",AN92&lt;&gt;""),OR(AO92&lt;&gt;"específica",AP92&lt;&gt;"")),"OK","Revisar"))</f>
        <v/>
      </c>
    </row>
    <row r="93" ht="15" customHeight="1" spans="1:46" x14ac:dyDescent="0.25">
      <c r="A93" s="15"/>
      <c r="B93" s="15"/>
      <c r="C93" s="15"/>
      <c r="D93" s="15"/>
      <c r="E93" s="15"/>
      <c r="F93" s="15"/>
      <c r="G93" s="15"/>
      <c r="H93" s="15"/>
      <c r="I93" s="15"/>
      <c r="J93" s="19">
        <f>IF(OR(H93="",I93=""),"",IFERROR(INDEX(Catalogo_Vehiculos!$C$2:$C$1325,MATCH(TRUE(),INDEX(Catalogo_Vehiculos!$G$2:$G$1325=H93&amp;"|"&amp;I93,0),0)),"No en catálogo"))</f>
      </c>
      <c r="K93" s="19">
        <f>IF(OR(H93="",I93=""),"",IFERROR(INDEX(Catalogo_Vehiculos!$D$2:$D$1325,MATCH(TRUE(),INDEX(Catalogo_Vehiculos!$G$2:$G$1325=H93&amp;"|"&amp;I93,0),0)),"No en catálogo"))</f>
      </c>
      <c r="L93" s="19">
        <f>IF(OR(H93="",I93=""),"",IFERROR(INDEX(Catalogo_Vehiculos!$E$2:$E$1325,MATCH(TRUE(),INDEX(Catalogo_Vehiculos!$G$2:$G$1325=H93&amp;"|"&amp;I93,0),0)),"No en catálogo"))</f>
      </c>
      <c r="M93" s="19">
        <f>IF(OR(H93="",I93=""),"",IFERROR(INDEX(Catalogo_Vehiculos!$F$2:$F$1325,MATCH(TRUE(),INDEX(Catalogo_Vehiculos!$G$2:$G$1325=H93&amp;"|"&amp;I93,0),0)),"No en catálogo"))</f>
      </c>
      <c r="N93" s="20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9"/>
      <c r="Z93" s="19"/>
      <c r="AA93" s="15"/>
      <c r="AB93" s="15"/>
      <c r="AC93" s="15"/>
      <c r="AD93" s="15"/>
      <c r="AE93" s="15"/>
      <c r="AF93" s="19"/>
      <c r="AG93" s="19"/>
      <c r="AH93" s="15"/>
      <c r="AI93" s="15"/>
      <c r="AJ93" s="15"/>
      <c r="AK93" s="15"/>
      <c r="AL93" s="21"/>
      <c r="AM93" s="15"/>
      <c r="AN93" s="15"/>
      <c r="AO93" s="15"/>
      <c r="AP93" s="15"/>
      <c r="AQ93" s="15"/>
      <c r="AR93" s="15"/>
      <c r="AS93" s="15"/>
      <c r="AT93" s="19" t="str">
        <f>IF(COUNTA(A93:I93)+COUNTA(N93:X93)+COUNTA(AA93:AE93)+COUNTA(AH93:AS93)=0,"",IF(AND(A93&lt;&gt;"",E93&lt;&gt;"",OR(F93&lt;&gt;"",G93&lt;&gt;""),H93&lt;&gt;"",I93&lt;&gt;"",J93&lt;&gt;"No en catálogo",S93&lt;&gt;"",T93&lt;&gt;"",U93&lt;&gt;"",V93&lt;&gt;"",OR(AR93&lt;&gt;"",AND(W93&lt;&gt;"",X93&lt;&gt;"",AA93&lt;&gt;"",AB93&lt;&gt;"")),OR(AS93&lt;&gt;"",AND(AD93&lt;&gt;"",AE93&lt;&gt;"",AH93&lt;&gt;"",AI93&lt;&gt;"")),AK93&lt;&gt;"",OR(AK93&lt;&gt;"programado",AL93&lt;&gt;""),OR(AM93&lt;&gt;"específica",AN93&lt;&gt;""),OR(AO93&lt;&gt;"específica",AP93&lt;&gt;"")),"OK","Revisar"))</f>
        <v/>
      </c>
    </row>
    <row r="94" ht="15" customHeight="1" spans="1:46" x14ac:dyDescent="0.25">
      <c r="A94" s="15"/>
      <c r="B94" s="15"/>
      <c r="C94" s="15"/>
      <c r="D94" s="15"/>
      <c r="E94" s="15"/>
      <c r="F94" s="15"/>
      <c r="G94" s="15"/>
      <c r="H94" s="15"/>
      <c r="I94" s="15"/>
      <c r="J94" s="19">
        <f>IF(OR(H94="",I94=""),"",IFERROR(INDEX(Catalogo_Vehiculos!$C$2:$C$1325,MATCH(TRUE(),INDEX(Catalogo_Vehiculos!$G$2:$G$1325=H94&amp;"|"&amp;I94,0),0)),"No en catálogo"))</f>
      </c>
      <c r="K94" s="19">
        <f>IF(OR(H94="",I94=""),"",IFERROR(INDEX(Catalogo_Vehiculos!$D$2:$D$1325,MATCH(TRUE(),INDEX(Catalogo_Vehiculos!$G$2:$G$1325=H94&amp;"|"&amp;I94,0),0)),"No en catálogo"))</f>
      </c>
      <c r="L94" s="19">
        <f>IF(OR(H94="",I94=""),"",IFERROR(INDEX(Catalogo_Vehiculos!$E$2:$E$1325,MATCH(TRUE(),INDEX(Catalogo_Vehiculos!$G$2:$G$1325=H94&amp;"|"&amp;I94,0),0)),"No en catálogo"))</f>
      </c>
      <c r="M94" s="19">
        <f>IF(OR(H94="",I94=""),"",IFERROR(INDEX(Catalogo_Vehiculos!$F$2:$F$1325,MATCH(TRUE(),INDEX(Catalogo_Vehiculos!$G$2:$G$1325=H94&amp;"|"&amp;I94,0),0)),"No en catálogo"))</f>
      </c>
      <c r="N94" s="20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9"/>
      <c r="Z94" s="19"/>
      <c r="AA94" s="15"/>
      <c r="AB94" s="15"/>
      <c r="AC94" s="15"/>
      <c r="AD94" s="15"/>
      <c r="AE94" s="15"/>
      <c r="AF94" s="19"/>
      <c r="AG94" s="19"/>
      <c r="AH94" s="15"/>
      <c r="AI94" s="15"/>
      <c r="AJ94" s="15"/>
      <c r="AK94" s="15"/>
      <c r="AL94" s="21"/>
      <c r="AM94" s="15"/>
      <c r="AN94" s="15"/>
      <c r="AO94" s="15"/>
      <c r="AP94" s="15"/>
      <c r="AQ94" s="15"/>
      <c r="AR94" s="15"/>
      <c r="AS94" s="15"/>
      <c r="AT94" s="19" t="str">
        <f>IF(COUNTA(A94:I94)+COUNTA(N94:X94)+COUNTA(AA94:AE94)+COUNTA(AH94:AS94)=0,"",IF(AND(A94&lt;&gt;"",E94&lt;&gt;"",OR(F94&lt;&gt;"",G94&lt;&gt;""),H94&lt;&gt;"",I94&lt;&gt;"",J94&lt;&gt;"No en catálogo",S94&lt;&gt;"",T94&lt;&gt;"",U94&lt;&gt;"",V94&lt;&gt;"",OR(AR94&lt;&gt;"",AND(W94&lt;&gt;"",X94&lt;&gt;"",AA94&lt;&gt;"",AB94&lt;&gt;"")),OR(AS94&lt;&gt;"",AND(AD94&lt;&gt;"",AE94&lt;&gt;"",AH94&lt;&gt;"",AI94&lt;&gt;"")),AK94&lt;&gt;"",OR(AK94&lt;&gt;"programado",AL94&lt;&gt;""),OR(AM94&lt;&gt;"específica",AN94&lt;&gt;""),OR(AO94&lt;&gt;"específica",AP94&lt;&gt;"")),"OK","Revisar"))</f>
        <v/>
      </c>
    </row>
    <row r="95" ht="15" customHeight="1" spans="1:46" x14ac:dyDescent="0.25">
      <c r="A95" s="15"/>
      <c r="B95" s="15"/>
      <c r="C95" s="15"/>
      <c r="D95" s="15"/>
      <c r="E95" s="15"/>
      <c r="F95" s="15"/>
      <c r="G95" s="15"/>
      <c r="H95" s="15"/>
      <c r="I95" s="15"/>
      <c r="J95" s="19">
        <f>IF(OR(H95="",I95=""),"",IFERROR(INDEX(Catalogo_Vehiculos!$C$2:$C$1325,MATCH(TRUE(),INDEX(Catalogo_Vehiculos!$G$2:$G$1325=H95&amp;"|"&amp;I95,0),0)),"No en catálogo"))</f>
      </c>
      <c r="K95" s="19">
        <f>IF(OR(H95="",I95=""),"",IFERROR(INDEX(Catalogo_Vehiculos!$D$2:$D$1325,MATCH(TRUE(),INDEX(Catalogo_Vehiculos!$G$2:$G$1325=H95&amp;"|"&amp;I95,0),0)),"No en catálogo"))</f>
      </c>
      <c r="L95" s="19">
        <f>IF(OR(H95="",I95=""),"",IFERROR(INDEX(Catalogo_Vehiculos!$E$2:$E$1325,MATCH(TRUE(),INDEX(Catalogo_Vehiculos!$G$2:$G$1325=H95&amp;"|"&amp;I95,0),0)),"No en catálogo"))</f>
      </c>
      <c r="M95" s="19">
        <f>IF(OR(H95="",I95=""),"",IFERROR(INDEX(Catalogo_Vehiculos!$F$2:$F$1325,MATCH(TRUE(),INDEX(Catalogo_Vehiculos!$G$2:$G$1325=H95&amp;"|"&amp;I95,0),0)),"No en catálogo"))</f>
      </c>
      <c r="N95" s="20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9"/>
      <c r="Z95" s="19"/>
      <c r="AA95" s="15"/>
      <c r="AB95" s="15"/>
      <c r="AC95" s="15"/>
      <c r="AD95" s="15"/>
      <c r="AE95" s="15"/>
      <c r="AF95" s="19"/>
      <c r="AG95" s="19"/>
      <c r="AH95" s="15"/>
      <c r="AI95" s="15"/>
      <c r="AJ95" s="15"/>
      <c r="AK95" s="15"/>
      <c r="AL95" s="21"/>
      <c r="AM95" s="15"/>
      <c r="AN95" s="15"/>
      <c r="AO95" s="15"/>
      <c r="AP95" s="15"/>
      <c r="AQ95" s="15"/>
      <c r="AR95" s="15"/>
      <c r="AS95" s="15"/>
      <c r="AT95" s="19" t="str">
        <f>IF(COUNTA(A95:I95)+COUNTA(N95:X95)+COUNTA(AA95:AE95)+COUNTA(AH95:AS95)=0,"",IF(AND(A95&lt;&gt;"",E95&lt;&gt;"",OR(F95&lt;&gt;"",G95&lt;&gt;""),H95&lt;&gt;"",I95&lt;&gt;"",J95&lt;&gt;"No en catálogo",S95&lt;&gt;"",T95&lt;&gt;"",U95&lt;&gt;"",V95&lt;&gt;"",OR(AR95&lt;&gt;"",AND(W95&lt;&gt;"",X95&lt;&gt;"",AA95&lt;&gt;"",AB95&lt;&gt;"")),OR(AS95&lt;&gt;"",AND(AD95&lt;&gt;"",AE95&lt;&gt;"",AH95&lt;&gt;"",AI95&lt;&gt;"")),AK95&lt;&gt;"",OR(AK95&lt;&gt;"programado",AL95&lt;&gt;""),OR(AM95&lt;&gt;"específica",AN95&lt;&gt;""),OR(AO95&lt;&gt;"específica",AP95&lt;&gt;"")),"OK","Revisar"))</f>
        <v/>
      </c>
    </row>
    <row r="96" ht="15" customHeight="1" spans="1:46" x14ac:dyDescent="0.25">
      <c r="A96" s="15"/>
      <c r="B96" s="15"/>
      <c r="C96" s="15"/>
      <c r="D96" s="15"/>
      <c r="E96" s="15"/>
      <c r="F96" s="15"/>
      <c r="G96" s="15"/>
      <c r="H96" s="15"/>
      <c r="I96" s="15"/>
      <c r="J96" s="19">
        <f>IF(OR(H96="",I96=""),"",IFERROR(INDEX(Catalogo_Vehiculos!$C$2:$C$1325,MATCH(TRUE(),INDEX(Catalogo_Vehiculos!$G$2:$G$1325=H96&amp;"|"&amp;I96,0),0)),"No en catálogo"))</f>
      </c>
      <c r="K96" s="19">
        <f>IF(OR(H96="",I96=""),"",IFERROR(INDEX(Catalogo_Vehiculos!$D$2:$D$1325,MATCH(TRUE(),INDEX(Catalogo_Vehiculos!$G$2:$G$1325=H96&amp;"|"&amp;I96,0),0)),"No en catálogo"))</f>
      </c>
      <c r="L96" s="19">
        <f>IF(OR(H96="",I96=""),"",IFERROR(INDEX(Catalogo_Vehiculos!$E$2:$E$1325,MATCH(TRUE(),INDEX(Catalogo_Vehiculos!$G$2:$G$1325=H96&amp;"|"&amp;I96,0),0)),"No en catálogo"))</f>
      </c>
      <c r="M96" s="19">
        <f>IF(OR(H96="",I96=""),"",IFERROR(INDEX(Catalogo_Vehiculos!$F$2:$F$1325,MATCH(TRUE(),INDEX(Catalogo_Vehiculos!$G$2:$G$1325=H96&amp;"|"&amp;I96,0),0)),"No en catálogo"))</f>
      </c>
      <c r="N96" s="20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9"/>
      <c r="Z96" s="19"/>
      <c r="AA96" s="15"/>
      <c r="AB96" s="15"/>
      <c r="AC96" s="15"/>
      <c r="AD96" s="15"/>
      <c r="AE96" s="15"/>
      <c r="AF96" s="19"/>
      <c r="AG96" s="19"/>
      <c r="AH96" s="15"/>
      <c r="AI96" s="15"/>
      <c r="AJ96" s="15"/>
      <c r="AK96" s="15"/>
      <c r="AL96" s="21"/>
      <c r="AM96" s="15"/>
      <c r="AN96" s="15"/>
      <c r="AO96" s="15"/>
      <c r="AP96" s="15"/>
      <c r="AQ96" s="15"/>
      <c r="AR96" s="15"/>
      <c r="AS96" s="15"/>
      <c r="AT96" s="19" t="str">
        <f>IF(COUNTA(A96:I96)+COUNTA(N96:X96)+COUNTA(AA96:AE96)+COUNTA(AH96:AS96)=0,"",IF(AND(A96&lt;&gt;"",E96&lt;&gt;"",OR(F96&lt;&gt;"",G96&lt;&gt;""),H96&lt;&gt;"",I96&lt;&gt;"",J96&lt;&gt;"No en catálogo",S96&lt;&gt;"",T96&lt;&gt;"",U96&lt;&gt;"",V96&lt;&gt;"",OR(AR96&lt;&gt;"",AND(W96&lt;&gt;"",X96&lt;&gt;"",AA96&lt;&gt;"",AB96&lt;&gt;"")),OR(AS96&lt;&gt;"",AND(AD96&lt;&gt;"",AE96&lt;&gt;"",AH96&lt;&gt;"",AI96&lt;&gt;"")),AK96&lt;&gt;"",OR(AK96&lt;&gt;"programado",AL96&lt;&gt;""),OR(AM96&lt;&gt;"específica",AN96&lt;&gt;""),OR(AO96&lt;&gt;"específica",AP96&lt;&gt;"")),"OK","Revisar"))</f>
        <v/>
      </c>
    </row>
    <row r="97" ht="15" customHeight="1" spans="1:46" x14ac:dyDescent="0.25">
      <c r="A97" s="15"/>
      <c r="B97" s="15"/>
      <c r="C97" s="15"/>
      <c r="D97" s="15"/>
      <c r="E97" s="15"/>
      <c r="F97" s="15"/>
      <c r="G97" s="15"/>
      <c r="H97" s="15"/>
      <c r="I97" s="15"/>
      <c r="J97" s="19">
        <f>IF(OR(H97="",I97=""),"",IFERROR(INDEX(Catalogo_Vehiculos!$C$2:$C$1325,MATCH(TRUE(),INDEX(Catalogo_Vehiculos!$G$2:$G$1325=H97&amp;"|"&amp;I97,0),0)),"No en catálogo"))</f>
      </c>
      <c r="K97" s="19">
        <f>IF(OR(H97="",I97=""),"",IFERROR(INDEX(Catalogo_Vehiculos!$D$2:$D$1325,MATCH(TRUE(),INDEX(Catalogo_Vehiculos!$G$2:$G$1325=H97&amp;"|"&amp;I97,0),0)),"No en catálogo"))</f>
      </c>
      <c r="L97" s="19">
        <f>IF(OR(H97="",I97=""),"",IFERROR(INDEX(Catalogo_Vehiculos!$E$2:$E$1325,MATCH(TRUE(),INDEX(Catalogo_Vehiculos!$G$2:$G$1325=H97&amp;"|"&amp;I97,0),0)),"No en catálogo"))</f>
      </c>
      <c r="M97" s="19">
        <f>IF(OR(H97="",I97=""),"",IFERROR(INDEX(Catalogo_Vehiculos!$F$2:$F$1325,MATCH(TRUE(),INDEX(Catalogo_Vehiculos!$G$2:$G$1325=H97&amp;"|"&amp;I97,0),0)),"No en catálogo"))</f>
      </c>
      <c r="N97" s="20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9"/>
      <c r="Z97" s="19"/>
      <c r="AA97" s="15"/>
      <c r="AB97" s="15"/>
      <c r="AC97" s="15"/>
      <c r="AD97" s="15"/>
      <c r="AE97" s="15"/>
      <c r="AF97" s="19"/>
      <c r="AG97" s="19"/>
      <c r="AH97" s="15"/>
      <c r="AI97" s="15"/>
      <c r="AJ97" s="15"/>
      <c r="AK97" s="15"/>
      <c r="AL97" s="21"/>
      <c r="AM97" s="15"/>
      <c r="AN97" s="15"/>
      <c r="AO97" s="15"/>
      <c r="AP97" s="15"/>
      <c r="AQ97" s="15"/>
      <c r="AR97" s="15"/>
      <c r="AS97" s="15"/>
      <c r="AT97" s="19" t="str">
        <f>IF(COUNTA(A97:I97)+COUNTA(N97:X97)+COUNTA(AA97:AE97)+COUNTA(AH97:AS97)=0,"",IF(AND(A97&lt;&gt;"",E97&lt;&gt;"",OR(F97&lt;&gt;"",G97&lt;&gt;""),H97&lt;&gt;"",I97&lt;&gt;"",J97&lt;&gt;"No en catálogo",S97&lt;&gt;"",T97&lt;&gt;"",U97&lt;&gt;"",V97&lt;&gt;"",OR(AR97&lt;&gt;"",AND(W97&lt;&gt;"",X97&lt;&gt;"",AA97&lt;&gt;"",AB97&lt;&gt;"")),OR(AS97&lt;&gt;"",AND(AD97&lt;&gt;"",AE97&lt;&gt;"",AH97&lt;&gt;"",AI97&lt;&gt;"")),AK97&lt;&gt;"",OR(AK97&lt;&gt;"programado",AL97&lt;&gt;""),OR(AM97&lt;&gt;"específica",AN97&lt;&gt;""),OR(AO97&lt;&gt;"específica",AP97&lt;&gt;"")),"OK","Revisar"))</f>
        <v/>
      </c>
    </row>
    <row r="98" ht="15" customHeight="1" spans="1:46" x14ac:dyDescent="0.25">
      <c r="A98" s="15"/>
      <c r="B98" s="15"/>
      <c r="C98" s="15"/>
      <c r="D98" s="15"/>
      <c r="E98" s="15"/>
      <c r="F98" s="15"/>
      <c r="G98" s="15"/>
      <c r="H98" s="15"/>
      <c r="I98" s="15"/>
      <c r="J98" s="19">
        <f>IF(OR(H98="",I98=""),"",IFERROR(INDEX(Catalogo_Vehiculos!$C$2:$C$1325,MATCH(TRUE(),INDEX(Catalogo_Vehiculos!$G$2:$G$1325=H98&amp;"|"&amp;I98,0),0)),"No en catálogo"))</f>
      </c>
      <c r="K98" s="19">
        <f>IF(OR(H98="",I98=""),"",IFERROR(INDEX(Catalogo_Vehiculos!$D$2:$D$1325,MATCH(TRUE(),INDEX(Catalogo_Vehiculos!$G$2:$G$1325=H98&amp;"|"&amp;I98,0),0)),"No en catálogo"))</f>
      </c>
      <c r="L98" s="19">
        <f>IF(OR(H98="",I98=""),"",IFERROR(INDEX(Catalogo_Vehiculos!$E$2:$E$1325,MATCH(TRUE(),INDEX(Catalogo_Vehiculos!$G$2:$G$1325=H98&amp;"|"&amp;I98,0),0)),"No en catálogo"))</f>
      </c>
      <c r="M98" s="19">
        <f>IF(OR(H98="",I98=""),"",IFERROR(INDEX(Catalogo_Vehiculos!$F$2:$F$1325,MATCH(TRUE(),INDEX(Catalogo_Vehiculos!$G$2:$G$1325=H98&amp;"|"&amp;I98,0),0)),"No en catálogo"))</f>
      </c>
      <c r="N98" s="20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9"/>
      <c r="Z98" s="19"/>
      <c r="AA98" s="15"/>
      <c r="AB98" s="15"/>
      <c r="AC98" s="15"/>
      <c r="AD98" s="15"/>
      <c r="AE98" s="15"/>
      <c r="AF98" s="19"/>
      <c r="AG98" s="19"/>
      <c r="AH98" s="15"/>
      <c r="AI98" s="15"/>
      <c r="AJ98" s="15"/>
      <c r="AK98" s="15"/>
      <c r="AL98" s="21"/>
      <c r="AM98" s="15"/>
      <c r="AN98" s="15"/>
      <c r="AO98" s="15"/>
      <c r="AP98" s="15"/>
      <c r="AQ98" s="15"/>
      <c r="AR98" s="15"/>
      <c r="AS98" s="15"/>
      <c r="AT98" s="19" t="str">
        <f>IF(COUNTA(A98:I98)+COUNTA(N98:X98)+COUNTA(AA98:AE98)+COUNTA(AH98:AS98)=0,"",IF(AND(A98&lt;&gt;"",E98&lt;&gt;"",OR(F98&lt;&gt;"",G98&lt;&gt;""),H98&lt;&gt;"",I98&lt;&gt;"",J98&lt;&gt;"No en catálogo",S98&lt;&gt;"",T98&lt;&gt;"",U98&lt;&gt;"",V98&lt;&gt;"",OR(AR98&lt;&gt;"",AND(W98&lt;&gt;"",X98&lt;&gt;"",AA98&lt;&gt;"",AB98&lt;&gt;"")),OR(AS98&lt;&gt;"",AND(AD98&lt;&gt;"",AE98&lt;&gt;"",AH98&lt;&gt;"",AI98&lt;&gt;"")),AK98&lt;&gt;"",OR(AK98&lt;&gt;"programado",AL98&lt;&gt;""),OR(AM98&lt;&gt;"específica",AN98&lt;&gt;""),OR(AO98&lt;&gt;"específica",AP98&lt;&gt;"")),"OK","Revisar"))</f>
        <v/>
      </c>
    </row>
    <row r="99" ht="15" customHeight="1" spans="1:46" x14ac:dyDescent="0.25">
      <c r="A99" s="15"/>
      <c r="B99" s="15"/>
      <c r="C99" s="15"/>
      <c r="D99" s="15"/>
      <c r="E99" s="15"/>
      <c r="F99" s="15"/>
      <c r="G99" s="15"/>
      <c r="H99" s="15"/>
      <c r="I99" s="15"/>
      <c r="J99" s="19">
        <f>IF(OR(H99="",I99=""),"",IFERROR(INDEX(Catalogo_Vehiculos!$C$2:$C$1325,MATCH(TRUE(),INDEX(Catalogo_Vehiculos!$G$2:$G$1325=H99&amp;"|"&amp;I99,0),0)),"No en catálogo"))</f>
      </c>
      <c r="K99" s="19">
        <f>IF(OR(H99="",I99=""),"",IFERROR(INDEX(Catalogo_Vehiculos!$D$2:$D$1325,MATCH(TRUE(),INDEX(Catalogo_Vehiculos!$G$2:$G$1325=H99&amp;"|"&amp;I99,0),0)),"No en catálogo"))</f>
      </c>
      <c r="L99" s="19">
        <f>IF(OR(H99="",I99=""),"",IFERROR(INDEX(Catalogo_Vehiculos!$E$2:$E$1325,MATCH(TRUE(),INDEX(Catalogo_Vehiculos!$G$2:$G$1325=H99&amp;"|"&amp;I99,0),0)),"No en catálogo"))</f>
      </c>
      <c r="M99" s="19">
        <f>IF(OR(H99="",I99=""),"",IFERROR(INDEX(Catalogo_Vehiculos!$F$2:$F$1325,MATCH(TRUE(),INDEX(Catalogo_Vehiculos!$G$2:$G$1325=H99&amp;"|"&amp;I99,0),0)),"No en catálogo"))</f>
      </c>
      <c r="N99" s="20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9"/>
      <c r="Z99" s="19"/>
      <c r="AA99" s="15"/>
      <c r="AB99" s="15"/>
      <c r="AC99" s="15"/>
      <c r="AD99" s="15"/>
      <c r="AE99" s="15"/>
      <c r="AF99" s="19"/>
      <c r="AG99" s="19"/>
      <c r="AH99" s="15"/>
      <c r="AI99" s="15"/>
      <c r="AJ99" s="15"/>
      <c r="AK99" s="15"/>
      <c r="AL99" s="21"/>
      <c r="AM99" s="15"/>
      <c r="AN99" s="15"/>
      <c r="AO99" s="15"/>
      <c r="AP99" s="15"/>
      <c r="AQ99" s="15"/>
      <c r="AR99" s="15"/>
      <c r="AS99" s="15"/>
      <c r="AT99" s="19" t="str">
        <f>IF(COUNTA(A99:I99)+COUNTA(N99:X99)+COUNTA(AA99:AE99)+COUNTA(AH99:AS99)=0,"",IF(AND(A99&lt;&gt;"",E99&lt;&gt;"",OR(F99&lt;&gt;"",G99&lt;&gt;""),H99&lt;&gt;"",I99&lt;&gt;"",J99&lt;&gt;"No en catálogo",S99&lt;&gt;"",T99&lt;&gt;"",U99&lt;&gt;"",V99&lt;&gt;"",OR(AR99&lt;&gt;"",AND(W99&lt;&gt;"",X99&lt;&gt;"",AA99&lt;&gt;"",AB99&lt;&gt;"")),OR(AS99&lt;&gt;"",AND(AD99&lt;&gt;"",AE99&lt;&gt;"",AH99&lt;&gt;"",AI99&lt;&gt;"")),AK99&lt;&gt;"",OR(AK99&lt;&gt;"programado",AL99&lt;&gt;""),OR(AM99&lt;&gt;"específica",AN99&lt;&gt;""),OR(AO99&lt;&gt;"específica",AP99&lt;&gt;"")),"OK","Revisar"))</f>
        <v/>
      </c>
    </row>
    <row r="100" ht="15" customHeight="1" spans="1:46" x14ac:dyDescent="0.25">
      <c r="A100" s="15"/>
      <c r="B100" s="15"/>
      <c r="C100" s="15"/>
      <c r="D100" s="15"/>
      <c r="E100" s="15"/>
      <c r="F100" s="15"/>
      <c r="G100" s="15"/>
      <c r="H100" s="15"/>
      <c r="I100" s="15"/>
      <c r="J100" s="19">
        <f>IF(OR(H100="",I100=""),"",IFERROR(INDEX(Catalogo_Vehiculos!$C$2:$C$1325,MATCH(TRUE(),INDEX(Catalogo_Vehiculos!$G$2:$G$1325=H100&amp;"|"&amp;I100,0),0)),"No en catálogo"))</f>
      </c>
      <c r="K100" s="19">
        <f>IF(OR(H100="",I100=""),"",IFERROR(INDEX(Catalogo_Vehiculos!$D$2:$D$1325,MATCH(TRUE(),INDEX(Catalogo_Vehiculos!$G$2:$G$1325=H100&amp;"|"&amp;I100,0),0)),"No en catálogo"))</f>
      </c>
      <c r="L100" s="19">
        <f>IF(OR(H100="",I100=""),"",IFERROR(INDEX(Catalogo_Vehiculos!$E$2:$E$1325,MATCH(TRUE(),INDEX(Catalogo_Vehiculos!$G$2:$G$1325=H100&amp;"|"&amp;I100,0),0)),"No en catálogo"))</f>
      </c>
      <c r="M100" s="19">
        <f>IF(OR(H100="",I100=""),"",IFERROR(INDEX(Catalogo_Vehiculos!$F$2:$F$1325,MATCH(TRUE(),INDEX(Catalogo_Vehiculos!$G$2:$G$1325=H100&amp;"|"&amp;I100,0),0)),"No en catálogo"))</f>
      </c>
      <c r="N100" s="20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9"/>
      <c r="Z100" s="19"/>
      <c r="AA100" s="15"/>
      <c r="AB100" s="15"/>
      <c r="AC100" s="15"/>
      <c r="AD100" s="15"/>
      <c r="AE100" s="15"/>
      <c r="AF100" s="19"/>
      <c r="AG100" s="19"/>
      <c r="AH100" s="15"/>
      <c r="AI100" s="15"/>
      <c r="AJ100" s="15"/>
      <c r="AK100" s="15"/>
      <c r="AL100" s="21"/>
      <c r="AM100" s="15"/>
      <c r="AN100" s="15"/>
      <c r="AO100" s="15"/>
      <c r="AP100" s="15"/>
      <c r="AQ100" s="15"/>
      <c r="AR100" s="15"/>
      <c r="AS100" s="15"/>
      <c r="AT100" s="19" t="str">
        <f>IF(COUNTA(A100:I100)+COUNTA(N100:X100)+COUNTA(AA100:AE100)+COUNTA(AH100:AS100)=0,"",IF(AND(A100&lt;&gt;"",E100&lt;&gt;"",OR(F100&lt;&gt;"",G100&lt;&gt;""),H100&lt;&gt;"",I100&lt;&gt;"",J100&lt;&gt;"No en catálogo",S100&lt;&gt;"",T100&lt;&gt;"",U100&lt;&gt;"",V100&lt;&gt;"",OR(AR100&lt;&gt;"",AND(W100&lt;&gt;"",X100&lt;&gt;"",AA100&lt;&gt;"",AB100&lt;&gt;"")),OR(AS100&lt;&gt;"",AND(AD100&lt;&gt;"",AE100&lt;&gt;"",AH100&lt;&gt;"",AI100&lt;&gt;"")),AK100&lt;&gt;"",OR(AK100&lt;&gt;"programado",AL100&lt;&gt;""),OR(AM100&lt;&gt;"específica",AN100&lt;&gt;""),OR(AO100&lt;&gt;"específica",AP100&lt;&gt;"")),"OK","Revisar"))</f>
        <v/>
      </c>
    </row>
    <row r="101" ht="15" customHeight="1" spans="1:46" x14ac:dyDescent="0.25">
      <c r="A101" s="15"/>
      <c r="B101" s="15"/>
      <c r="C101" s="15"/>
      <c r="D101" s="15"/>
      <c r="E101" s="15"/>
      <c r="F101" s="15"/>
      <c r="G101" s="15"/>
      <c r="H101" s="15"/>
      <c r="I101" s="15"/>
      <c r="J101" s="19">
        <f>IF(OR(H101="",I101=""),"",IFERROR(INDEX(Catalogo_Vehiculos!$C$2:$C$1325,MATCH(TRUE(),INDEX(Catalogo_Vehiculos!$G$2:$G$1325=H101&amp;"|"&amp;I101,0),0)),"No en catálogo"))</f>
      </c>
      <c r="K101" s="19">
        <f>IF(OR(H101="",I101=""),"",IFERROR(INDEX(Catalogo_Vehiculos!$D$2:$D$1325,MATCH(TRUE(),INDEX(Catalogo_Vehiculos!$G$2:$G$1325=H101&amp;"|"&amp;I101,0),0)),"No en catálogo"))</f>
      </c>
      <c r="L101" s="19">
        <f>IF(OR(H101="",I101=""),"",IFERROR(INDEX(Catalogo_Vehiculos!$E$2:$E$1325,MATCH(TRUE(),INDEX(Catalogo_Vehiculos!$G$2:$G$1325=H101&amp;"|"&amp;I101,0),0)),"No en catálogo"))</f>
      </c>
      <c r="M101" s="19">
        <f>IF(OR(H101="",I101=""),"",IFERROR(INDEX(Catalogo_Vehiculos!$F$2:$F$1325,MATCH(TRUE(),INDEX(Catalogo_Vehiculos!$G$2:$G$1325=H101&amp;"|"&amp;I101,0),0)),"No en catálogo"))</f>
      </c>
      <c r="N101" s="20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9"/>
      <c r="Z101" s="19"/>
      <c r="AA101" s="15"/>
      <c r="AB101" s="15"/>
      <c r="AC101" s="15"/>
      <c r="AD101" s="15"/>
      <c r="AE101" s="15"/>
      <c r="AF101" s="19"/>
      <c r="AG101" s="19"/>
      <c r="AH101" s="15"/>
      <c r="AI101" s="15"/>
      <c r="AJ101" s="15"/>
      <c r="AK101" s="15"/>
      <c r="AL101" s="21"/>
      <c r="AM101" s="15"/>
      <c r="AN101" s="15"/>
      <c r="AO101" s="15"/>
      <c r="AP101" s="15"/>
      <c r="AQ101" s="15"/>
      <c r="AR101" s="15"/>
      <c r="AS101" s="15"/>
      <c r="AT101" s="19" t="str">
        <f>IF(COUNTA(A101:I101)+COUNTA(N101:X101)+COUNTA(AA101:AE101)+COUNTA(AH101:AS101)=0,"",IF(AND(A101&lt;&gt;"",E101&lt;&gt;"",OR(F101&lt;&gt;"",G101&lt;&gt;""),H101&lt;&gt;"",I101&lt;&gt;"",J101&lt;&gt;"No en catálogo",S101&lt;&gt;"",T101&lt;&gt;"",U101&lt;&gt;"",V101&lt;&gt;"",OR(AR101&lt;&gt;"",AND(W101&lt;&gt;"",X101&lt;&gt;"",AA101&lt;&gt;"",AB101&lt;&gt;"")),OR(AS101&lt;&gt;"",AND(AD101&lt;&gt;"",AE101&lt;&gt;"",AH101&lt;&gt;"",AI101&lt;&gt;"")),AK101&lt;&gt;"",OR(AK101&lt;&gt;"programado",AL101&lt;&gt;""),OR(AM101&lt;&gt;"específica",AN101&lt;&gt;""),OR(AO101&lt;&gt;"específica",AP101&lt;&gt;"")),"OK","Revisar"))</f>
        <v/>
      </c>
    </row>
    <row r="102" ht="15" customHeight="1" spans="1:46" x14ac:dyDescent="0.25">
      <c r="A102" s="15"/>
      <c r="B102" s="15"/>
      <c r="C102" s="15"/>
      <c r="D102" s="15"/>
      <c r="E102" s="15"/>
      <c r="F102" s="15"/>
      <c r="G102" s="15"/>
      <c r="H102" s="15"/>
      <c r="I102" s="15"/>
      <c r="J102" s="19">
        <f>IF(OR(H102="",I102=""),"",IFERROR(INDEX(Catalogo_Vehiculos!$C$2:$C$1325,MATCH(TRUE(),INDEX(Catalogo_Vehiculos!$G$2:$G$1325=H102&amp;"|"&amp;I102,0),0)),"No en catálogo"))</f>
      </c>
      <c r="K102" s="19">
        <f>IF(OR(H102="",I102=""),"",IFERROR(INDEX(Catalogo_Vehiculos!$D$2:$D$1325,MATCH(TRUE(),INDEX(Catalogo_Vehiculos!$G$2:$G$1325=H102&amp;"|"&amp;I102,0),0)),"No en catálogo"))</f>
      </c>
      <c r="L102" s="19">
        <f>IF(OR(H102="",I102=""),"",IFERROR(INDEX(Catalogo_Vehiculos!$E$2:$E$1325,MATCH(TRUE(),INDEX(Catalogo_Vehiculos!$G$2:$G$1325=H102&amp;"|"&amp;I102,0),0)),"No en catálogo"))</f>
      </c>
      <c r="M102" s="19">
        <f>IF(OR(H102="",I102=""),"",IFERROR(INDEX(Catalogo_Vehiculos!$F$2:$F$1325,MATCH(TRUE(),INDEX(Catalogo_Vehiculos!$G$2:$G$1325=H102&amp;"|"&amp;I102,0),0)),"No en catálogo"))</f>
      </c>
      <c r="N102" s="20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9"/>
      <c r="Z102" s="19"/>
      <c r="AA102" s="15"/>
      <c r="AB102" s="15"/>
      <c r="AC102" s="15"/>
      <c r="AD102" s="15"/>
      <c r="AE102" s="15"/>
      <c r="AF102" s="19"/>
      <c r="AG102" s="19"/>
      <c r="AH102" s="15"/>
      <c r="AI102" s="15"/>
      <c r="AJ102" s="15"/>
      <c r="AK102" s="15"/>
      <c r="AL102" s="21"/>
      <c r="AM102" s="15"/>
      <c r="AN102" s="15"/>
      <c r="AO102" s="15"/>
      <c r="AP102" s="15"/>
      <c r="AQ102" s="15"/>
      <c r="AR102" s="15"/>
      <c r="AS102" s="15"/>
      <c r="AT102" s="19" t="str">
        <f>IF(COUNTA(A102:I102)+COUNTA(N102:X102)+COUNTA(AA102:AE102)+COUNTA(AH102:AS102)=0,"",IF(AND(A102&lt;&gt;"",E102&lt;&gt;"",OR(F102&lt;&gt;"",G102&lt;&gt;""),H102&lt;&gt;"",I102&lt;&gt;"",J102&lt;&gt;"No en catálogo",S102&lt;&gt;"",T102&lt;&gt;"",U102&lt;&gt;"",V102&lt;&gt;"",OR(AR102&lt;&gt;"",AND(W102&lt;&gt;"",X102&lt;&gt;"",AA102&lt;&gt;"",AB102&lt;&gt;"")),OR(AS102&lt;&gt;"",AND(AD102&lt;&gt;"",AE102&lt;&gt;"",AH102&lt;&gt;"",AI102&lt;&gt;"")),AK102&lt;&gt;"",OR(AK102&lt;&gt;"programado",AL102&lt;&gt;""),OR(AM102&lt;&gt;"específica",AN102&lt;&gt;""),OR(AO102&lt;&gt;"específica",AP102&lt;&gt;"")),"OK","Revisar"))</f>
        <v/>
      </c>
    </row>
    <row r="103" ht="15" customHeight="1" spans="1:46" x14ac:dyDescent="0.25">
      <c r="A103" s="15"/>
      <c r="B103" s="15"/>
      <c r="C103" s="15"/>
      <c r="D103" s="15"/>
      <c r="E103" s="15"/>
      <c r="F103" s="15"/>
      <c r="G103" s="15"/>
      <c r="H103" s="15"/>
      <c r="I103" s="15"/>
      <c r="J103" s="19">
        <f>IF(OR(H103="",I103=""),"",IFERROR(INDEX(Catalogo_Vehiculos!$C$2:$C$1325,MATCH(TRUE(),INDEX(Catalogo_Vehiculos!$G$2:$G$1325=H103&amp;"|"&amp;I103,0),0)),"No en catálogo"))</f>
      </c>
      <c r="K103" s="19">
        <f>IF(OR(H103="",I103=""),"",IFERROR(INDEX(Catalogo_Vehiculos!$D$2:$D$1325,MATCH(TRUE(),INDEX(Catalogo_Vehiculos!$G$2:$G$1325=H103&amp;"|"&amp;I103,0),0)),"No en catálogo"))</f>
      </c>
      <c r="L103" s="19">
        <f>IF(OR(H103="",I103=""),"",IFERROR(INDEX(Catalogo_Vehiculos!$E$2:$E$1325,MATCH(TRUE(),INDEX(Catalogo_Vehiculos!$G$2:$G$1325=H103&amp;"|"&amp;I103,0),0)),"No en catálogo"))</f>
      </c>
      <c r="M103" s="19">
        <f>IF(OR(H103="",I103=""),"",IFERROR(INDEX(Catalogo_Vehiculos!$F$2:$F$1325,MATCH(TRUE(),INDEX(Catalogo_Vehiculos!$G$2:$G$1325=H103&amp;"|"&amp;I103,0),0)),"No en catálogo"))</f>
      </c>
      <c r="N103" s="20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9"/>
      <c r="Z103" s="19"/>
      <c r="AA103" s="15"/>
      <c r="AB103" s="15"/>
      <c r="AC103" s="15"/>
      <c r="AD103" s="15"/>
      <c r="AE103" s="15"/>
      <c r="AF103" s="19"/>
      <c r="AG103" s="19"/>
      <c r="AH103" s="15"/>
      <c r="AI103" s="15"/>
      <c r="AJ103" s="15"/>
      <c r="AK103" s="15"/>
      <c r="AL103" s="21"/>
      <c r="AM103" s="15"/>
      <c r="AN103" s="15"/>
      <c r="AO103" s="15"/>
      <c r="AP103" s="15"/>
      <c r="AQ103" s="15"/>
      <c r="AR103" s="15"/>
      <c r="AS103" s="15"/>
      <c r="AT103" s="19" t="str">
        <f>IF(COUNTA(A103:I103)+COUNTA(N103:X103)+COUNTA(AA103:AE103)+COUNTA(AH103:AS103)=0,"",IF(AND(A103&lt;&gt;"",E103&lt;&gt;"",OR(F103&lt;&gt;"",G103&lt;&gt;""),H103&lt;&gt;"",I103&lt;&gt;"",J103&lt;&gt;"No en catálogo",S103&lt;&gt;"",T103&lt;&gt;"",U103&lt;&gt;"",V103&lt;&gt;"",OR(AR103&lt;&gt;"",AND(W103&lt;&gt;"",X103&lt;&gt;"",AA103&lt;&gt;"",AB103&lt;&gt;"")),OR(AS103&lt;&gt;"",AND(AD103&lt;&gt;"",AE103&lt;&gt;"",AH103&lt;&gt;"",AI103&lt;&gt;"")),AK103&lt;&gt;"",OR(AK103&lt;&gt;"programado",AL103&lt;&gt;""),OR(AM103&lt;&gt;"específica",AN103&lt;&gt;""),OR(AO103&lt;&gt;"específica",AP103&lt;&gt;"")),"OK","Revisar"))</f>
        <v/>
      </c>
    </row>
    <row r="104" ht="15" customHeight="1" spans="1:46" x14ac:dyDescent="0.25">
      <c r="A104" s="15"/>
      <c r="B104" s="15"/>
      <c r="C104" s="15"/>
      <c r="D104" s="15"/>
      <c r="E104" s="15"/>
      <c r="F104" s="15"/>
      <c r="G104" s="15"/>
      <c r="H104" s="15"/>
      <c r="I104" s="15"/>
      <c r="J104" s="19">
        <f>IF(OR(H104="",I104=""),"",IFERROR(INDEX(Catalogo_Vehiculos!$C$2:$C$1325,MATCH(TRUE(),INDEX(Catalogo_Vehiculos!$G$2:$G$1325=H104&amp;"|"&amp;I104,0),0)),"No en catálogo"))</f>
      </c>
      <c r="K104" s="19">
        <f>IF(OR(H104="",I104=""),"",IFERROR(INDEX(Catalogo_Vehiculos!$D$2:$D$1325,MATCH(TRUE(),INDEX(Catalogo_Vehiculos!$G$2:$G$1325=H104&amp;"|"&amp;I104,0),0)),"No en catálogo"))</f>
      </c>
      <c r="L104" s="19">
        <f>IF(OR(H104="",I104=""),"",IFERROR(INDEX(Catalogo_Vehiculos!$E$2:$E$1325,MATCH(TRUE(),INDEX(Catalogo_Vehiculos!$G$2:$G$1325=H104&amp;"|"&amp;I104,0),0)),"No en catálogo"))</f>
      </c>
      <c r="M104" s="19">
        <f>IF(OR(H104="",I104=""),"",IFERROR(INDEX(Catalogo_Vehiculos!$F$2:$F$1325,MATCH(TRUE(),INDEX(Catalogo_Vehiculos!$G$2:$G$1325=H104&amp;"|"&amp;I104,0),0)),"No en catálogo"))</f>
      </c>
      <c r="N104" s="20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9"/>
      <c r="Z104" s="19"/>
      <c r="AA104" s="15"/>
      <c r="AB104" s="15"/>
      <c r="AC104" s="15"/>
      <c r="AD104" s="15"/>
      <c r="AE104" s="15"/>
      <c r="AF104" s="19"/>
      <c r="AG104" s="19"/>
      <c r="AH104" s="15"/>
      <c r="AI104" s="15"/>
      <c r="AJ104" s="15"/>
      <c r="AK104" s="15"/>
      <c r="AL104" s="21"/>
      <c r="AM104" s="15"/>
      <c r="AN104" s="15"/>
      <c r="AO104" s="15"/>
      <c r="AP104" s="15"/>
      <c r="AQ104" s="15"/>
      <c r="AR104" s="15"/>
      <c r="AS104" s="15"/>
      <c r="AT104" s="19" t="str">
        <f>IF(COUNTA(A104:I104)+COUNTA(N104:X104)+COUNTA(AA104:AE104)+COUNTA(AH104:AS104)=0,"",IF(AND(A104&lt;&gt;"",E104&lt;&gt;"",OR(F104&lt;&gt;"",G104&lt;&gt;""),H104&lt;&gt;"",I104&lt;&gt;"",J104&lt;&gt;"No en catálogo",S104&lt;&gt;"",T104&lt;&gt;"",U104&lt;&gt;"",V104&lt;&gt;"",OR(AR104&lt;&gt;"",AND(W104&lt;&gt;"",X104&lt;&gt;"",AA104&lt;&gt;"",AB104&lt;&gt;"")),OR(AS104&lt;&gt;"",AND(AD104&lt;&gt;"",AE104&lt;&gt;"",AH104&lt;&gt;"",AI104&lt;&gt;"")),AK104&lt;&gt;"",OR(AK104&lt;&gt;"programado",AL104&lt;&gt;""),OR(AM104&lt;&gt;"específica",AN104&lt;&gt;""),OR(AO104&lt;&gt;"específica",AP104&lt;&gt;"")),"OK","Revisar"))</f>
        <v/>
      </c>
    </row>
    <row r="105" ht="15" customHeight="1" spans="1:46" x14ac:dyDescent="0.25">
      <c r="A105" s="15"/>
      <c r="B105" s="15"/>
      <c r="C105" s="15"/>
      <c r="D105" s="15"/>
      <c r="E105" s="15"/>
      <c r="F105" s="15"/>
      <c r="G105" s="15"/>
      <c r="H105" s="15"/>
      <c r="I105" s="15"/>
      <c r="J105" s="19">
        <f>IF(OR(H105="",I105=""),"",IFERROR(INDEX(Catalogo_Vehiculos!$C$2:$C$1325,MATCH(TRUE(),INDEX(Catalogo_Vehiculos!$G$2:$G$1325=H105&amp;"|"&amp;I105,0),0)),"No en catálogo"))</f>
      </c>
      <c r="K105" s="19">
        <f>IF(OR(H105="",I105=""),"",IFERROR(INDEX(Catalogo_Vehiculos!$D$2:$D$1325,MATCH(TRUE(),INDEX(Catalogo_Vehiculos!$G$2:$G$1325=H105&amp;"|"&amp;I105,0),0)),"No en catálogo"))</f>
      </c>
      <c r="L105" s="19">
        <f>IF(OR(H105="",I105=""),"",IFERROR(INDEX(Catalogo_Vehiculos!$E$2:$E$1325,MATCH(TRUE(),INDEX(Catalogo_Vehiculos!$G$2:$G$1325=H105&amp;"|"&amp;I105,0),0)),"No en catálogo"))</f>
      </c>
      <c r="M105" s="19">
        <f>IF(OR(H105="",I105=""),"",IFERROR(INDEX(Catalogo_Vehiculos!$F$2:$F$1325,MATCH(TRUE(),INDEX(Catalogo_Vehiculos!$G$2:$G$1325=H105&amp;"|"&amp;I105,0),0)),"No en catálogo"))</f>
      </c>
      <c r="N105" s="20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9"/>
      <c r="Z105" s="19"/>
      <c r="AA105" s="15"/>
      <c r="AB105" s="15"/>
      <c r="AC105" s="15"/>
      <c r="AD105" s="15"/>
      <c r="AE105" s="15"/>
      <c r="AF105" s="19"/>
      <c r="AG105" s="19"/>
      <c r="AH105" s="15"/>
      <c r="AI105" s="15"/>
      <c r="AJ105" s="15"/>
      <c r="AK105" s="15"/>
      <c r="AL105" s="21"/>
      <c r="AM105" s="15"/>
      <c r="AN105" s="15"/>
      <c r="AO105" s="15"/>
      <c r="AP105" s="15"/>
      <c r="AQ105" s="15"/>
      <c r="AR105" s="15"/>
      <c r="AS105" s="15"/>
      <c r="AT105" s="19" t="str">
        <f>IF(COUNTA(A105:I105)+COUNTA(N105:X105)+COUNTA(AA105:AE105)+COUNTA(AH105:AS105)=0,"",IF(AND(A105&lt;&gt;"",E105&lt;&gt;"",OR(F105&lt;&gt;"",G105&lt;&gt;""),H105&lt;&gt;"",I105&lt;&gt;"",J105&lt;&gt;"No en catálogo",S105&lt;&gt;"",T105&lt;&gt;"",U105&lt;&gt;"",V105&lt;&gt;"",OR(AR105&lt;&gt;"",AND(W105&lt;&gt;"",X105&lt;&gt;"",AA105&lt;&gt;"",AB105&lt;&gt;"")),OR(AS105&lt;&gt;"",AND(AD105&lt;&gt;"",AE105&lt;&gt;"",AH105&lt;&gt;"",AI105&lt;&gt;"")),AK105&lt;&gt;"",OR(AK105&lt;&gt;"programado",AL105&lt;&gt;""),OR(AM105&lt;&gt;"específica",AN105&lt;&gt;""),OR(AO105&lt;&gt;"específica",AP105&lt;&gt;"")),"OK","Revisar"))</f>
        <v/>
      </c>
    </row>
    <row r="106" ht="15" customHeight="1" spans="1:46" x14ac:dyDescent="0.25">
      <c r="A106" s="15"/>
      <c r="B106" s="15"/>
      <c r="C106" s="15"/>
      <c r="D106" s="15"/>
      <c r="E106" s="15"/>
      <c r="F106" s="15"/>
      <c r="G106" s="15"/>
      <c r="H106" s="15"/>
      <c r="I106" s="15"/>
      <c r="J106" s="19">
        <f>IF(OR(H106="",I106=""),"",IFERROR(INDEX(Catalogo_Vehiculos!$C$2:$C$1325,MATCH(TRUE(),INDEX(Catalogo_Vehiculos!$G$2:$G$1325=H106&amp;"|"&amp;I106,0),0)),"No en catálogo"))</f>
      </c>
      <c r="K106" s="19">
        <f>IF(OR(H106="",I106=""),"",IFERROR(INDEX(Catalogo_Vehiculos!$D$2:$D$1325,MATCH(TRUE(),INDEX(Catalogo_Vehiculos!$G$2:$G$1325=H106&amp;"|"&amp;I106,0),0)),"No en catálogo"))</f>
      </c>
      <c r="L106" s="19">
        <f>IF(OR(H106="",I106=""),"",IFERROR(INDEX(Catalogo_Vehiculos!$E$2:$E$1325,MATCH(TRUE(),INDEX(Catalogo_Vehiculos!$G$2:$G$1325=H106&amp;"|"&amp;I106,0),0)),"No en catálogo"))</f>
      </c>
      <c r="M106" s="19">
        <f>IF(OR(H106="",I106=""),"",IFERROR(INDEX(Catalogo_Vehiculos!$F$2:$F$1325,MATCH(TRUE(),INDEX(Catalogo_Vehiculos!$G$2:$G$1325=H106&amp;"|"&amp;I106,0),0)),"No en catálogo"))</f>
      </c>
      <c r="N106" s="20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9"/>
      <c r="Z106" s="19"/>
      <c r="AA106" s="15"/>
      <c r="AB106" s="15"/>
      <c r="AC106" s="15"/>
      <c r="AD106" s="15"/>
      <c r="AE106" s="15"/>
      <c r="AF106" s="19"/>
      <c r="AG106" s="19"/>
      <c r="AH106" s="15"/>
      <c r="AI106" s="15"/>
      <c r="AJ106" s="15"/>
      <c r="AK106" s="15"/>
      <c r="AL106" s="21"/>
      <c r="AM106" s="15"/>
      <c r="AN106" s="15"/>
      <c r="AO106" s="15"/>
      <c r="AP106" s="15"/>
      <c r="AQ106" s="15"/>
      <c r="AR106" s="15"/>
      <c r="AS106" s="15"/>
      <c r="AT106" s="19" t="str">
        <f>IF(COUNTA(A106:I106)+COUNTA(N106:X106)+COUNTA(AA106:AE106)+COUNTA(AH106:AS106)=0,"",IF(AND(A106&lt;&gt;"",E106&lt;&gt;"",OR(F106&lt;&gt;"",G106&lt;&gt;""),H106&lt;&gt;"",I106&lt;&gt;"",J106&lt;&gt;"No en catálogo",S106&lt;&gt;"",T106&lt;&gt;"",U106&lt;&gt;"",V106&lt;&gt;"",OR(AR106&lt;&gt;"",AND(W106&lt;&gt;"",X106&lt;&gt;"",AA106&lt;&gt;"",AB106&lt;&gt;"")),OR(AS106&lt;&gt;"",AND(AD106&lt;&gt;"",AE106&lt;&gt;"",AH106&lt;&gt;"",AI106&lt;&gt;"")),AK106&lt;&gt;"",OR(AK106&lt;&gt;"programado",AL106&lt;&gt;""),OR(AM106&lt;&gt;"específica",AN106&lt;&gt;""),OR(AO106&lt;&gt;"específica",AP106&lt;&gt;"")),"OK","Revisar"))</f>
        <v/>
      </c>
    </row>
    <row r="107" ht="15" customHeight="1" spans="1:46" x14ac:dyDescent="0.25">
      <c r="A107" s="15"/>
      <c r="B107" s="15"/>
      <c r="C107" s="15"/>
      <c r="D107" s="15"/>
      <c r="E107" s="15"/>
      <c r="F107" s="15"/>
      <c r="G107" s="15"/>
      <c r="H107" s="15"/>
      <c r="I107" s="15"/>
      <c r="J107" s="19">
        <f>IF(OR(H107="",I107=""),"",IFERROR(INDEX(Catalogo_Vehiculos!$C$2:$C$1325,MATCH(TRUE(),INDEX(Catalogo_Vehiculos!$G$2:$G$1325=H107&amp;"|"&amp;I107,0),0)),"No en catálogo"))</f>
      </c>
      <c r="K107" s="19">
        <f>IF(OR(H107="",I107=""),"",IFERROR(INDEX(Catalogo_Vehiculos!$D$2:$D$1325,MATCH(TRUE(),INDEX(Catalogo_Vehiculos!$G$2:$G$1325=H107&amp;"|"&amp;I107,0),0)),"No en catálogo"))</f>
      </c>
      <c r="L107" s="19">
        <f>IF(OR(H107="",I107=""),"",IFERROR(INDEX(Catalogo_Vehiculos!$E$2:$E$1325,MATCH(TRUE(),INDEX(Catalogo_Vehiculos!$G$2:$G$1325=H107&amp;"|"&amp;I107,0),0)),"No en catálogo"))</f>
      </c>
      <c r="M107" s="19">
        <f>IF(OR(H107="",I107=""),"",IFERROR(INDEX(Catalogo_Vehiculos!$F$2:$F$1325,MATCH(TRUE(),INDEX(Catalogo_Vehiculos!$G$2:$G$1325=H107&amp;"|"&amp;I107,0),0)),"No en catálogo"))</f>
      </c>
      <c r="N107" s="20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9"/>
      <c r="Z107" s="19"/>
      <c r="AA107" s="15"/>
      <c r="AB107" s="15"/>
      <c r="AC107" s="15"/>
      <c r="AD107" s="15"/>
      <c r="AE107" s="15"/>
      <c r="AF107" s="19"/>
      <c r="AG107" s="19"/>
      <c r="AH107" s="15"/>
      <c r="AI107" s="15"/>
      <c r="AJ107" s="15"/>
      <c r="AK107" s="15"/>
      <c r="AL107" s="21"/>
      <c r="AM107" s="15"/>
      <c r="AN107" s="15"/>
      <c r="AO107" s="15"/>
      <c r="AP107" s="15"/>
      <c r="AQ107" s="15"/>
      <c r="AR107" s="15"/>
      <c r="AS107" s="15"/>
      <c r="AT107" s="19" t="str">
        <f>IF(COUNTA(A107:I107)+COUNTA(N107:X107)+COUNTA(AA107:AE107)+COUNTA(AH107:AS107)=0,"",IF(AND(A107&lt;&gt;"",E107&lt;&gt;"",OR(F107&lt;&gt;"",G107&lt;&gt;""),H107&lt;&gt;"",I107&lt;&gt;"",J107&lt;&gt;"No en catálogo",S107&lt;&gt;"",T107&lt;&gt;"",U107&lt;&gt;"",V107&lt;&gt;"",OR(AR107&lt;&gt;"",AND(W107&lt;&gt;"",X107&lt;&gt;"",AA107&lt;&gt;"",AB107&lt;&gt;"")),OR(AS107&lt;&gt;"",AND(AD107&lt;&gt;"",AE107&lt;&gt;"",AH107&lt;&gt;"",AI107&lt;&gt;"")),AK107&lt;&gt;"",OR(AK107&lt;&gt;"programado",AL107&lt;&gt;""),OR(AM107&lt;&gt;"específica",AN107&lt;&gt;""),OR(AO107&lt;&gt;"específica",AP107&lt;&gt;"")),"OK","Revisar"))</f>
        <v/>
      </c>
    </row>
    <row r="108" ht="15" customHeight="1" spans="1:46" x14ac:dyDescent="0.25">
      <c r="A108" s="15"/>
      <c r="B108" s="15"/>
      <c r="C108" s="15"/>
      <c r="D108" s="15"/>
      <c r="E108" s="15"/>
      <c r="F108" s="15"/>
      <c r="G108" s="15"/>
      <c r="H108" s="15"/>
      <c r="I108" s="15"/>
      <c r="J108" s="19">
        <f>IF(OR(H108="",I108=""),"",IFERROR(INDEX(Catalogo_Vehiculos!$C$2:$C$1325,MATCH(TRUE(),INDEX(Catalogo_Vehiculos!$G$2:$G$1325=H108&amp;"|"&amp;I108,0),0)),"No en catálogo"))</f>
      </c>
      <c r="K108" s="19">
        <f>IF(OR(H108="",I108=""),"",IFERROR(INDEX(Catalogo_Vehiculos!$D$2:$D$1325,MATCH(TRUE(),INDEX(Catalogo_Vehiculos!$G$2:$G$1325=H108&amp;"|"&amp;I108,0),0)),"No en catálogo"))</f>
      </c>
      <c r="L108" s="19">
        <f>IF(OR(H108="",I108=""),"",IFERROR(INDEX(Catalogo_Vehiculos!$E$2:$E$1325,MATCH(TRUE(),INDEX(Catalogo_Vehiculos!$G$2:$G$1325=H108&amp;"|"&amp;I108,0),0)),"No en catálogo"))</f>
      </c>
      <c r="M108" s="19">
        <f>IF(OR(H108="",I108=""),"",IFERROR(INDEX(Catalogo_Vehiculos!$F$2:$F$1325,MATCH(TRUE(),INDEX(Catalogo_Vehiculos!$G$2:$G$1325=H108&amp;"|"&amp;I108,0),0)),"No en catálogo"))</f>
      </c>
      <c r="N108" s="20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9"/>
      <c r="Z108" s="19"/>
      <c r="AA108" s="15"/>
      <c r="AB108" s="15"/>
      <c r="AC108" s="15"/>
      <c r="AD108" s="15"/>
      <c r="AE108" s="15"/>
      <c r="AF108" s="19"/>
      <c r="AG108" s="19"/>
      <c r="AH108" s="15"/>
      <c r="AI108" s="15"/>
      <c r="AJ108" s="15"/>
      <c r="AK108" s="15"/>
      <c r="AL108" s="21"/>
      <c r="AM108" s="15"/>
      <c r="AN108" s="15"/>
      <c r="AO108" s="15"/>
      <c r="AP108" s="15"/>
      <c r="AQ108" s="15"/>
      <c r="AR108" s="15"/>
      <c r="AS108" s="15"/>
      <c r="AT108" s="19" t="str">
        <f>IF(COUNTA(A108:I108)+COUNTA(N108:X108)+COUNTA(AA108:AE108)+COUNTA(AH108:AS108)=0,"",IF(AND(A108&lt;&gt;"",E108&lt;&gt;"",OR(F108&lt;&gt;"",G108&lt;&gt;""),H108&lt;&gt;"",I108&lt;&gt;"",J108&lt;&gt;"No en catálogo",S108&lt;&gt;"",T108&lt;&gt;"",U108&lt;&gt;"",V108&lt;&gt;"",OR(AR108&lt;&gt;"",AND(W108&lt;&gt;"",X108&lt;&gt;"",AA108&lt;&gt;"",AB108&lt;&gt;"")),OR(AS108&lt;&gt;"",AND(AD108&lt;&gt;"",AE108&lt;&gt;"",AH108&lt;&gt;"",AI108&lt;&gt;"")),AK108&lt;&gt;"",OR(AK108&lt;&gt;"programado",AL108&lt;&gt;""),OR(AM108&lt;&gt;"específica",AN108&lt;&gt;""),OR(AO108&lt;&gt;"específica",AP108&lt;&gt;"")),"OK","Revisar"))</f>
        <v/>
      </c>
    </row>
    <row r="109" ht="15" customHeight="1" spans="1:46" x14ac:dyDescent="0.25">
      <c r="A109" s="15"/>
      <c r="B109" s="15"/>
      <c r="C109" s="15"/>
      <c r="D109" s="15"/>
      <c r="E109" s="15"/>
      <c r="F109" s="15"/>
      <c r="G109" s="15"/>
      <c r="H109" s="15"/>
      <c r="I109" s="15"/>
      <c r="J109" s="19">
        <f>IF(OR(H109="",I109=""),"",IFERROR(INDEX(Catalogo_Vehiculos!$C$2:$C$1325,MATCH(TRUE(),INDEX(Catalogo_Vehiculos!$G$2:$G$1325=H109&amp;"|"&amp;I109,0),0)),"No en catálogo"))</f>
      </c>
      <c r="K109" s="19">
        <f>IF(OR(H109="",I109=""),"",IFERROR(INDEX(Catalogo_Vehiculos!$D$2:$D$1325,MATCH(TRUE(),INDEX(Catalogo_Vehiculos!$G$2:$G$1325=H109&amp;"|"&amp;I109,0),0)),"No en catálogo"))</f>
      </c>
      <c r="L109" s="19">
        <f>IF(OR(H109="",I109=""),"",IFERROR(INDEX(Catalogo_Vehiculos!$E$2:$E$1325,MATCH(TRUE(),INDEX(Catalogo_Vehiculos!$G$2:$G$1325=H109&amp;"|"&amp;I109,0),0)),"No en catálogo"))</f>
      </c>
      <c r="M109" s="19">
        <f>IF(OR(H109="",I109=""),"",IFERROR(INDEX(Catalogo_Vehiculos!$F$2:$F$1325,MATCH(TRUE(),INDEX(Catalogo_Vehiculos!$G$2:$G$1325=H109&amp;"|"&amp;I109,0),0)),"No en catálogo"))</f>
      </c>
      <c r="N109" s="20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9"/>
      <c r="Z109" s="19"/>
      <c r="AA109" s="15"/>
      <c r="AB109" s="15"/>
      <c r="AC109" s="15"/>
      <c r="AD109" s="15"/>
      <c r="AE109" s="15"/>
      <c r="AF109" s="19"/>
      <c r="AG109" s="19"/>
      <c r="AH109" s="15"/>
      <c r="AI109" s="15"/>
      <c r="AJ109" s="15"/>
      <c r="AK109" s="15"/>
      <c r="AL109" s="21"/>
      <c r="AM109" s="15"/>
      <c r="AN109" s="15"/>
      <c r="AO109" s="15"/>
      <c r="AP109" s="15"/>
      <c r="AQ109" s="15"/>
      <c r="AR109" s="15"/>
      <c r="AS109" s="15"/>
      <c r="AT109" s="19" t="str">
        <f>IF(COUNTA(A109:I109)+COUNTA(N109:X109)+COUNTA(AA109:AE109)+COUNTA(AH109:AS109)=0,"",IF(AND(A109&lt;&gt;"",E109&lt;&gt;"",OR(F109&lt;&gt;"",G109&lt;&gt;""),H109&lt;&gt;"",I109&lt;&gt;"",J109&lt;&gt;"No en catálogo",S109&lt;&gt;"",T109&lt;&gt;"",U109&lt;&gt;"",V109&lt;&gt;"",OR(AR109&lt;&gt;"",AND(W109&lt;&gt;"",X109&lt;&gt;"",AA109&lt;&gt;"",AB109&lt;&gt;"")),OR(AS109&lt;&gt;"",AND(AD109&lt;&gt;"",AE109&lt;&gt;"",AH109&lt;&gt;"",AI109&lt;&gt;"")),AK109&lt;&gt;"",OR(AK109&lt;&gt;"programado",AL109&lt;&gt;""),OR(AM109&lt;&gt;"específica",AN109&lt;&gt;""),OR(AO109&lt;&gt;"específica",AP109&lt;&gt;"")),"OK","Revisar"))</f>
        <v/>
      </c>
    </row>
    <row r="110" ht="15" customHeight="1" spans="1:46" x14ac:dyDescent="0.25">
      <c r="A110" s="15"/>
      <c r="B110" s="15"/>
      <c r="C110" s="15"/>
      <c r="D110" s="15"/>
      <c r="E110" s="15"/>
      <c r="F110" s="15"/>
      <c r="G110" s="15"/>
      <c r="H110" s="15"/>
      <c r="I110" s="15"/>
      <c r="J110" s="19">
        <f>IF(OR(H110="",I110=""),"",IFERROR(INDEX(Catalogo_Vehiculos!$C$2:$C$1325,MATCH(TRUE(),INDEX(Catalogo_Vehiculos!$G$2:$G$1325=H110&amp;"|"&amp;I110,0),0)),"No en catálogo"))</f>
      </c>
      <c r="K110" s="19">
        <f>IF(OR(H110="",I110=""),"",IFERROR(INDEX(Catalogo_Vehiculos!$D$2:$D$1325,MATCH(TRUE(),INDEX(Catalogo_Vehiculos!$G$2:$G$1325=H110&amp;"|"&amp;I110,0),0)),"No en catálogo"))</f>
      </c>
      <c r="L110" s="19">
        <f>IF(OR(H110="",I110=""),"",IFERROR(INDEX(Catalogo_Vehiculos!$E$2:$E$1325,MATCH(TRUE(),INDEX(Catalogo_Vehiculos!$G$2:$G$1325=H110&amp;"|"&amp;I110,0),0)),"No en catálogo"))</f>
      </c>
      <c r="M110" s="19">
        <f>IF(OR(H110="",I110=""),"",IFERROR(INDEX(Catalogo_Vehiculos!$F$2:$F$1325,MATCH(TRUE(),INDEX(Catalogo_Vehiculos!$G$2:$G$1325=H110&amp;"|"&amp;I110,0),0)),"No en catálogo"))</f>
      </c>
      <c r="N110" s="20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9"/>
      <c r="Z110" s="19"/>
      <c r="AA110" s="15"/>
      <c r="AB110" s="15"/>
      <c r="AC110" s="15"/>
      <c r="AD110" s="15"/>
      <c r="AE110" s="15"/>
      <c r="AF110" s="19"/>
      <c r="AG110" s="19"/>
      <c r="AH110" s="15"/>
      <c r="AI110" s="15"/>
      <c r="AJ110" s="15"/>
      <c r="AK110" s="15"/>
      <c r="AL110" s="21"/>
      <c r="AM110" s="15"/>
      <c r="AN110" s="15"/>
      <c r="AO110" s="15"/>
      <c r="AP110" s="15"/>
      <c r="AQ110" s="15"/>
      <c r="AR110" s="15"/>
      <c r="AS110" s="15"/>
      <c r="AT110" s="19" t="str">
        <f>IF(COUNTA(A110:I110)+COUNTA(N110:X110)+COUNTA(AA110:AE110)+COUNTA(AH110:AS110)=0,"",IF(AND(A110&lt;&gt;"",E110&lt;&gt;"",OR(F110&lt;&gt;"",G110&lt;&gt;""),H110&lt;&gt;"",I110&lt;&gt;"",J110&lt;&gt;"No en catálogo",S110&lt;&gt;"",T110&lt;&gt;"",U110&lt;&gt;"",V110&lt;&gt;"",OR(AR110&lt;&gt;"",AND(W110&lt;&gt;"",X110&lt;&gt;"",AA110&lt;&gt;"",AB110&lt;&gt;"")),OR(AS110&lt;&gt;"",AND(AD110&lt;&gt;"",AE110&lt;&gt;"",AH110&lt;&gt;"",AI110&lt;&gt;"")),AK110&lt;&gt;"",OR(AK110&lt;&gt;"programado",AL110&lt;&gt;""),OR(AM110&lt;&gt;"específica",AN110&lt;&gt;""),OR(AO110&lt;&gt;"específica",AP110&lt;&gt;"")),"OK","Revisar"))</f>
        <v/>
      </c>
    </row>
    <row r="111" ht="15" customHeight="1" spans="1:46" x14ac:dyDescent="0.25">
      <c r="A111" s="15"/>
      <c r="B111" s="15"/>
      <c r="C111" s="15"/>
      <c r="D111" s="15"/>
      <c r="E111" s="15"/>
      <c r="F111" s="15"/>
      <c r="G111" s="15"/>
      <c r="H111" s="15"/>
      <c r="I111" s="15"/>
      <c r="J111" s="19">
        <f>IF(OR(H111="",I111=""),"",IFERROR(INDEX(Catalogo_Vehiculos!$C$2:$C$1325,MATCH(TRUE(),INDEX(Catalogo_Vehiculos!$G$2:$G$1325=H111&amp;"|"&amp;I111,0),0)),"No en catálogo"))</f>
      </c>
      <c r="K111" s="19">
        <f>IF(OR(H111="",I111=""),"",IFERROR(INDEX(Catalogo_Vehiculos!$D$2:$D$1325,MATCH(TRUE(),INDEX(Catalogo_Vehiculos!$G$2:$G$1325=H111&amp;"|"&amp;I111,0),0)),"No en catálogo"))</f>
      </c>
      <c r="L111" s="19">
        <f>IF(OR(H111="",I111=""),"",IFERROR(INDEX(Catalogo_Vehiculos!$E$2:$E$1325,MATCH(TRUE(),INDEX(Catalogo_Vehiculos!$G$2:$G$1325=H111&amp;"|"&amp;I111,0),0)),"No en catálogo"))</f>
      </c>
      <c r="M111" s="19">
        <f>IF(OR(H111="",I111=""),"",IFERROR(INDEX(Catalogo_Vehiculos!$F$2:$F$1325,MATCH(TRUE(),INDEX(Catalogo_Vehiculos!$G$2:$G$1325=H111&amp;"|"&amp;I111,0),0)),"No en catálogo"))</f>
      </c>
      <c r="N111" s="20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9"/>
      <c r="Z111" s="19"/>
      <c r="AA111" s="15"/>
      <c r="AB111" s="15"/>
      <c r="AC111" s="15"/>
      <c r="AD111" s="15"/>
      <c r="AE111" s="15"/>
      <c r="AF111" s="19"/>
      <c r="AG111" s="19"/>
      <c r="AH111" s="15"/>
      <c r="AI111" s="15"/>
      <c r="AJ111" s="15"/>
      <c r="AK111" s="15"/>
      <c r="AL111" s="21"/>
      <c r="AM111" s="15"/>
      <c r="AN111" s="15"/>
      <c r="AO111" s="15"/>
      <c r="AP111" s="15"/>
      <c r="AQ111" s="15"/>
      <c r="AR111" s="15"/>
      <c r="AS111" s="15"/>
      <c r="AT111" s="19" t="str">
        <f>IF(COUNTA(A111:I111)+COUNTA(N111:X111)+COUNTA(AA111:AE111)+COUNTA(AH111:AS111)=0,"",IF(AND(A111&lt;&gt;"",E111&lt;&gt;"",OR(F111&lt;&gt;"",G111&lt;&gt;""),H111&lt;&gt;"",I111&lt;&gt;"",J111&lt;&gt;"No en catálogo",S111&lt;&gt;"",T111&lt;&gt;"",U111&lt;&gt;"",V111&lt;&gt;"",OR(AR111&lt;&gt;"",AND(W111&lt;&gt;"",X111&lt;&gt;"",AA111&lt;&gt;"",AB111&lt;&gt;"")),OR(AS111&lt;&gt;"",AND(AD111&lt;&gt;"",AE111&lt;&gt;"",AH111&lt;&gt;"",AI111&lt;&gt;"")),AK111&lt;&gt;"",OR(AK111&lt;&gt;"programado",AL111&lt;&gt;""),OR(AM111&lt;&gt;"específica",AN111&lt;&gt;""),OR(AO111&lt;&gt;"específica",AP111&lt;&gt;"")),"OK","Revisar"))</f>
        <v/>
      </c>
    </row>
    <row r="112" ht="15" customHeight="1" spans="1:46" x14ac:dyDescent="0.25">
      <c r="A112" s="15"/>
      <c r="B112" s="15"/>
      <c r="C112" s="15"/>
      <c r="D112" s="15"/>
      <c r="E112" s="15"/>
      <c r="F112" s="15"/>
      <c r="G112" s="15"/>
      <c r="H112" s="15"/>
      <c r="I112" s="15"/>
      <c r="J112" s="19">
        <f>IF(OR(H112="",I112=""),"",IFERROR(INDEX(Catalogo_Vehiculos!$C$2:$C$1325,MATCH(TRUE(),INDEX(Catalogo_Vehiculos!$G$2:$G$1325=H112&amp;"|"&amp;I112,0),0)),"No en catálogo"))</f>
      </c>
      <c r="K112" s="19">
        <f>IF(OR(H112="",I112=""),"",IFERROR(INDEX(Catalogo_Vehiculos!$D$2:$D$1325,MATCH(TRUE(),INDEX(Catalogo_Vehiculos!$G$2:$G$1325=H112&amp;"|"&amp;I112,0),0)),"No en catálogo"))</f>
      </c>
      <c r="L112" s="19">
        <f>IF(OR(H112="",I112=""),"",IFERROR(INDEX(Catalogo_Vehiculos!$E$2:$E$1325,MATCH(TRUE(),INDEX(Catalogo_Vehiculos!$G$2:$G$1325=H112&amp;"|"&amp;I112,0),0)),"No en catálogo"))</f>
      </c>
      <c r="M112" s="19">
        <f>IF(OR(H112="",I112=""),"",IFERROR(INDEX(Catalogo_Vehiculos!$F$2:$F$1325,MATCH(TRUE(),INDEX(Catalogo_Vehiculos!$G$2:$G$1325=H112&amp;"|"&amp;I112,0),0)),"No en catálogo"))</f>
      </c>
      <c r="N112" s="20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9"/>
      <c r="Z112" s="19"/>
      <c r="AA112" s="15"/>
      <c r="AB112" s="15"/>
      <c r="AC112" s="15"/>
      <c r="AD112" s="15"/>
      <c r="AE112" s="15"/>
      <c r="AF112" s="19"/>
      <c r="AG112" s="19"/>
      <c r="AH112" s="15"/>
      <c r="AI112" s="15"/>
      <c r="AJ112" s="15"/>
      <c r="AK112" s="15"/>
      <c r="AL112" s="21"/>
      <c r="AM112" s="15"/>
      <c r="AN112" s="15"/>
      <c r="AO112" s="15"/>
      <c r="AP112" s="15"/>
      <c r="AQ112" s="15"/>
      <c r="AR112" s="15"/>
      <c r="AS112" s="15"/>
      <c r="AT112" s="19" t="str">
        <f>IF(COUNTA(A112:I112)+COUNTA(N112:X112)+COUNTA(AA112:AE112)+COUNTA(AH112:AS112)=0,"",IF(AND(A112&lt;&gt;"",E112&lt;&gt;"",OR(F112&lt;&gt;"",G112&lt;&gt;""),H112&lt;&gt;"",I112&lt;&gt;"",J112&lt;&gt;"No en catálogo",S112&lt;&gt;"",T112&lt;&gt;"",U112&lt;&gt;"",V112&lt;&gt;"",OR(AR112&lt;&gt;"",AND(W112&lt;&gt;"",X112&lt;&gt;"",AA112&lt;&gt;"",AB112&lt;&gt;"")),OR(AS112&lt;&gt;"",AND(AD112&lt;&gt;"",AE112&lt;&gt;"",AH112&lt;&gt;"",AI112&lt;&gt;"")),AK112&lt;&gt;"",OR(AK112&lt;&gt;"programado",AL112&lt;&gt;""),OR(AM112&lt;&gt;"específica",AN112&lt;&gt;""),OR(AO112&lt;&gt;"específica",AP112&lt;&gt;"")),"OK","Revisar"))</f>
        <v/>
      </c>
    </row>
    <row r="113" ht="15" customHeight="1" spans="1:46" x14ac:dyDescent="0.25">
      <c r="A113" s="15"/>
      <c r="B113" s="15"/>
      <c r="C113" s="15"/>
      <c r="D113" s="15"/>
      <c r="E113" s="15"/>
      <c r="F113" s="15"/>
      <c r="G113" s="15"/>
      <c r="H113" s="15"/>
      <c r="I113" s="15"/>
      <c r="J113" s="19">
        <f>IF(OR(H113="",I113=""),"",IFERROR(INDEX(Catalogo_Vehiculos!$C$2:$C$1325,MATCH(TRUE(),INDEX(Catalogo_Vehiculos!$G$2:$G$1325=H113&amp;"|"&amp;I113,0),0)),"No en catálogo"))</f>
      </c>
      <c r="K113" s="19">
        <f>IF(OR(H113="",I113=""),"",IFERROR(INDEX(Catalogo_Vehiculos!$D$2:$D$1325,MATCH(TRUE(),INDEX(Catalogo_Vehiculos!$G$2:$G$1325=H113&amp;"|"&amp;I113,0),0)),"No en catálogo"))</f>
      </c>
      <c r="L113" s="19">
        <f>IF(OR(H113="",I113=""),"",IFERROR(INDEX(Catalogo_Vehiculos!$E$2:$E$1325,MATCH(TRUE(),INDEX(Catalogo_Vehiculos!$G$2:$G$1325=H113&amp;"|"&amp;I113,0),0)),"No en catálogo"))</f>
      </c>
      <c r="M113" s="19">
        <f>IF(OR(H113="",I113=""),"",IFERROR(INDEX(Catalogo_Vehiculos!$F$2:$F$1325,MATCH(TRUE(),INDEX(Catalogo_Vehiculos!$G$2:$G$1325=H113&amp;"|"&amp;I113,0),0)),"No en catálogo"))</f>
      </c>
      <c r="N113" s="20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9"/>
      <c r="Z113" s="19"/>
      <c r="AA113" s="15"/>
      <c r="AB113" s="15"/>
      <c r="AC113" s="15"/>
      <c r="AD113" s="15"/>
      <c r="AE113" s="15"/>
      <c r="AF113" s="19"/>
      <c r="AG113" s="19"/>
      <c r="AH113" s="15"/>
      <c r="AI113" s="15"/>
      <c r="AJ113" s="15"/>
      <c r="AK113" s="15"/>
      <c r="AL113" s="21"/>
      <c r="AM113" s="15"/>
      <c r="AN113" s="15"/>
      <c r="AO113" s="15"/>
      <c r="AP113" s="15"/>
      <c r="AQ113" s="15"/>
      <c r="AR113" s="15"/>
      <c r="AS113" s="15"/>
      <c r="AT113" s="19" t="str">
        <f>IF(COUNTA(A113:I113)+COUNTA(N113:X113)+COUNTA(AA113:AE113)+COUNTA(AH113:AS113)=0,"",IF(AND(A113&lt;&gt;"",E113&lt;&gt;"",OR(F113&lt;&gt;"",G113&lt;&gt;""),H113&lt;&gt;"",I113&lt;&gt;"",J113&lt;&gt;"No en catálogo",S113&lt;&gt;"",T113&lt;&gt;"",U113&lt;&gt;"",V113&lt;&gt;"",OR(AR113&lt;&gt;"",AND(W113&lt;&gt;"",X113&lt;&gt;"",AA113&lt;&gt;"",AB113&lt;&gt;"")),OR(AS113&lt;&gt;"",AND(AD113&lt;&gt;"",AE113&lt;&gt;"",AH113&lt;&gt;"",AI113&lt;&gt;"")),AK113&lt;&gt;"",OR(AK113&lt;&gt;"programado",AL113&lt;&gt;""),OR(AM113&lt;&gt;"específica",AN113&lt;&gt;""),OR(AO113&lt;&gt;"específica",AP113&lt;&gt;"")),"OK","Revisar"))</f>
        <v/>
      </c>
    </row>
    <row r="114" ht="15" customHeight="1" spans="1:46" x14ac:dyDescent="0.25">
      <c r="A114" s="15"/>
      <c r="B114" s="15"/>
      <c r="C114" s="15"/>
      <c r="D114" s="15"/>
      <c r="E114" s="15"/>
      <c r="F114" s="15"/>
      <c r="G114" s="15"/>
      <c r="H114" s="15"/>
      <c r="I114" s="15"/>
      <c r="J114" s="19">
        <f>IF(OR(H114="",I114=""),"",IFERROR(INDEX(Catalogo_Vehiculos!$C$2:$C$1325,MATCH(TRUE(),INDEX(Catalogo_Vehiculos!$G$2:$G$1325=H114&amp;"|"&amp;I114,0),0)),"No en catálogo"))</f>
      </c>
      <c r="K114" s="19">
        <f>IF(OR(H114="",I114=""),"",IFERROR(INDEX(Catalogo_Vehiculos!$D$2:$D$1325,MATCH(TRUE(),INDEX(Catalogo_Vehiculos!$G$2:$G$1325=H114&amp;"|"&amp;I114,0),0)),"No en catálogo"))</f>
      </c>
      <c r="L114" s="19">
        <f>IF(OR(H114="",I114=""),"",IFERROR(INDEX(Catalogo_Vehiculos!$E$2:$E$1325,MATCH(TRUE(),INDEX(Catalogo_Vehiculos!$G$2:$G$1325=H114&amp;"|"&amp;I114,0),0)),"No en catálogo"))</f>
      </c>
      <c r="M114" s="19">
        <f>IF(OR(H114="",I114=""),"",IFERROR(INDEX(Catalogo_Vehiculos!$F$2:$F$1325,MATCH(TRUE(),INDEX(Catalogo_Vehiculos!$G$2:$G$1325=H114&amp;"|"&amp;I114,0),0)),"No en catálogo"))</f>
      </c>
      <c r="N114" s="20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9"/>
      <c r="Z114" s="19"/>
      <c r="AA114" s="15"/>
      <c r="AB114" s="15"/>
      <c r="AC114" s="15"/>
      <c r="AD114" s="15"/>
      <c r="AE114" s="15"/>
      <c r="AF114" s="19"/>
      <c r="AG114" s="19"/>
      <c r="AH114" s="15"/>
      <c r="AI114" s="15"/>
      <c r="AJ114" s="15"/>
      <c r="AK114" s="15"/>
      <c r="AL114" s="21"/>
      <c r="AM114" s="15"/>
      <c r="AN114" s="15"/>
      <c r="AO114" s="15"/>
      <c r="AP114" s="15"/>
      <c r="AQ114" s="15"/>
      <c r="AR114" s="15"/>
      <c r="AS114" s="15"/>
      <c r="AT114" s="19" t="str">
        <f>IF(COUNTA(A114:I114)+COUNTA(N114:X114)+COUNTA(AA114:AE114)+COUNTA(AH114:AS114)=0,"",IF(AND(A114&lt;&gt;"",E114&lt;&gt;"",OR(F114&lt;&gt;"",G114&lt;&gt;""),H114&lt;&gt;"",I114&lt;&gt;"",J114&lt;&gt;"No en catálogo",S114&lt;&gt;"",T114&lt;&gt;"",U114&lt;&gt;"",V114&lt;&gt;"",OR(AR114&lt;&gt;"",AND(W114&lt;&gt;"",X114&lt;&gt;"",AA114&lt;&gt;"",AB114&lt;&gt;"")),OR(AS114&lt;&gt;"",AND(AD114&lt;&gt;"",AE114&lt;&gt;"",AH114&lt;&gt;"",AI114&lt;&gt;"")),AK114&lt;&gt;"",OR(AK114&lt;&gt;"programado",AL114&lt;&gt;""),OR(AM114&lt;&gt;"específica",AN114&lt;&gt;""),OR(AO114&lt;&gt;"específica",AP114&lt;&gt;"")),"OK","Revisar"))</f>
        <v/>
      </c>
    </row>
    <row r="115" ht="15" customHeight="1" spans="1:46" x14ac:dyDescent="0.25">
      <c r="A115" s="15"/>
      <c r="B115" s="15"/>
      <c r="C115" s="15"/>
      <c r="D115" s="15"/>
      <c r="E115" s="15"/>
      <c r="F115" s="15"/>
      <c r="G115" s="15"/>
      <c r="H115" s="15"/>
      <c r="I115" s="15"/>
      <c r="J115" s="19">
        <f>IF(OR(H115="",I115=""),"",IFERROR(INDEX(Catalogo_Vehiculos!$C$2:$C$1325,MATCH(TRUE(),INDEX(Catalogo_Vehiculos!$G$2:$G$1325=H115&amp;"|"&amp;I115,0),0)),"No en catálogo"))</f>
      </c>
      <c r="K115" s="19">
        <f>IF(OR(H115="",I115=""),"",IFERROR(INDEX(Catalogo_Vehiculos!$D$2:$D$1325,MATCH(TRUE(),INDEX(Catalogo_Vehiculos!$G$2:$G$1325=H115&amp;"|"&amp;I115,0),0)),"No en catálogo"))</f>
      </c>
      <c r="L115" s="19">
        <f>IF(OR(H115="",I115=""),"",IFERROR(INDEX(Catalogo_Vehiculos!$E$2:$E$1325,MATCH(TRUE(),INDEX(Catalogo_Vehiculos!$G$2:$G$1325=H115&amp;"|"&amp;I115,0),0)),"No en catálogo"))</f>
      </c>
      <c r="M115" s="19">
        <f>IF(OR(H115="",I115=""),"",IFERROR(INDEX(Catalogo_Vehiculos!$F$2:$F$1325,MATCH(TRUE(),INDEX(Catalogo_Vehiculos!$G$2:$G$1325=H115&amp;"|"&amp;I115,0),0)),"No en catálogo"))</f>
      </c>
      <c r="N115" s="20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9"/>
      <c r="Z115" s="19"/>
      <c r="AA115" s="15"/>
      <c r="AB115" s="15"/>
      <c r="AC115" s="15"/>
      <c r="AD115" s="15"/>
      <c r="AE115" s="15"/>
      <c r="AF115" s="19"/>
      <c r="AG115" s="19"/>
      <c r="AH115" s="15"/>
      <c r="AI115" s="15"/>
      <c r="AJ115" s="15"/>
      <c r="AK115" s="15"/>
      <c r="AL115" s="21"/>
      <c r="AM115" s="15"/>
      <c r="AN115" s="15"/>
      <c r="AO115" s="15"/>
      <c r="AP115" s="15"/>
      <c r="AQ115" s="15"/>
      <c r="AR115" s="15"/>
      <c r="AS115" s="15"/>
      <c r="AT115" s="19" t="str">
        <f>IF(COUNTA(A115:I115)+COUNTA(N115:X115)+COUNTA(AA115:AE115)+COUNTA(AH115:AS115)=0,"",IF(AND(A115&lt;&gt;"",E115&lt;&gt;"",OR(F115&lt;&gt;"",G115&lt;&gt;""),H115&lt;&gt;"",I115&lt;&gt;"",J115&lt;&gt;"No en catálogo",S115&lt;&gt;"",T115&lt;&gt;"",U115&lt;&gt;"",V115&lt;&gt;"",OR(AR115&lt;&gt;"",AND(W115&lt;&gt;"",X115&lt;&gt;"",AA115&lt;&gt;"",AB115&lt;&gt;"")),OR(AS115&lt;&gt;"",AND(AD115&lt;&gt;"",AE115&lt;&gt;"",AH115&lt;&gt;"",AI115&lt;&gt;"")),AK115&lt;&gt;"",OR(AK115&lt;&gt;"programado",AL115&lt;&gt;""),OR(AM115&lt;&gt;"específica",AN115&lt;&gt;""),OR(AO115&lt;&gt;"específica",AP115&lt;&gt;"")),"OK","Revisar"))</f>
        <v/>
      </c>
    </row>
    <row r="116" ht="15" customHeight="1" spans="1:46" x14ac:dyDescent="0.25">
      <c r="A116" s="15"/>
      <c r="B116" s="15"/>
      <c r="C116" s="15"/>
      <c r="D116" s="15"/>
      <c r="E116" s="15"/>
      <c r="F116" s="15"/>
      <c r="G116" s="15"/>
      <c r="H116" s="15"/>
      <c r="I116" s="15"/>
      <c r="J116" s="19">
        <f>IF(OR(H116="",I116=""),"",IFERROR(INDEX(Catalogo_Vehiculos!$C$2:$C$1325,MATCH(TRUE(),INDEX(Catalogo_Vehiculos!$G$2:$G$1325=H116&amp;"|"&amp;I116,0),0)),"No en catálogo"))</f>
      </c>
      <c r="K116" s="19">
        <f>IF(OR(H116="",I116=""),"",IFERROR(INDEX(Catalogo_Vehiculos!$D$2:$D$1325,MATCH(TRUE(),INDEX(Catalogo_Vehiculos!$G$2:$G$1325=H116&amp;"|"&amp;I116,0),0)),"No en catálogo"))</f>
      </c>
      <c r="L116" s="19">
        <f>IF(OR(H116="",I116=""),"",IFERROR(INDEX(Catalogo_Vehiculos!$E$2:$E$1325,MATCH(TRUE(),INDEX(Catalogo_Vehiculos!$G$2:$G$1325=H116&amp;"|"&amp;I116,0),0)),"No en catálogo"))</f>
      </c>
      <c r="M116" s="19">
        <f>IF(OR(H116="",I116=""),"",IFERROR(INDEX(Catalogo_Vehiculos!$F$2:$F$1325,MATCH(TRUE(),INDEX(Catalogo_Vehiculos!$G$2:$G$1325=H116&amp;"|"&amp;I116,0),0)),"No en catálogo"))</f>
      </c>
      <c r="N116" s="20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9"/>
      <c r="Z116" s="19"/>
      <c r="AA116" s="15"/>
      <c r="AB116" s="15"/>
      <c r="AC116" s="15"/>
      <c r="AD116" s="15"/>
      <c r="AE116" s="15"/>
      <c r="AF116" s="19"/>
      <c r="AG116" s="19"/>
      <c r="AH116" s="15"/>
      <c r="AI116" s="15"/>
      <c r="AJ116" s="15"/>
      <c r="AK116" s="15"/>
      <c r="AL116" s="21"/>
      <c r="AM116" s="15"/>
      <c r="AN116" s="15"/>
      <c r="AO116" s="15"/>
      <c r="AP116" s="15"/>
      <c r="AQ116" s="15"/>
      <c r="AR116" s="15"/>
      <c r="AS116" s="15"/>
      <c r="AT116" s="19" t="str">
        <f>IF(COUNTA(A116:I116)+COUNTA(N116:X116)+COUNTA(AA116:AE116)+COUNTA(AH116:AS116)=0,"",IF(AND(A116&lt;&gt;"",E116&lt;&gt;"",OR(F116&lt;&gt;"",G116&lt;&gt;""),H116&lt;&gt;"",I116&lt;&gt;"",J116&lt;&gt;"No en catálogo",S116&lt;&gt;"",T116&lt;&gt;"",U116&lt;&gt;"",V116&lt;&gt;"",OR(AR116&lt;&gt;"",AND(W116&lt;&gt;"",X116&lt;&gt;"",AA116&lt;&gt;"",AB116&lt;&gt;"")),OR(AS116&lt;&gt;"",AND(AD116&lt;&gt;"",AE116&lt;&gt;"",AH116&lt;&gt;"",AI116&lt;&gt;"")),AK116&lt;&gt;"",OR(AK116&lt;&gt;"programado",AL116&lt;&gt;""),OR(AM116&lt;&gt;"específica",AN116&lt;&gt;""),OR(AO116&lt;&gt;"específica",AP116&lt;&gt;"")),"OK","Revisar"))</f>
        <v/>
      </c>
    </row>
    <row r="117" ht="15" customHeight="1" spans="1:46" x14ac:dyDescent="0.25">
      <c r="A117" s="15"/>
      <c r="B117" s="15"/>
      <c r="C117" s="15"/>
      <c r="D117" s="15"/>
      <c r="E117" s="15"/>
      <c r="F117" s="15"/>
      <c r="G117" s="15"/>
      <c r="H117" s="15"/>
      <c r="I117" s="15"/>
      <c r="J117" s="19">
        <f>IF(OR(H117="",I117=""),"",IFERROR(INDEX(Catalogo_Vehiculos!$C$2:$C$1325,MATCH(TRUE(),INDEX(Catalogo_Vehiculos!$G$2:$G$1325=H117&amp;"|"&amp;I117,0),0)),"No en catálogo"))</f>
      </c>
      <c r="K117" s="19">
        <f>IF(OR(H117="",I117=""),"",IFERROR(INDEX(Catalogo_Vehiculos!$D$2:$D$1325,MATCH(TRUE(),INDEX(Catalogo_Vehiculos!$G$2:$G$1325=H117&amp;"|"&amp;I117,0),0)),"No en catálogo"))</f>
      </c>
      <c r="L117" s="19">
        <f>IF(OR(H117="",I117=""),"",IFERROR(INDEX(Catalogo_Vehiculos!$E$2:$E$1325,MATCH(TRUE(),INDEX(Catalogo_Vehiculos!$G$2:$G$1325=H117&amp;"|"&amp;I117,0),0)),"No en catálogo"))</f>
      </c>
      <c r="M117" s="19">
        <f>IF(OR(H117="",I117=""),"",IFERROR(INDEX(Catalogo_Vehiculos!$F$2:$F$1325,MATCH(TRUE(),INDEX(Catalogo_Vehiculos!$G$2:$G$1325=H117&amp;"|"&amp;I117,0),0)),"No en catálogo"))</f>
      </c>
      <c r="N117" s="20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9"/>
      <c r="Z117" s="19"/>
      <c r="AA117" s="15"/>
      <c r="AB117" s="15"/>
      <c r="AC117" s="15"/>
      <c r="AD117" s="15"/>
      <c r="AE117" s="15"/>
      <c r="AF117" s="19"/>
      <c r="AG117" s="19"/>
      <c r="AH117" s="15"/>
      <c r="AI117" s="15"/>
      <c r="AJ117" s="15"/>
      <c r="AK117" s="15"/>
      <c r="AL117" s="21"/>
      <c r="AM117" s="15"/>
      <c r="AN117" s="15"/>
      <c r="AO117" s="15"/>
      <c r="AP117" s="15"/>
      <c r="AQ117" s="15"/>
      <c r="AR117" s="15"/>
      <c r="AS117" s="15"/>
      <c r="AT117" s="19" t="str">
        <f>IF(COUNTA(A117:I117)+COUNTA(N117:X117)+COUNTA(AA117:AE117)+COUNTA(AH117:AS117)=0,"",IF(AND(A117&lt;&gt;"",E117&lt;&gt;"",OR(F117&lt;&gt;"",G117&lt;&gt;""),H117&lt;&gt;"",I117&lt;&gt;"",J117&lt;&gt;"No en catálogo",S117&lt;&gt;"",T117&lt;&gt;"",U117&lt;&gt;"",V117&lt;&gt;"",OR(AR117&lt;&gt;"",AND(W117&lt;&gt;"",X117&lt;&gt;"",AA117&lt;&gt;"",AB117&lt;&gt;"")),OR(AS117&lt;&gt;"",AND(AD117&lt;&gt;"",AE117&lt;&gt;"",AH117&lt;&gt;"",AI117&lt;&gt;"")),AK117&lt;&gt;"",OR(AK117&lt;&gt;"programado",AL117&lt;&gt;""),OR(AM117&lt;&gt;"específica",AN117&lt;&gt;""),OR(AO117&lt;&gt;"específica",AP117&lt;&gt;"")),"OK","Revisar"))</f>
        <v/>
      </c>
    </row>
    <row r="118" ht="15" customHeight="1" spans="1:46" x14ac:dyDescent="0.25">
      <c r="A118" s="15"/>
      <c r="B118" s="15"/>
      <c r="C118" s="15"/>
      <c r="D118" s="15"/>
      <c r="E118" s="15"/>
      <c r="F118" s="15"/>
      <c r="G118" s="15"/>
      <c r="H118" s="15"/>
      <c r="I118" s="15"/>
      <c r="J118" s="19">
        <f>IF(OR(H118="",I118=""),"",IFERROR(INDEX(Catalogo_Vehiculos!$C$2:$C$1325,MATCH(TRUE(),INDEX(Catalogo_Vehiculos!$G$2:$G$1325=H118&amp;"|"&amp;I118,0),0)),"No en catálogo"))</f>
      </c>
      <c r="K118" s="19">
        <f>IF(OR(H118="",I118=""),"",IFERROR(INDEX(Catalogo_Vehiculos!$D$2:$D$1325,MATCH(TRUE(),INDEX(Catalogo_Vehiculos!$G$2:$G$1325=H118&amp;"|"&amp;I118,0),0)),"No en catálogo"))</f>
      </c>
      <c r="L118" s="19">
        <f>IF(OR(H118="",I118=""),"",IFERROR(INDEX(Catalogo_Vehiculos!$E$2:$E$1325,MATCH(TRUE(),INDEX(Catalogo_Vehiculos!$G$2:$G$1325=H118&amp;"|"&amp;I118,0),0)),"No en catálogo"))</f>
      </c>
      <c r="M118" s="19">
        <f>IF(OR(H118="",I118=""),"",IFERROR(INDEX(Catalogo_Vehiculos!$F$2:$F$1325,MATCH(TRUE(),INDEX(Catalogo_Vehiculos!$G$2:$G$1325=H118&amp;"|"&amp;I118,0),0)),"No en catálogo"))</f>
      </c>
      <c r="N118" s="20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9"/>
      <c r="Z118" s="19"/>
      <c r="AA118" s="15"/>
      <c r="AB118" s="15"/>
      <c r="AC118" s="15"/>
      <c r="AD118" s="15"/>
      <c r="AE118" s="15"/>
      <c r="AF118" s="19"/>
      <c r="AG118" s="19"/>
      <c r="AH118" s="15"/>
      <c r="AI118" s="15"/>
      <c r="AJ118" s="15"/>
      <c r="AK118" s="15"/>
      <c r="AL118" s="21"/>
      <c r="AM118" s="15"/>
      <c r="AN118" s="15"/>
      <c r="AO118" s="15"/>
      <c r="AP118" s="15"/>
      <c r="AQ118" s="15"/>
      <c r="AR118" s="15"/>
      <c r="AS118" s="15"/>
      <c r="AT118" s="19" t="str">
        <f>IF(COUNTA(A118:I118)+COUNTA(N118:X118)+COUNTA(AA118:AE118)+COUNTA(AH118:AS118)=0,"",IF(AND(A118&lt;&gt;"",E118&lt;&gt;"",OR(F118&lt;&gt;"",G118&lt;&gt;""),H118&lt;&gt;"",I118&lt;&gt;"",J118&lt;&gt;"No en catálogo",S118&lt;&gt;"",T118&lt;&gt;"",U118&lt;&gt;"",V118&lt;&gt;"",OR(AR118&lt;&gt;"",AND(W118&lt;&gt;"",X118&lt;&gt;"",AA118&lt;&gt;"",AB118&lt;&gt;"")),OR(AS118&lt;&gt;"",AND(AD118&lt;&gt;"",AE118&lt;&gt;"",AH118&lt;&gt;"",AI118&lt;&gt;"")),AK118&lt;&gt;"",OR(AK118&lt;&gt;"programado",AL118&lt;&gt;""),OR(AM118&lt;&gt;"específica",AN118&lt;&gt;""),OR(AO118&lt;&gt;"específica",AP118&lt;&gt;"")),"OK","Revisar"))</f>
        <v/>
      </c>
    </row>
    <row r="119" ht="15" customHeight="1" spans="1:46" x14ac:dyDescent="0.25">
      <c r="A119" s="15"/>
      <c r="B119" s="15"/>
      <c r="C119" s="15"/>
      <c r="D119" s="15"/>
      <c r="E119" s="15"/>
      <c r="F119" s="15"/>
      <c r="G119" s="15"/>
      <c r="H119" s="15"/>
      <c r="I119" s="15"/>
      <c r="J119" s="19">
        <f>IF(OR(H119="",I119=""),"",IFERROR(INDEX(Catalogo_Vehiculos!$C$2:$C$1325,MATCH(TRUE(),INDEX(Catalogo_Vehiculos!$G$2:$G$1325=H119&amp;"|"&amp;I119,0),0)),"No en catálogo"))</f>
      </c>
      <c r="K119" s="19">
        <f>IF(OR(H119="",I119=""),"",IFERROR(INDEX(Catalogo_Vehiculos!$D$2:$D$1325,MATCH(TRUE(),INDEX(Catalogo_Vehiculos!$G$2:$G$1325=H119&amp;"|"&amp;I119,0),0)),"No en catálogo"))</f>
      </c>
      <c r="L119" s="19">
        <f>IF(OR(H119="",I119=""),"",IFERROR(INDEX(Catalogo_Vehiculos!$E$2:$E$1325,MATCH(TRUE(),INDEX(Catalogo_Vehiculos!$G$2:$G$1325=H119&amp;"|"&amp;I119,0),0)),"No en catálogo"))</f>
      </c>
      <c r="M119" s="19">
        <f>IF(OR(H119="",I119=""),"",IFERROR(INDEX(Catalogo_Vehiculos!$F$2:$F$1325,MATCH(TRUE(),INDEX(Catalogo_Vehiculos!$G$2:$G$1325=H119&amp;"|"&amp;I119,0),0)),"No en catálogo"))</f>
      </c>
      <c r="N119" s="20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9"/>
      <c r="Z119" s="19"/>
      <c r="AA119" s="15"/>
      <c r="AB119" s="15"/>
      <c r="AC119" s="15"/>
      <c r="AD119" s="15"/>
      <c r="AE119" s="15"/>
      <c r="AF119" s="19"/>
      <c r="AG119" s="19"/>
      <c r="AH119" s="15"/>
      <c r="AI119" s="15"/>
      <c r="AJ119" s="15"/>
      <c r="AK119" s="15"/>
      <c r="AL119" s="21"/>
      <c r="AM119" s="15"/>
      <c r="AN119" s="15"/>
      <c r="AO119" s="15"/>
      <c r="AP119" s="15"/>
      <c r="AQ119" s="15"/>
      <c r="AR119" s="15"/>
      <c r="AS119" s="15"/>
      <c r="AT119" s="19" t="str">
        <f>IF(COUNTA(A119:I119)+COUNTA(N119:X119)+COUNTA(AA119:AE119)+COUNTA(AH119:AS119)=0,"",IF(AND(A119&lt;&gt;"",E119&lt;&gt;"",OR(F119&lt;&gt;"",G119&lt;&gt;""),H119&lt;&gt;"",I119&lt;&gt;"",J119&lt;&gt;"No en catálogo",S119&lt;&gt;"",T119&lt;&gt;"",U119&lt;&gt;"",V119&lt;&gt;"",OR(AR119&lt;&gt;"",AND(W119&lt;&gt;"",X119&lt;&gt;"",AA119&lt;&gt;"",AB119&lt;&gt;"")),OR(AS119&lt;&gt;"",AND(AD119&lt;&gt;"",AE119&lt;&gt;"",AH119&lt;&gt;"",AI119&lt;&gt;"")),AK119&lt;&gt;"",OR(AK119&lt;&gt;"programado",AL119&lt;&gt;""),OR(AM119&lt;&gt;"específica",AN119&lt;&gt;""),OR(AO119&lt;&gt;"específica",AP119&lt;&gt;"")),"OK","Revisar"))</f>
        <v/>
      </c>
    </row>
    <row r="120" ht="15" customHeight="1" spans="1:46" x14ac:dyDescent="0.25">
      <c r="A120" s="15"/>
      <c r="B120" s="15"/>
      <c r="C120" s="15"/>
      <c r="D120" s="15"/>
      <c r="E120" s="15"/>
      <c r="F120" s="15"/>
      <c r="G120" s="15"/>
      <c r="H120" s="15"/>
      <c r="I120" s="15"/>
      <c r="J120" s="19">
        <f>IF(OR(H120="",I120=""),"",IFERROR(INDEX(Catalogo_Vehiculos!$C$2:$C$1325,MATCH(TRUE(),INDEX(Catalogo_Vehiculos!$G$2:$G$1325=H120&amp;"|"&amp;I120,0),0)),"No en catálogo"))</f>
      </c>
      <c r="K120" s="19">
        <f>IF(OR(H120="",I120=""),"",IFERROR(INDEX(Catalogo_Vehiculos!$D$2:$D$1325,MATCH(TRUE(),INDEX(Catalogo_Vehiculos!$G$2:$G$1325=H120&amp;"|"&amp;I120,0),0)),"No en catálogo"))</f>
      </c>
      <c r="L120" s="19">
        <f>IF(OR(H120="",I120=""),"",IFERROR(INDEX(Catalogo_Vehiculos!$E$2:$E$1325,MATCH(TRUE(),INDEX(Catalogo_Vehiculos!$G$2:$G$1325=H120&amp;"|"&amp;I120,0),0)),"No en catálogo"))</f>
      </c>
      <c r="M120" s="19">
        <f>IF(OR(H120="",I120=""),"",IFERROR(INDEX(Catalogo_Vehiculos!$F$2:$F$1325,MATCH(TRUE(),INDEX(Catalogo_Vehiculos!$G$2:$G$1325=H120&amp;"|"&amp;I120,0),0)),"No en catálogo"))</f>
      </c>
      <c r="N120" s="20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9"/>
      <c r="Z120" s="19"/>
      <c r="AA120" s="15"/>
      <c r="AB120" s="15"/>
      <c r="AC120" s="15"/>
      <c r="AD120" s="15"/>
      <c r="AE120" s="15"/>
      <c r="AF120" s="19"/>
      <c r="AG120" s="19"/>
      <c r="AH120" s="15"/>
      <c r="AI120" s="15"/>
      <c r="AJ120" s="15"/>
      <c r="AK120" s="15"/>
      <c r="AL120" s="21"/>
      <c r="AM120" s="15"/>
      <c r="AN120" s="15"/>
      <c r="AO120" s="15"/>
      <c r="AP120" s="15"/>
      <c r="AQ120" s="15"/>
      <c r="AR120" s="15"/>
      <c r="AS120" s="15"/>
      <c r="AT120" s="19" t="str">
        <f>IF(COUNTA(A120:I120)+COUNTA(N120:X120)+COUNTA(AA120:AE120)+COUNTA(AH120:AS120)=0,"",IF(AND(A120&lt;&gt;"",E120&lt;&gt;"",OR(F120&lt;&gt;"",G120&lt;&gt;""),H120&lt;&gt;"",I120&lt;&gt;"",J120&lt;&gt;"No en catálogo",S120&lt;&gt;"",T120&lt;&gt;"",U120&lt;&gt;"",V120&lt;&gt;"",OR(AR120&lt;&gt;"",AND(W120&lt;&gt;"",X120&lt;&gt;"",AA120&lt;&gt;"",AB120&lt;&gt;"")),OR(AS120&lt;&gt;"",AND(AD120&lt;&gt;"",AE120&lt;&gt;"",AH120&lt;&gt;"",AI120&lt;&gt;"")),AK120&lt;&gt;"",OR(AK120&lt;&gt;"programado",AL120&lt;&gt;""),OR(AM120&lt;&gt;"específica",AN120&lt;&gt;""),OR(AO120&lt;&gt;"específica",AP120&lt;&gt;"")),"OK","Revisar"))</f>
        <v/>
      </c>
    </row>
    <row r="121" ht="15" customHeight="1" spans="1:46" x14ac:dyDescent="0.25">
      <c r="A121" s="15"/>
      <c r="B121" s="15"/>
      <c r="C121" s="15"/>
      <c r="D121" s="15"/>
      <c r="E121" s="15"/>
      <c r="F121" s="15"/>
      <c r="G121" s="15"/>
      <c r="H121" s="15"/>
      <c r="I121" s="15"/>
      <c r="J121" s="19">
        <f>IF(OR(H121="",I121=""),"",IFERROR(INDEX(Catalogo_Vehiculos!$C$2:$C$1325,MATCH(TRUE(),INDEX(Catalogo_Vehiculos!$G$2:$G$1325=H121&amp;"|"&amp;I121,0),0)),"No en catálogo"))</f>
      </c>
      <c r="K121" s="19">
        <f>IF(OR(H121="",I121=""),"",IFERROR(INDEX(Catalogo_Vehiculos!$D$2:$D$1325,MATCH(TRUE(),INDEX(Catalogo_Vehiculos!$G$2:$G$1325=H121&amp;"|"&amp;I121,0),0)),"No en catálogo"))</f>
      </c>
      <c r="L121" s="19">
        <f>IF(OR(H121="",I121=""),"",IFERROR(INDEX(Catalogo_Vehiculos!$E$2:$E$1325,MATCH(TRUE(),INDEX(Catalogo_Vehiculos!$G$2:$G$1325=H121&amp;"|"&amp;I121,0),0)),"No en catálogo"))</f>
      </c>
      <c r="M121" s="19">
        <f>IF(OR(H121="",I121=""),"",IFERROR(INDEX(Catalogo_Vehiculos!$F$2:$F$1325,MATCH(TRUE(),INDEX(Catalogo_Vehiculos!$G$2:$G$1325=H121&amp;"|"&amp;I121,0),0)),"No en catálogo"))</f>
      </c>
      <c r="N121" s="20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9"/>
      <c r="Z121" s="19"/>
      <c r="AA121" s="15"/>
      <c r="AB121" s="15"/>
      <c r="AC121" s="15"/>
      <c r="AD121" s="15"/>
      <c r="AE121" s="15"/>
      <c r="AF121" s="19"/>
      <c r="AG121" s="19"/>
      <c r="AH121" s="15"/>
      <c r="AI121" s="15"/>
      <c r="AJ121" s="15"/>
      <c r="AK121" s="15"/>
      <c r="AL121" s="21"/>
      <c r="AM121" s="15"/>
      <c r="AN121" s="15"/>
      <c r="AO121" s="15"/>
      <c r="AP121" s="15"/>
      <c r="AQ121" s="15"/>
      <c r="AR121" s="15"/>
      <c r="AS121" s="15"/>
      <c r="AT121" s="19" t="str">
        <f>IF(COUNTA(A121:I121)+COUNTA(N121:X121)+COUNTA(AA121:AE121)+COUNTA(AH121:AS121)=0,"",IF(AND(A121&lt;&gt;"",E121&lt;&gt;"",OR(F121&lt;&gt;"",G121&lt;&gt;""),H121&lt;&gt;"",I121&lt;&gt;"",J121&lt;&gt;"No en catálogo",S121&lt;&gt;"",T121&lt;&gt;"",U121&lt;&gt;"",V121&lt;&gt;"",OR(AR121&lt;&gt;"",AND(W121&lt;&gt;"",X121&lt;&gt;"",AA121&lt;&gt;"",AB121&lt;&gt;"")),OR(AS121&lt;&gt;"",AND(AD121&lt;&gt;"",AE121&lt;&gt;"",AH121&lt;&gt;"",AI121&lt;&gt;"")),AK121&lt;&gt;"",OR(AK121&lt;&gt;"programado",AL121&lt;&gt;""),OR(AM121&lt;&gt;"específica",AN121&lt;&gt;""),OR(AO121&lt;&gt;"específica",AP121&lt;&gt;"")),"OK","Revisar"))</f>
        <v/>
      </c>
    </row>
    <row r="122" ht="15" customHeight="1" spans="1:46" x14ac:dyDescent="0.25">
      <c r="A122" s="15"/>
      <c r="B122" s="15"/>
      <c r="C122" s="15"/>
      <c r="D122" s="15"/>
      <c r="E122" s="15"/>
      <c r="F122" s="15"/>
      <c r="G122" s="15"/>
      <c r="H122" s="15"/>
      <c r="I122" s="15"/>
      <c r="J122" s="19">
        <f>IF(OR(H122="",I122=""),"",IFERROR(INDEX(Catalogo_Vehiculos!$C$2:$C$1325,MATCH(TRUE(),INDEX(Catalogo_Vehiculos!$G$2:$G$1325=H122&amp;"|"&amp;I122,0),0)),"No en catálogo"))</f>
      </c>
      <c r="K122" s="19">
        <f>IF(OR(H122="",I122=""),"",IFERROR(INDEX(Catalogo_Vehiculos!$D$2:$D$1325,MATCH(TRUE(),INDEX(Catalogo_Vehiculos!$G$2:$G$1325=H122&amp;"|"&amp;I122,0),0)),"No en catálogo"))</f>
      </c>
      <c r="L122" s="19">
        <f>IF(OR(H122="",I122=""),"",IFERROR(INDEX(Catalogo_Vehiculos!$E$2:$E$1325,MATCH(TRUE(),INDEX(Catalogo_Vehiculos!$G$2:$G$1325=H122&amp;"|"&amp;I122,0),0)),"No en catálogo"))</f>
      </c>
      <c r="M122" s="19">
        <f>IF(OR(H122="",I122=""),"",IFERROR(INDEX(Catalogo_Vehiculos!$F$2:$F$1325,MATCH(TRUE(),INDEX(Catalogo_Vehiculos!$G$2:$G$1325=H122&amp;"|"&amp;I122,0),0)),"No en catálogo"))</f>
      </c>
      <c r="N122" s="20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9"/>
      <c r="Z122" s="19"/>
      <c r="AA122" s="15"/>
      <c r="AB122" s="15"/>
      <c r="AC122" s="15"/>
      <c r="AD122" s="15"/>
      <c r="AE122" s="15"/>
      <c r="AF122" s="19"/>
      <c r="AG122" s="19"/>
      <c r="AH122" s="15"/>
      <c r="AI122" s="15"/>
      <c r="AJ122" s="15"/>
      <c r="AK122" s="15"/>
      <c r="AL122" s="21"/>
      <c r="AM122" s="15"/>
      <c r="AN122" s="15"/>
      <c r="AO122" s="15"/>
      <c r="AP122" s="15"/>
      <c r="AQ122" s="15"/>
      <c r="AR122" s="15"/>
      <c r="AS122" s="15"/>
      <c r="AT122" s="19" t="str">
        <f>IF(COUNTA(A122:I122)+COUNTA(N122:X122)+COUNTA(AA122:AE122)+COUNTA(AH122:AS122)=0,"",IF(AND(A122&lt;&gt;"",E122&lt;&gt;"",OR(F122&lt;&gt;"",G122&lt;&gt;""),H122&lt;&gt;"",I122&lt;&gt;"",J122&lt;&gt;"No en catálogo",S122&lt;&gt;"",T122&lt;&gt;"",U122&lt;&gt;"",V122&lt;&gt;"",OR(AR122&lt;&gt;"",AND(W122&lt;&gt;"",X122&lt;&gt;"",AA122&lt;&gt;"",AB122&lt;&gt;"")),OR(AS122&lt;&gt;"",AND(AD122&lt;&gt;"",AE122&lt;&gt;"",AH122&lt;&gt;"",AI122&lt;&gt;"")),AK122&lt;&gt;"",OR(AK122&lt;&gt;"programado",AL122&lt;&gt;""),OR(AM122&lt;&gt;"específica",AN122&lt;&gt;""),OR(AO122&lt;&gt;"específica",AP122&lt;&gt;"")),"OK","Revisar"))</f>
        <v/>
      </c>
    </row>
    <row r="123" ht="15" customHeight="1" spans="1:46" x14ac:dyDescent="0.25">
      <c r="A123" s="15"/>
      <c r="B123" s="15"/>
      <c r="C123" s="15"/>
      <c r="D123" s="15"/>
      <c r="E123" s="15"/>
      <c r="F123" s="15"/>
      <c r="G123" s="15"/>
      <c r="H123" s="15"/>
      <c r="I123" s="15"/>
      <c r="J123" s="19">
        <f>IF(OR(H123="",I123=""),"",IFERROR(INDEX(Catalogo_Vehiculos!$C$2:$C$1325,MATCH(TRUE(),INDEX(Catalogo_Vehiculos!$G$2:$G$1325=H123&amp;"|"&amp;I123,0),0)),"No en catálogo"))</f>
      </c>
      <c r="K123" s="19">
        <f>IF(OR(H123="",I123=""),"",IFERROR(INDEX(Catalogo_Vehiculos!$D$2:$D$1325,MATCH(TRUE(),INDEX(Catalogo_Vehiculos!$G$2:$G$1325=H123&amp;"|"&amp;I123,0),0)),"No en catálogo"))</f>
      </c>
      <c r="L123" s="19">
        <f>IF(OR(H123="",I123=""),"",IFERROR(INDEX(Catalogo_Vehiculos!$E$2:$E$1325,MATCH(TRUE(),INDEX(Catalogo_Vehiculos!$G$2:$G$1325=H123&amp;"|"&amp;I123,0),0)),"No en catálogo"))</f>
      </c>
      <c r="M123" s="19">
        <f>IF(OR(H123="",I123=""),"",IFERROR(INDEX(Catalogo_Vehiculos!$F$2:$F$1325,MATCH(TRUE(),INDEX(Catalogo_Vehiculos!$G$2:$G$1325=H123&amp;"|"&amp;I123,0),0)),"No en catálogo"))</f>
      </c>
      <c r="N123" s="20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9"/>
      <c r="Z123" s="19"/>
      <c r="AA123" s="15"/>
      <c r="AB123" s="15"/>
      <c r="AC123" s="15"/>
      <c r="AD123" s="15"/>
      <c r="AE123" s="15"/>
      <c r="AF123" s="19"/>
      <c r="AG123" s="19"/>
      <c r="AH123" s="15"/>
      <c r="AI123" s="15"/>
      <c r="AJ123" s="15"/>
      <c r="AK123" s="15"/>
      <c r="AL123" s="21"/>
      <c r="AM123" s="15"/>
      <c r="AN123" s="15"/>
      <c r="AO123" s="15"/>
      <c r="AP123" s="15"/>
      <c r="AQ123" s="15"/>
      <c r="AR123" s="15"/>
      <c r="AS123" s="15"/>
      <c r="AT123" s="19" t="str">
        <f>IF(COUNTA(A123:I123)+COUNTA(N123:X123)+COUNTA(AA123:AE123)+COUNTA(AH123:AS123)=0,"",IF(AND(A123&lt;&gt;"",E123&lt;&gt;"",OR(F123&lt;&gt;"",G123&lt;&gt;""),H123&lt;&gt;"",I123&lt;&gt;"",J123&lt;&gt;"No en catálogo",S123&lt;&gt;"",T123&lt;&gt;"",U123&lt;&gt;"",V123&lt;&gt;"",OR(AR123&lt;&gt;"",AND(W123&lt;&gt;"",X123&lt;&gt;"",AA123&lt;&gt;"",AB123&lt;&gt;"")),OR(AS123&lt;&gt;"",AND(AD123&lt;&gt;"",AE123&lt;&gt;"",AH123&lt;&gt;"",AI123&lt;&gt;"")),AK123&lt;&gt;"",OR(AK123&lt;&gt;"programado",AL123&lt;&gt;""),OR(AM123&lt;&gt;"específica",AN123&lt;&gt;""),OR(AO123&lt;&gt;"específica",AP123&lt;&gt;"")),"OK","Revisar"))</f>
        <v/>
      </c>
    </row>
    <row r="124" ht="15" customHeight="1" spans="1:46" x14ac:dyDescent="0.25">
      <c r="A124" s="15"/>
      <c r="B124" s="15"/>
      <c r="C124" s="15"/>
      <c r="D124" s="15"/>
      <c r="E124" s="15"/>
      <c r="F124" s="15"/>
      <c r="G124" s="15"/>
      <c r="H124" s="15"/>
      <c r="I124" s="15"/>
      <c r="J124" s="19">
        <f>IF(OR(H124="",I124=""),"",IFERROR(INDEX(Catalogo_Vehiculos!$C$2:$C$1325,MATCH(TRUE(),INDEX(Catalogo_Vehiculos!$G$2:$G$1325=H124&amp;"|"&amp;I124,0),0)),"No en catálogo"))</f>
      </c>
      <c r="K124" s="19">
        <f>IF(OR(H124="",I124=""),"",IFERROR(INDEX(Catalogo_Vehiculos!$D$2:$D$1325,MATCH(TRUE(),INDEX(Catalogo_Vehiculos!$G$2:$G$1325=H124&amp;"|"&amp;I124,0),0)),"No en catálogo"))</f>
      </c>
      <c r="L124" s="19">
        <f>IF(OR(H124="",I124=""),"",IFERROR(INDEX(Catalogo_Vehiculos!$E$2:$E$1325,MATCH(TRUE(),INDEX(Catalogo_Vehiculos!$G$2:$G$1325=H124&amp;"|"&amp;I124,0),0)),"No en catálogo"))</f>
      </c>
      <c r="M124" s="19">
        <f>IF(OR(H124="",I124=""),"",IFERROR(INDEX(Catalogo_Vehiculos!$F$2:$F$1325,MATCH(TRUE(),INDEX(Catalogo_Vehiculos!$G$2:$G$1325=H124&amp;"|"&amp;I124,0),0)),"No en catálogo"))</f>
      </c>
      <c r="N124" s="20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9"/>
      <c r="Z124" s="19"/>
      <c r="AA124" s="15"/>
      <c r="AB124" s="15"/>
      <c r="AC124" s="15"/>
      <c r="AD124" s="15"/>
      <c r="AE124" s="15"/>
      <c r="AF124" s="19"/>
      <c r="AG124" s="19"/>
      <c r="AH124" s="15"/>
      <c r="AI124" s="15"/>
      <c r="AJ124" s="15"/>
      <c r="AK124" s="15"/>
      <c r="AL124" s="21"/>
      <c r="AM124" s="15"/>
      <c r="AN124" s="15"/>
      <c r="AO124" s="15"/>
      <c r="AP124" s="15"/>
      <c r="AQ124" s="15"/>
      <c r="AR124" s="15"/>
      <c r="AS124" s="15"/>
      <c r="AT124" s="19" t="str">
        <f>IF(COUNTA(A124:I124)+COUNTA(N124:X124)+COUNTA(AA124:AE124)+COUNTA(AH124:AS124)=0,"",IF(AND(A124&lt;&gt;"",E124&lt;&gt;"",OR(F124&lt;&gt;"",G124&lt;&gt;""),H124&lt;&gt;"",I124&lt;&gt;"",J124&lt;&gt;"No en catálogo",S124&lt;&gt;"",T124&lt;&gt;"",U124&lt;&gt;"",V124&lt;&gt;"",OR(AR124&lt;&gt;"",AND(W124&lt;&gt;"",X124&lt;&gt;"",AA124&lt;&gt;"",AB124&lt;&gt;"")),OR(AS124&lt;&gt;"",AND(AD124&lt;&gt;"",AE124&lt;&gt;"",AH124&lt;&gt;"",AI124&lt;&gt;"")),AK124&lt;&gt;"",OR(AK124&lt;&gt;"programado",AL124&lt;&gt;""),OR(AM124&lt;&gt;"específica",AN124&lt;&gt;""),OR(AO124&lt;&gt;"específica",AP124&lt;&gt;"")),"OK","Revisar"))</f>
        <v/>
      </c>
    </row>
    <row r="125" ht="15" customHeight="1" spans="1:46" x14ac:dyDescent="0.25">
      <c r="A125" s="15"/>
      <c r="B125" s="15"/>
      <c r="C125" s="15"/>
      <c r="D125" s="15"/>
      <c r="E125" s="15"/>
      <c r="F125" s="15"/>
      <c r="G125" s="15"/>
      <c r="H125" s="15"/>
      <c r="I125" s="15"/>
      <c r="J125" s="19">
        <f>IF(OR(H125="",I125=""),"",IFERROR(INDEX(Catalogo_Vehiculos!$C$2:$C$1325,MATCH(TRUE(),INDEX(Catalogo_Vehiculos!$G$2:$G$1325=H125&amp;"|"&amp;I125,0),0)),"No en catálogo"))</f>
      </c>
      <c r="K125" s="19">
        <f>IF(OR(H125="",I125=""),"",IFERROR(INDEX(Catalogo_Vehiculos!$D$2:$D$1325,MATCH(TRUE(),INDEX(Catalogo_Vehiculos!$G$2:$G$1325=H125&amp;"|"&amp;I125,0),0)),"No en catálogo"))</f>
      </c>
      <c r="L125" s="19">
        <f>IF(OR(H125="",I125=""),"",IFERROR(INDEX(Catalogo_Vehiculos!$E$2:$E$1325,MATCH(TRUE(),INDEX(Catalogo_Vehiculos!$G$2:$G$1325=H125&amp;"|"&amp;I125,0),0)),"No en catálogo"))</f>
      </c>
      <c r="M125" s="19">
        <f>IF(OR(H125="",I125=""),"",IFERROR(INDEX(Catalogo_Vehiculos!$F$2:$F$1325,MATCH(TRUE(),INDEX(Catalogo_Vehiculos!$G$2:$G$1325=H125&amp;"|"&amp;I125,0),0)),"No en catálogo"))</f>
      </c>
      <c r="N125" s="20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9"/>
      <c r="Z125" s="19"/>
      <c r="AA125" s="15"/>
      <c r="AB125" s="15"/>
      <c r="AC125" s="15"/>
      <c r="AD125" s="15"/>
      <c r="AE125" s="15"/>
      <c r="AF125" s="19"/>
      <c r="AG125" s="19"/>
      <c r="AH125" s="15"/>
      <c r="AI125" s="15"/>
      <c r="AJ125" s="15"/>
      <c r="AK125" s="15"/>
      <c r="AL125" s="21"/>
      <c r="AM125" s="15"/>
      <c r="AN125" s="15"/>
      <c r="AO125" s="15"/>
      <c r="AP125" s="15"/>
      <c r="AQ125" s="15"/>
      <c r="AR125" s="15"/>
      <c r="AS125" s="15"/>
      <c r="AT125" s="19" t="str">
        <f>IF(COUNTA(A125:I125)+COUNTA(N125:X125)+COUNTA(AA125:AE125)+COUNTA(AH125:AS125)=0,"",IF(AND(A125&lt;&gt;"",E125&lt;&gt;"",OR(F125&lt;&gt;"",G125&lt;&gt;""),H125&lt;&gt;"",I125&lt;&gt;"",J125&lt;&gt;"No en catálogo",S125&lt;&gt;"",T125&lt;&gt;"",U125&lt;&gt;"",V125&lt;&gt;"",OR(AR125&lt;&gt;"",AND(W125&lt;&gt;"",X125&lt;&gt;"",AA125&lt;&gt;"",AB125&lt;&gt;"")),OR(AS125&lt;&gt;"",AND(AD125&lt;&gt;"",AE125&lt;&gt;"",AH125&lt;&gt;"",AI125&lt;&gt;"")),AK125&lt;&gt;"",OR(AK125&lt;&gt;"programado",AL125&lt;&gt;""),OR(AM125&lt;&gt;"específica",AN125&lt;&gt;""),OR(AO125&lt;&gt;"específica",AP125&lt;&gt;"")),"OK","Revisar"))</f>
        <v/>
      </c>
    </row>
    <row r="126" ht="15" customHeight="1" spans="1:46" x14ac:dyDescent="0.25">
      <c r="A126" s="15"/>
      <c r="B126" s="15"/>
      <c r="C126" s="15"/>
      <c r="D126" s="15"/>
      <c r="E126" s="15"/>
      <c r="F126" s="15"/>
      <c r="G126" s="15"/>
      <c r="H126" s="15"/>
      <c r="I126" s="15"/>
      <c r="J126" s="19">
        <f>IF(OR(H126="",I126=""),"",IFERROR(INDEX(Catalogo_Vehiculos!$C$2:$C$1325,MATCH(TRUE(),INDEX(Catalogo_Vehiculos!$G$2:$G$1325=H126&amp;"|"&amp;I126,0),0)),"No en catálogo"))</f>
      </c>
      <c r="K126" s="19">
        <f>IF(OR(H126="",I126=""),"",IFERROR(INDEX(Catalogo_Vehiculos!$D$2:$D$1325,MATCH(TRUE(),INDEX(Catalogo_Vehiculos!$G$2:$G$1325=H126&amp;"|"&amp;I126,0),0)),"No en catálogo"))</f>
      </c>
      <c r="L126" s="19">
        <f>IF(OR(H126="",I126=""),"",IFERROR(INDEX(Catalogo_Vehiculos!$E$2:$E$1325,MATCH(TRUE(),INDEX(Catalogo_Vehiculos!$G$2:$G$1325=H126&amp;"|"&amp;I126,0),0)),"No en catálogo"))</f>
      </c>
      <c r="M126" s="19">
        <f>IF(OR(H126="",I126=""),"",IFERROR(INDEX(Catalogo_Vehiculos!$F$2:$F$1325,MATCH(TRUE(),INDEX(Catalogo_Vehiculos!$G$2:$G$1325=H126&amp;"|"&amp;I126,0),0)),"No en catálogo"))</f>
      </c>
      <c r="N126" s="20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9"/>
      <c r="Z126" s="19"/>
      <c r="AA126" s="15"/>
      <c r="AB126" s="15"/>
      <c r="AC126" s="15"/>
      <c r="AD126" s="15"/>
      <c r="AE126" s="15"/>
      <c r="AF126" s="19"/>
      <c r="AG126" s="19"/>
      <c r="AH126" s="15"/>
      <c r="AI126" s="15"/>
      <c r="AJ126" s="15"/>
      <c r="AK126" s="15"/>
      <c r="AL126" s="21"/>
      <c r="AM126" s="15"/>
      <c r="AN126" s="15"/>
      <c r="AO126" s="15"/>
      <c r="AP126" s="15"/>
      <c r="AQ126" s="15"/>
      <c r="AR126" s="15"/>
      <c r="AS126" s="15"/>
      <c r="AT126" s="19" t="str">
        <f>IF(COUNTA(A126:I126)+COUNTA(N126:X126)+COUNTA(AA126:AE126)+COUNTA(AH126:AS126)=0,"",IF(AND(A126&lt;&gt;"",E126&lt;&gt;"",OR(F126&lt;&gt;"",G126&lt;&gt;""),H126&lt;&gt;"",I126&lt;&gt;"",J126&lt;&gt;"No en catálogo",S126&lt;&gt;"",T126&lt;&gt;"",U126&lt;&gt;"",V126&lt;&gt;"",OR(AR126&lt;&gt;"",AND(W126&lt;&gt;"",X126&lt;&gt;"",AA126&lt;&gt;"",AB126&lt;&gt;"")),OR(AS126&lt;&gt;"",AND(AD126&lt;&gt;"",AE126&lt;&gt;"",AH126&lt;&gt;"",AI126&lt;&gt;"")),AK126&lt;&gt;"",OR(AK126&lt;&gt;"programado",AL126&lt;&gt;""),OR(AM126&lt;&gt;"específica",AN126&lt;&gt;""),OR(AO126&lt;&gt;"específica",AP126&lt;&gt;"")),"OK","Revisar"))</f>
        <v/>
      </c>
    </row>
    <row r="127" ht="15" customHeight="1" spans="1:46" x14ac:dyDescent="0.25">
      <c r="A127" s="15"/>
      <c r="B127" s="15"/>
      <c r="C127" s="15"/>
      <c r="D127" s="15"/>
      <c r="E127" s="15"/>
      <c r="F127" s="15"/>
      <c r="G127" s="15"/>
      <c r="H127" s="15"/>
      <c r="I127" s="15"/>
      <c r="J127" s="19">
        <f>IF(OR(H127="",I127=""),"",IFERROR(INDEX(Catalogo_Vehiculos!$C$2:$C$1325,MATCH(TRUE(),INDEX(Catalogo_Vehiculos!$G$2:$G$1325=H127&amp;"|"&amp;I127,0),0)),"No en catálogo"))</f>
      </c>
      <c r="K127" s="19">
        <f>IF(OR(H127="",I127=""),"",IFERROR(INDEX(Catalogo_Vehiculos!$D$2:$D$1325,MATCH(TRUE(),INDEX(Catalogo_Vehiculos!$G$2:$G$1325=H127&amp;"|"&amp;I127,0),0)),"No en catálogo"))</f>
      </c>
      <c r="L127" s="19">
        <f>IF(OR(H127="",I127=""),"",IFERROR(INDEX(Catalogo_Vehiculos!$E$2:$E$1325,MATCH(TRUE(),INDEX(Catalogo_Vehiculos!$G$2:$G$1325=H127&amp;"|"&amp;I127,0),0)),"No en catálogo"))</f>
      </c>
      <c r="M127" s="19">
        <f>IF(OR(H127="",I127=""),"",IFERROR(INDEX(Catalogo_Vehiculos!$F$2:$F$1325,MATCH(TRUE(),INDEX(Catalogo_Vehiculos!$G$2:$G$1325=H127&amp;"|"&amp;I127,0),0)),"No en catálogo"))</f>
      </c>
      <c r="N127" s="20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9"/>
      <c r="Z127" s="19"/>
      <c r="AA127" s="15"/>
      <c r="AB127" s="15"/>
      <c r="AC127" s="15"/>
      <c r="AD127" s="15"/>
      <c r="AE127" s="15"/>
      <c r="AF127" s="19"/>
      <c r="AG127" s="19"/>
      <c r="AH127" s="15"/>
      <c r="AI127" s="15"/>
      <c r="AJ127" s="15"/>
      <c r="AK127" s="15"/>
      <c r="AL127" s="21"/>
      <c r="AM127" s="15"/>
      <c r="AN127" s="15"/>
      <c r="AO127" s="15"/>
      <c r="AP127" s="15"/>
      <c r="AQ127" s="15"/>
      <c r="AR127" s="15"/>
      <c r="AS127" s="15"/>
      <c r="AT127" s="19" t="str">
        <f>IF(COUNTA(A127:I127)+COUNTA(N127:X127)+COUNTA(AA127:AE127)+COUNTA(AH127:AS127)=0,"",IF(AND(A127&lt;&gt;"",E127&lt;&gt;"",OR(F127&lt;&gt;"",G127&lt;&gt;""),H127&lt;&gt;"",I127&lt;&gt;"",J127&lt;&gt;"No en catálogo",S127&lt;&gt;"",T127&lt;&gt;"",U127&lt;&gt;"",V127&lt;&gt;"",OR(AR127&lt;&gt;"",AND(W127&lt;&gt;"",X127&lt;&gt;"",AA127&lt;&gt;"",AB127&lt;&gt;"")),OR(AS127&lt;&gt;"",AND(AD127&lt;&gt;"",AE127&lt;&gt;"",AH127&lt;&gt;"",AI127&lt;&gt;"")),AK127&lt;&gt;"",OR(AK127&lt;&gt;"programado",AL127&lt;&gt;""),OR(AM127&lt;&gt;"específica",AN127&lt;&gt;""),OR(AO127&lt;&gt;"específica",AP127&lt;&gt;"")),"OK","Revisar"))</f>
        <v/>
      </c>
    </row>
    <row r="128" ht="15" customHeight="1" spans="1:46" x14ac:dyDescent="0.25">
      <c r="A128" s="15"/>
      <c r="B128" s="15"/>
      <c r="C128" s="15"/>
      <c r="D128" s="15"/>
      <c r="E128" s="15"/>
      <c r="F128" s="15"/>
      <c r="G128" s="15"/>
      <c r="H128" s="15"/>
      <c r="I128" s="15"/>
      <c r="J128" s="19">
        <f>IF(OR(H128="",I128=""),"",IFERROR(INDEX(Catalogo_Vehiculos!$C$2:$C$1325,MATCH(TRUE(),INDEX(Catalogo_Vehiculos!$G$2:$G$1325=H128&amp;"|"&amp;I128,0),0)),"No en catálogo"))</f>
      </c>
      <c r="K128" s="19">
        <f>IF(OR(H128="",I128=""),"",IFERROR(INDEX(Catalogo_Vehiculos!$D$2:$D$1325,MATCH(TRUE(),INDEX(Catalogo_Vehiculos!$G$2:$G$1325=H128&amp;"|"&amp;I128,0),0)),"No en catálogo"))</f>
      </c>
      <c r="L128" s="19">
        <f>IF(OR(H128="",I128=""),"",IFERROR(INDEX(Catalogo_Vehiculos!$E$2:$E$1325,MATCH(TRUE(),INDEX(Catalogo_Vehiculos!$G$2:$G$1325=H128&amp;"|"&amp;I128,0),0)),"No en catálogo"))</f>
      </c>
      <c r="M128" s="19">
        <f>IF(OR(H128="",I128=""),"",IFERROR(INDEX(Catalogo_Vehiculos!$F$2:$F$1325,MATCH(TRUE(),INDEX(Catalogo_Vehiculos!$G$2:$G$1325=H128&amp;"|"&amp;I128,0),0)),"No en catálogo"))</f>
      </c>
      <c r="N128" s="20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9"/>
      <c r="Z128" s="19"/>
      <c r="AA128" s="15"/>
      <c r="AB128" s="15"/>
      <c r="AC128" s="15"/>
      <c r="AD128" s="15"/>
      <c r="AE128" s="15"/>
      <c r="AF128" s="19"/>
      <c r="AG128" s="19"/>
      <c r="AH128" s="15"/>
      <c r="AI128" s="15"/>
      <c r="AJ128" s="15"/>
      <c r="AK128" s="15"/>
      <c r="AL128" s="21"/>
      <c r="AM128" s="15"/>
      <c r="AN128" s="15"/>
      <c r="AO128" s="15"/>
      <c r="AP128" s="15"/>
      <c r="AQ128" s="15"/>
      <c r="AR128" s="15"/>
      <c r="AS128" s="15"/>
      <c r="AT128" s="19" t="str">
        <f>IF(COUNTA(A128:I128)+COUNTA(N128:X128)+COUNTA(AA128:AE128)+COUNTA(AH128:AS128)=0,"",IF(AND(A128&lt;&gt;"",E128&lt;&gt;"",OR(F128&lt;&gt;"",G128&lt;&gt;""),H128&lt;&gt;"",I128&lt;&gt;"",J128&lt;&gt;"No en catálogo",S128&lt;&gt;"",T128&lt;&gt;"",U128&lt;&gt;"",V128&lt;&gt;"",OR(AR128&lt;&gt;"",AND(W128&lt;&gt;"",X128&lt;&gt;"",AA128&lt;&gt;"",AB128&lt;&gt;"")),OR(AS128&lt;&gt;"",AND(AD128&lt;&gt;"",AE128&lt;&gt;"",AH128&lt;&gt;"",AI128&lt;&gt;"")),AK128&lt;&gt;"",OR(AK128&lt;&gt;"programado",AL128&lt;&gt;""),OR(AM128&lt;&gt;"específica",AN128&lt;&gt;""),OR(AO128&lt;&gt;"específica",AP128&lt;&gt;"")),"OK","Revisar"))</f>
        <v/>
      </c>
    </row>
    <row r="129" ht="15" customHeight="1" spans="1:46" x14ac:dyDescent="0.25">
      <c r="A129" s="15"/>
      <c r="B129" s="15"/>
      <c r="C129" s="15"/>
      <c r="D129" s="15"/>
      <c r="E129" s="15"/>
      <c r="F129" s="15"/>
      <c r="G129" s="15"/>
      <c r="H129" s="15"/>
      <c r="I129" s="15"/>
      <c r="J129" s="19">
        <f>IF(OR(H129="",I129=""),"",IFERROR(INDEX(Catalogo_Vehiculos!$C$2:$C$1325,MATCH(TRUE(),INDEX(Catalogo_Vehiculos!$G$2:$G$1325=H129&amp;"|"&amp;I129,0),0)),"No en catálogo"))</f>
      </c>
      <c r="K129" s="19">
        <f>IF(OR(H129="",I129=""),"",IFERROR(INDEX(Catalogo_Vehiculos!$D$2:$D$1325,MATCH(TRUE(),INDEX(Catalogo_Vehiculos!$G$2:$G$1325=H129&amp;"|"&amp;I129,0),0)),"No en catálogo"))</f>
      </c>
      <c r="L129" s="19">
        <f>IF(OR(H129="",I129=""),"",IFERROR(INDEX(Catalogo_Vehiculos!$E$2:$E$1325,MATCH(TRUE(),INDEX(Catalogo_Vehiculos!$G$2:$G$1325=H129&amp;"|"&amp;I129,0),0)),"No en catálogo"))</f>
      </c>
      <c r="M129" s="19">
        <f>IF(OR(H129="",I129=""),"",IFERROR(INDEX(Catalogo_Vehiculos!$F$2:$F$1325,MATCH(TRUE(),INDEX(Catalogo_Vehiculos!$G$2:$G$1325=H129&amp;"|"&amp;I129,0),0)),"No en catálogo"))</f>
      </c>
      <c r="N129" s="20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9"/>
      <c r="Z129" s="19"/>
      <c r="AA129" s="15"/>
      <c r="AB129" s="15"/>
      <c r="AC129" s="15"/>
      <c r="AD129" s="15"/>
      <c r="AE129" s="15"/>
      <c r="AF129" s="19"/>
      <c r="AG129" s="19"/>
      <c r="AH129" s="15"/>
      <c r="AI129" s="15"/>
      <c r="AJ129" s="15"/>
      <c r="AK129" s="15"/>
      <c r="AL129" s="21"/>
      <c r="AM129" s="15"/>
      <c r="AN129" s="15"/>
      <c r="AO129" s="15"/>
      <c r="AP129" s="15"/>
      <c r="AQ129" s="15"/>
      <c r="AR129" s="15"/>
      <c r="AS129" s="15"/>
      <c r="AT129" s="19" t="str">
        <f>IF(COUNTA(A129:I129)+COUNTA(N129:X129)+COUNTA(AA129:AE129)+COUNTA(AH129:AS129)=0,"",IF(AND(A129&lt;&gt;"",E129&lt;&gt;"",OR(F129&lt;&gt;"",G129&lt;&gt;""),H129&lt;&gt;"",I129&lt;&gt;"",J129&lt;&gt;"No en catálogo",S129&lt;&gt;"",T129&lt;&gt;"",U129&lt;&gt;"",V129&lt;&gt;"",OR(AR129&lt;&gt;"",AND(W129&lt;&gt;"",X129&lt;&gt;"",AA129&lt;&gt;"",AB129&lt;&gt;"")),OR(AS129&lt;&gt;"",AND(AD129&lt;&gt;"",AE129&lt;&gt;"",AH129&lt;&gt;"",AI129&lt;&gt;"")),AK129&lt;&gt;"",OR(AK129&lt;&gt;"programado",AL129&lt;&gt;""),OR(AM129&lt;&gt;"específica",AN129&lt;&gt;""),OR(AO129&lt;&gt;"específica",AP129&lt;&gt;"")),"OK","Revisar"))</f>
        <v/>
      </c>
    </row>
    <row r="130" ht="15" customHeight="1" spans="1:46" x14ac:dyDescent="0.25">
      <c r="A130" s="15"/>
      <c r="B130" s="15"/>
      <c r="C130" s="15"/>
      <c r="D130" s="15"/>
      <c r="E130" s="15"/>
      <c r="F130" s="15"/>
      <c r="G130" s="15"/>
      <c r="H130" s="15"/>
      <c r="I130" s="15"/>
      <c r="J130" s="19">
        <f>IF(OR(H130="",I130=""),"",IFERROR(INDEX(Catalogo_Vehiculos!$C$2:$C$1325,MATCH(TRUE(),INDEX(Catalogo_Vehiculos!$G$2:$G$1325=H130&amp;"|"&amp;I130,0),0)),"No en catálogo"))</f>
      </c>
      <c r="K130" s="19">
        <f>IF(OR(H130="",I130=""),"",IFERROR(INDEX(Catalogo_Vehiculos!$D$2:$D$1325,MATCH(TRUE(),INDEX(Catalogo_Vehiculos!$G$2:$G$1325=H130&amp;"|"&amp;I130,0),0)),"No en catálogo"))</f>
      </c>
      <c r="L130" s="19">
        <f>IF(OR(H130="",I130=""),"",IFERROR(INDEX(Catalogo_Vehiculos!$E$2:$E$1325,MATCH(TRUE(),INDEX(Catalogo_Vehiculos!$G$2:$G$1325=H130&amp;"|"&amp;I130,0),0)),"No en catálogo"))</f>
      </c>
      <c r="M130" s="19">
        <f>IF(OR(H130="",I130=""),"",IFERROR(INDEX(Catalogo_Vehiculos!$F$2:$F$1325,MATCH(TRUE(),INDEX(Catalogo_Vehiculos!$G$2:$G$1325=H130&amp;"|"&amp;I130,0),0)),"No en catálogo"))</f>
      </c>
      <c r="N130" s="20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9"/>
      <c r="Z130" s="19"/>
      <c r="AA130" s="15"/>
      <c r="AB130" s="15"/>
      <c r="AC130" s="15"/>
      <c r="AD130" s="15"/>
      <c r="AE130" s="15"/>
      <c r="AF130" s="19"/>
      <c r="AG130" s="19"/>
      <c r="AH130" s="15"/>
      <c r="AI130" s="15"/>
      <c r="AJ130" s="15"/>
      <c r="AK130" s="15"/>
      <c r="AL130" s="21"/>
      <c r="AM130" s="15"/>
      <c r="AN130" s="15"/>
      <c r="AO130" s="15"/>
      <c r="AP130" s="15"/>
      <c r="AQ130" s="15"/>
      <c r="AR130" s="15"/>
      <c r="AS130" s="15"/>
      <c r="AT130" s="19" t="str">
        <f>IF(COUNTA(A130:I130)+COUNTA(N130:X130)+COUNTA(AA130:AE130)+COUNTA(AH130:AS130)=0,"",IF(AND(A130&lt;&gt;"",E130&lt;&gt;"",OR(F130&lt;&gt;"",G130&lt;&gt;""),H130&lt;&gt;"",I130&lt;&gt;"",J130&lt;&gt;"No en catálogo",S130&lt;&gt;"",T130&lt;&gt;"",U130&lt;&gt;"",V130&lt;&gt;"",OR(AR130&lt;&gt;"",AND(W130&lt;&gt;"",X130&lt;&gt;"",AA130&lt;&gt;"",AB130&lt;&gt;"")),OR(AS130&lt;&gt;"",AND(AD130&lt;&gt;"",AE130&lt;&gt;"",AH130&lt;&gt;"",AI130&lt;&gt;"")),AK130&lt;&gt;"",OR(AK130&lt;&gt;"programado",AL130&lt;&gt;""),OR(AM130&lt;&gt;"específica",AN130&lt;&gt;""),OR(AO130&lt;&gt;"específica",AP130&lt;&gt;"")),"OK","Revisar"))</f>
        <v/>
      </c>
    </row>
    <row r="131" ht="15" customHeight="1" spans="1:46" x14ac:dyDescent="0.25">
      <c r="A131" s="15"/>
      <c r="B131" s="15"/>
      <c r="C131" s="15"/>
      <c r="D131" s="15"/>
      <c r="E131" s="15"/>
      <c r="F131" s="15"/>
      <c r="G131" s="15"/>
      <c r="H131" s="15"/>
      <c r="I131" s="15"/>
      <c r="J131" s="19">
        <f>IF(OR(H131="",I131=""),"",IFERROR(INDEX(Catalogo_Vehiculos!$C$2:$C$1325,MATCH(TRUE(),INDEX(Catalogo_Vehiculos!$G$2:$G$1325=H131&amp;"|"&amp;I131,0),0)),"No en catálogo"))</f>
      </c>
      <c r="K131" s="19">
        <f>IF(OR(H131="",I131=""),"",IFERROR(INDEX(Catalogo_Vehiculos!$D$2:$D$1325,MATCH(TRUE(),INDEX(Catalogo_Vehiculos!$G$2:$G$1325=H131&amp;"|"&amp;I131,0),0)),"No en catálogo"))</f>
      </c>
      <c r="L131" s="19">
        <f>IF(OR(H131="",I131=""),"",IFERROR(INDEX(Catalogo_Vehiculos!$E$2:$E$1325,MATCH(TRUE(),INDEX(Catalogo_Vehiculos!$G$2:$G$1325=H131&amp;"|"&amp;I131,0),0)),"No en catálogo"))</f>
      </c>
      <c r="M131" s="19">
        <f>IF(OR(H131="",I131=""),"",IFERROR(INDEX(Catalogo_Vehiculos!$F$2:$F$1325,MATCH(TRUE(),INDEX(Catalogo_Vehiculos!$G$2:$G$1325=H131&amp;"|"&amp;I131,0),0)),"No en catálogo"))</f>
      </c>
      <c r="N131" s="20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9"/>
      <c r="Z131" s="19"/>
      <c r="AA131" s="15"/>
      <c r="AB131" s="15"/>
      <c r="AC131" s="15"/>
      <c r="AD131" s="15"/>
      <c r="AE131" s="15"/>
      <c r="AF131" s="19"/>
      <c r="AG131" s="19"/>
      <c r="AH131" s="15"/>
      <c r="AI131" s="15"/>
      <c r="AJ131" s="15"/>
      <c r="AK131" s="15"/>
      <c r="AL131" s="21"/>
      <c r="AM131" s="15"/>
      <c r="AN131" s="15"/>
      <c r="AO131" s="15"/>
      <c r="AP131" s="15"/>
      <c r="AQ131" s="15"/>
      <c r="AR131" s="15"/>
      <c r="AS131" s="15"/>
      <c r="AT131" s="19" t="str">
        <f>IF(COUNTA(A131:I131)+COUNTA(N131:X131)+COUNTA(AA131:AE131)+COUNTA(AH131:AS131)=0,"",IF(AND(A131&lt;&gt;"",E131&lt;&gt;"",OR(F131&lt;&gt;"",G131&lt;&gt;""),H131&lt;&gt;"",I131&lt;&gt;"",J131&lt;&gt;"No en catálogo",S131&lt;&gt;"",T131&lt;&gt;"",U131&lt;&gt;"",V131&lt;&gt;"",OR(AR131&lt;&gt;"",AND(W131&lt;&gt;"",X131&lt;&gt;"",AA131&lt;&gt;"",AB131&lt;&gt;"")),OR(AS131&lt;&gt;"",AND(AD131&lt;&gt;"",AE131&lt;&gt;"",AH131&lt;&gt;"",AI131&lt;&gt;"")),AK131&lt;&gt;"",OR(AK131&lt;&gt;"programado",AL131&lt;&gt;""),OR(AM131&lt;&gt;"específica",AN131&lt;&gt;""),OR(AO131&lt;&gt;"específica",AP131&lt;&gt;"")),"OK","Revisar"))</f>
        <v/>
      </c>
    </row>
    <row r="132" ht="15" customHeight="1" spans="1:46" x14ac:dyDescent="0.25">
      <c r="A132" s="15"/>
      <c r="B132" s="15"/>
      <c r="C132" s="15"/>
      <c r="D132" s="15"/>
      <c r="E132" s="15"/>
      <c r="F132" s="15"/>
      <c r="G132" s="15"/>
      <c r="H132" s="15"/>
      <c r="I132" s="15"/>
      <c r="J132" s="19">
        <f>IF(OR(H132="",I132=""),"",IFERROR(INDEX(Catalogo_Vehiculos!$C$2:$C$1325,MATCH(TRUE(),INDEX(Catalogo_Vehiculos!$G$2:$G$1325=H132&amp;"|"&amp;I132,0),0)),"No en catálogo"))</f>
      </c>
      <c r="K132" s="19">
        <f>IF(OR(H132="",I132=""),"",IFERROR(INDEX(Catalogo_Vehiculos!$D$2:$D$1325,MATCH(TRUE(),INDEX(Catalogo_Vehiculos!$G$2:$G$1325=H132&amp;"|"&amp;I132,0),0)),"No en catálogo"))</f>
      </c>
      <c r="L132" s="19">
        <f>IF(OR(H132="",I132=""),"",IFERROR(INDEX(Catalogo_Vehiculos!$E$2:$E$1325,MATCH(TRUE(),INDEX(Catalogo_Vehiculos!$G$2:$G$1325=H132&amp;"|"&amp;I132,0),0)),"No en catálogo"))</f>
      </c>
      <c r="M132" s="19">
        <f>IF(OR(H132="",I132=""),"",IFERROR(INDEX(Catalogo_Vehiculos!$F$2:$F$1325,MATCH(TRUE(),INDEX(Catalogo_Vehiculos!$G$2:$G$1325=H132&amp;"|"&amp;I132,0),0)),"No en catálogo"))</f>
      </c>
      <c r="N132" s="20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9"/>
      <c r="Z132" s="19"/>
      <c r="AA132" s="15"/>
      <c r="AB132" s="15"/>
      <c r="AC132" s="15"/>
      <c r="AD132" s="15"/>
      <c r="AE132" s="15"/>
      <c r="AF132" s="19"/>
      <c r="AG132" s="19"/>
      <c r="AH132" s="15"/>
      <c r="AI132" s="15"/>
      <c r="AJ132" s="15"/>
      <c r="AK132" s="15"/>
      <c r="AL132" s="21"/>
      <c r="AM132" s="15"/>
      <c r="AN132" s="15"/>
      <c r="AO132" s="15"/>
      <c r="AP132" s="15"/>
      <c r="AQ132" s="15"/>
      <c r="AR132" s="15"/>
      <c r="AS132" s="15"/>
      <c r="AT132" s="19" t="str">
        <f>IF(COUNTA(A132:I132)+COUNTA(N132:X132)+COUNTA(AA132:AE132)+COUNTA(AH132:AS132)=0,"",IF(AND(A132&lt;&gt;"",E132&lt;&gt;"",OR(F132&lt;&gt;"",G132&lt;&gt;""),H132&lt;&gt;"",I132&lt;&gt;"",J132&lt;&gt;"No en catálogo",S132&lt;&gt;"",T132&lt;&gt;"",U132&lt;&gt;"",V132&lt;&gt;"",OR(AR132&lt;&gt;"",AND(W132&lt;&gt;"",X132&lt;&gt;"",AA132&lt;&gt;"",AB132&lt;&gt;"")),OR(AS132&lt;&gt;"",AND(AD132&lt;&gt;"",AE132&lt;&gt;"",AH132&lt;&gt;"",AI132&lt;&gt;"")),AK132&lt;&gt;"",OR(AK132&lt;&gt;"programado",AL132&lt;&gt;""),OR(AM132&lt;&gt;"específica",AN132&lt;&gt;""),OR(AO132&lt;&gt;"específica",AP132&lt;&gt;"")),"OK","Revisar"))</f>
        <v/>
      </c>
    </row>
    <row r="133" ht="15" customHeight="1" spans="1:46" x14ac:dyDescent="0.25">
      <c r="A133" s="15"/>
      <c r="B133" s="15"/>
      <c r="C133" s="15"/>
      <c r="D133" s="15"/>
      <c r="E133" s="15"/>
      <c r="F133" s="15"/>
      <c r="G133" s="15"/>
      <c r="H133" s="15"/>
      <c r="I133" s="15"/>
      <c r="J133" s="19">
        <f>IF(OR(H133="",I133=""),"",IFERROR(INDEX(Catalogo_Vehiculos!$C$2:$C$1325,MATCH(TRUE(),INDEX(Catalogo_Vehiculos!$G$2:$G$1325=H133&amp;"|"&amp;I133,0),0)),"No en catálogo"))</f>
      </c>
      <c r="K133" s="19">
        <f>IF(OR(H133="",I133=""),"",IFERROR(INDEX(Catalogo_Vehiculos!$D$2:$D$1325,MATCH(TRUE(),INDEX(Catalogo_Vehiculos!$G$2:$G$1325=H133&amp;"|"&amp;I133,0),0)),"No en catálogo"))</f>
      </c>
      <c r="L133" s="19">
        <f>IF(OR(H133="",I133=""),"",IFERROR(INDEX(Catalogo_Vehiculos!$E$2:$E$1325,MATCH(TRUE(),INDEX(Catalogo_Vehiculos!$G$2:$G$1325=H133&amp;"|"&amp;I133,0),0)),"No en catálogo"))</f>
      </c>
      <c r="M133" s="19">
        <f>IF(OR(H133="",I133=""),"",IFERROR(INDEX(Catalogo_Vehiculos!$F$2:$F$1325,MATCH(TRUE(),INDEX(Catalogo_Vehiculos!$G$2:$G$1325=H133&amp;"|"&amp;I133,0),0)),"No en catálogo"))</f>
      </c>
      <c r="N133" s="20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9"/>
      <c r="Z133" s="19"/>
      <c r="AA133" s="15"/>
      <c r="AB133" s="15"/>
      <c r="AC133" s="15"/>
      <c r="AD133" s="15"/>
      <c r="AE133" s="15"/>
      <c r="AF133" s="19"/>
      <c r="AG133" s="19"/>
      <c r="AH133" s="15"/>
      <c r="AI133" s="15"/>
      <c r="AJ133" s="15"/>
      <c r="AK133" s="15"/>
      <c r="AL133" s="21"/>
      <c r="AM133" s="15"/>
      <c r="AN133" s="15"/>
      <c r="AO133" s="15"/>
      <c r="AP133" s="15"/>
      <c r="AQ133" s="15"/>
      <c r="AR133" s="15"/>
      <c r="AS133" s="15"/>
      <c r="AT133" s="19" t="str">
        <f>IF(COUNTA(A133:I133)+COUNTA(N133:X133)+COUNTA(AA133:AE133)+COUNTA(AH133:AS133)=0,"",IF(AND(A133&lt;&gt;"",E133&lt;&gt;"",OR(F133&lt;&gt;"",G133&lt;&gt;""),H133&lt;&gt;"",I133&lt;&gt;"",J133&lt;&gt;"No en catálogo",S133&lt;&gt;"",T133&lt;&gt;"",U133&lt;&gt;"",V133&lt;&gt;"",OR(AR133&lt;&gt;"",AND(W133&lt;&gt;"",X133&lt;&gt;"",AA133&lt;&gt;"",AB133&lt;&gt;"")),OR(AS133&lt;&gt;"",AND(AD133&lt;&gt;"",AE133&lt;&gt;"",AH133&lt;&gt;"",AI133&lt;&gt;"")),AK133&lt;&gt;"",OR(AK133&lt;&gt;"programado",AL133&lt;&gt;""),OR(AM133&lt;&gt;"específica",AN133&lt;&gt;""),OR(AO133&lt;&gt;"específica",AP133&lt;&gt;"")),"OK","Revisar"))</f>
        <v/>
      </c>
    </row>
    <row r="134" ht="15" customHeight="1" spans="1:46" x14ac:dyDescent="0.25">
      <c r="A134" s="15"/>
      <c r="B134" s="15"/>
      <c r="C134" s="15"/>
      <c r="D134" s="15"/>
      <c r="E134" s="15"/>
      <c r="F134" s="15"/>
      <c r="G134" s="15"/>
      <c r="H134" s="15"/>
      <c r="I134" s="15"/>
      <c r="J134" s="19">
        <f>IF(OR(H134="",I134=""),"",IFERROR(INDEX(Catalogo_Vehiculos!$C$2:$C$1325,MATCH(TRUE(),INDEX(Catalogo_Vehiculos!$G$2:$G$1325=H134&amp;"|"&amp;I134,0),0)),"No en catálogo"))</f>
      </c>
      <c r="K134" s="19">
        <f>IF(OR(H134="",I134=""),"",IFERROR(INDEX(Catalogo_Vehiculos!$D$2:$D$1325,MATCH(TRUE(),INDEX(Catalogo_Vehiculos!$G$2:$G$1325=H134&amp;"|"&amp;I134,0),0)),"No en catálogo"))</f>
      </c>
      <c r="L134" s="19">
        <f>IF(OR(H134="",I134=""),"",IFERROR(INDEX(Catalogo_Vehiculos!$E$2:$E$1325,MATCH(TRUE(),INDEX(Catalogo_Vehiculos!$G$2:$G$1325=H134&amp;"|"&amp;I134,0),0)),"No en catálogo"))</f>
      </c>
      <c r="M134" s="19">
        <f>IF(OR(H134="",I134=""),"",IFERROR(INDEX(Catalogo_Vehiculos!$F$2:$F$1325,MATCH(TRUE(),INDEX(Catalogo_Vehiculos!$G$2:$G$1325=H134&amp;"|"&amp;I134,0),0)),"No en catálogo"))</f>
      </c>
      <c r="N134" s="20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9"/>
      <c r="Z134" s="19"/>
      <c r="AA134" s="15"/>
      <c r="AB134" s="15"/>
      <c r="AC134" s="15"/>
      <c r="AD134" s="15"/>
      <c r="AE134" s="15"/>
      <c r="AF134" s="19"/>
      <c r="AG134" s="19"/>
      <c r="AH134" s="15"/>
      <c r="AI134" s="15"/>
      <c r="AJ134" s="15"/>
      <c r="AK134" s="15"/>
      <c r="AL134" s="21"/>
      <c r="AM134" s="15"/>
      <c r="AN134" s="15"/>
      <c r="AO134" s="15"/>
      <c r="AP134" s="15"/>
      <c r="AQ134" s="15"/>
      <c r="AR134" s="15"/>
      <c r="AS134" s="15"/>
      <c r="AT134" s="19" t="str">
        <f>IF(COUNTA(A134:I134)+COUNTA(N134:X134)+COUNTA(AA134:AE134)+COUNTA(AH134:AS134)=0,"",IF(AND(A134&lt;&gt;"",E134&lt;&gt;"",OR(F134&lt;&gt;"",G134&lt;&gt;""),H134&lt;&gt;"",I134&lt;&gt;"",J134&lt;&gt;"No en catálogo",S134&lt;&gt;"",T134&lt;&gt;"",U134&lt;&gt;"",V134&lt;&gt;"",OR(AR134&lt;&gt;"",AND(W134&lt;&gt;"",X134&lt;&gt;"",AA134&lt;&gt;"",AB134&lt;&gt;"")),OR(AS134&lt;&gt;"",AND(AD134&lt;&gt;"",AE134&lt;&gt;"",AH134&lt;&gt;"",AI134&lt;&gt;"")),AK134&lt;&gt;"",OR(AK134&lt;&gt;"programado",AL134&lt;&gt;""),OR(AM134&lt;&gt;"específica",AN134&lt;&gt;""),OR(AO134&lt;&gt;"específica",AP134&lt;&gt;"")),"OK","Revisar"))</f>
        <v/>
      </c>
    </row>
    <row r="135" ht="15" customHeight="1" spans="1:46" x14ac:dyDescent="0.25">
      <c r="A135" s="15"/>
      <c r="B135" s="15"/>
      <c r="C135" s="15"/>
      <c r="D135" s="15"/>
      <c r="E135" s="15"/>
      <c r="F135" s="15"/>
      <c r="G135" s="15"/>
      <c r="H135" s="15"/>
      <c r="I135" s="15"/>
      <c r="J135" s="19">
        <f>IF(OR(H135="",I135=""),"",IFERROR(INDEX(Catalogo_Vehiculos!$C$2:$C$1325,MATCH(TRUE(),INDEX(Catalogo_Vehiculos!$G$2:$G$1325=H135&amp;"|"&amp;I135,0),0)),"No en catálogo"))</f>
      </c>
      <c r="K135" s="19">
        <f>IF(OR(H135="",I135=""),"",IFERROR(INDEX(Catalogo_Vehiculos!$D$2:$D$1325,MATCH(TRUE(),INDEX(Catalogo_Vehiculos!$G$2:$G$1325=H135&amp;"|"&amp;I135,0),0)),"No en catálogo"))</f>
      </c>
      <c r="L135" s="19">
        <f>IF(OR(H135="",I135=""),"",IFERROR(INDEX(Catalogo_Vehiculos!$E$2:$E$1325,MATCH(TRUE(),INDEX(Catalogo_Vehiculos!$G$2:$G$1325=H135&amp;"|"&amp;I135,0),0)),"No en catálogo"))</f>
      </c>
      <c r="M135" s="19">
        <f>IF(OR(H135="",I135=""),"",IFERROR(INDEX(Catalogo_Vehiculos!$F$2:$F$1325,MATCH(TRUE(),INDEX(Catalogo_Vehiculos!$G$2:$G$1325=H135&amp;"|"&amp;I135,0),0)),"No en catálogo"))</f>
      </c>
      <c r="N135" s="20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9"/>
      <c r="Z135" s="19"/>
      <c r="AA135" s="15"/>
      <c r="AB135" s="15"/>
      <c r="AC135" s="15"/>
      <c r="AD135" s="15"/>
      <c r="AE135" s="15"/>
      <c r="AF135" s="19"/>
      <c r="AG135" s="19"/>
      <c r="AH135" s="15"/>
      <c r="AI135" s="15"/>
      <c r="AJ135" s="15"/>
      <c r="AK135" s="15"/>
      <c r="AL135" s="21"/>
      <c r="AM135" s="15"/>
      <c r="AN135" s="15"/>
      <c r="AO135" s="15"/>
      <c r="AP135" s="15"/>
      <c r="AQ135" s="15"/>
      <c r="AR135" s="15"/>
      <c r="AS135" s="15"/>
      <c r="AT135" s="19" t="str">
        <f>IF(COUNTA(A135:I135)+COUNTA(N135:X135)+COUNTA(AA135:AE135)+COUNTA(AH135:AS135)=0,"",IF(AND(A135&lt;&gt;"",E135&lt;&gt;"",OR(F135&lt;&gt;"",G135&lt;&gt;""),H135&lt;&gt;"",I135&lt;&gt;"",J135&lt;&gt;"No en catálogo",S135&lt;&gt;"",T135&lt;&gt;"",U135&lt;&gt;"",V135&lt;&gt;"",OR(AR135&lt;&gt;"",AND(W135&lt;&gt;"",X135&lt;&gt;"",AA135&lt;&gt;"",AB135&lt;&gt;"")),OR(AS135&lt;&gt;"",AND(AD135&lt;&gt;"",AE135&lt;&gt;"",AH135&lt;&gt;"",AI135&lt;&gt;"")),AK135&lt;&gt;"",OR(AK135&lt;&gt;"programado",AL135&lt;&gt;""),OR(AM135&lt;&gt;"específica",AN135&lt;&gt;""),OR(AO135&lt;&gt;"específica",AP135&lt;&gt;"")),"OK","Revisar"))</f>
        <v/>
      </c>
    </row>
    <row r="136" ht="15" customHeight="1" spans="1:46" x14ac:dyDescent="0.25">
      <c r="A136" s="15"/>
      <c r="B136" s="15"/>
      <c r="C136" s="15"/>
      <c r="D136" s="15"/>
      <c r="E136" s="15"/>
      <c r="F136" s="15"/>
      <c r="G136" s="15"/>
      <c r="H136" s="15"/>
      <c r="I136" s="15"/>
      <c r="J136" s="19">
        <f>IF(OR(H136="",I136=""),"",IFERROR(INDEX(Catalogo_Vehiculos!$C$2:$C$1325,MATCH(TRUE(),INDEX(Catalogo_Vehiculos!$G$2:$G$1325=H136&amp;"|"&amp;I136,0),0)),"No en catálogo"))</f>
      </c>
      <c r="K136" s="19">
        <f>IF(OR(H136="",I136=""),"",IFERROR(INDEX(Catalogo_Vehiculos!$D$2:$D$1325,MATCH(TRUE(),INDEX(Catalogo_Vehiculos!$G$2:$G$1325=H136&amp;"|"&amp;I136,0),0)),"No en catálogo"))</f>
      </c>
      <c r="L136" s="19">
        <f>IF(OR(H136="",I136=""),"",IFERROR(INDEX(Catalogo_Vehiculos!$E$2:$E$1325,MATCH(TRUE(),INDEX(Catalogo_Vehiculos!$G$2:$G$1325=H136&amp;"|"&amp;I136,0),0)),"No en catálogo"))</f>
      </c>
      <c r="M136" s="19">
        <f>IF(OR(H136="",I136=""),"",IFERROR(INDEX(Catalogo_Vehiculos!$F$2:$F$1325,MATCH(TRUE(),INDEX(Catalogo_Vehiculos!$G$2:$G$1325=H136&amp;"|"&amp;I136,0),0)),"No en catálogo"))</f>
      </c>
      <c r="N136" s="20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9"/>
      <c r="Z136" s="19"/>
      <c r="AA136" s="15"/>
      <c r="AB136" s="15"/>
      <c r="AC136" s="15"/>
      <c r="AD136" s="15"/>
      <c r="AE136" s="15"/>
      <c r="AF136" s="19"/>
      <c r="AG136" s="19"/>
      <c r="AH136" s="15"/>
      <c r="AI136" s="15"/>
      <c r="AJ136" s="15"/>
      <c r="AK136" s="15"/>
      <c r="AL136" s="21"/>
      <c r="AM136" s="15"/>
      <c r="AN136" s="15"/>
      <c r="AO136" s="15"/>
      <c r="AP136" s="15"/>
      <c r="AQ136" s="15"/>
      <c r="AR136" s="15"/>
      <c r="AS136" s="15"/>
      <c r="AT136" s="19" t="str">
        <f>IF(COUNTA(A136:I136)+COUNTA(N136:X136)+COUNTA(AA136:AE136)+COUNTA(AH136:AS136)=0,"",IF(AND(A136&lt;&gt;"",E136&lt;&gt;"",OR(F136&lt;&gt;"",G136&lt;&gt;""),H136&lt;&gt;"",I136&lt;&gt;"",J136&lt;&gt;"No en catálogo",S136&lt;&gt;"",T136&lt;&gt;"",U136&lt;&gt;"",V136&lt;&gt;"",OR(AR136&lt;&gt;"",AND(W136&lt;&gt;"",X136&lt;&gt;"",AA136&lt;&gt;"",AB136&lt;&gt;"")),OR(AS136&lt;&gt;"",AND(AD136&lt;&gt;"",AE136&lt;&gt;"",AH136&lt;&gt;"",AI136&lt;&gt;"")),AK136&lt;&gt;"",OR(AK136&lt;&gt;"programado",AL136&lt;&gt;""),OR(AM136&lt;&gt;"específica",AN136&lt;&gt;""),OR(AO136&lt;&gt;"específica",AP136&lt;&gt;"")),"OK","Revisar"))</f>
        <v/>
      </c>
    </row>
    <row r="137" ht="15" customHeight="1" spans="1:46" x14ac:dyDescent="0.25">
      <c r="A137" s="15"/>
      <c r="B137" s="15"/>
      <c r="C137" s="15"/>
      <c r="D137" s="15"/>
      <c r="E137" s="15"/>
      <c r="F137" s="15"/>
      <c r="G137" s="15"/>
      <c r="H137" s="15"/>
      <c r="I137" s="15"/>
      <c r="J137" s="19">
        <f>IF(OR(H137="",I137=""),"",IFERROR(INDEX(Catalogo_Vehiculos!$C$2:$C$1325,MATCH(TRUE(),INDEX(Catalogo_Vehiculos!$G$2:$G$1325=H137&amp;"|"&amp;I137,0),0)),"No en catálogo"))</f>
      </c>
      <c r="K137" s="19">
        <f>IF(OR(H137="",I137=""),"",IFERROR(INDEX(Catalogo_Vehiculos!$D$2:$D$1325,MATCH(TRUE(),INDEX(Catalogo_Vehiculos!$G$2:$G$1325=H137&amp;"|"&amp;I137,0),0)),"No en catálogo"))</f>
      </c>
      <c r="L137" s="19">
        <f>IF(OR(H137="",I137=""),"",IFERROR(INDEX(Catalogo_Vehiculos!$E$2:$E$1325,MATCH(TRUE(),INDEX(Catalogo_Vehiculos!$G$2:$G$1325=H137&amp;"|"&amp;I137,0),0)),"No en catálogo"))</f>
      </c>
      <c r="M137" s="19">
        <f>IF(OR(H137="",I137=""),"",IFERROR(INDEX(Catalogo_Vehiculos!$F$2:$F$1325,MATCH(TRUE(),INDEX(Catalogo_Vehiculos!$G$2:$G$1325=H137&amp;"|"&amp;I137,0),0)),"No en catálogo"))</f>
      </c>
      <c r="N137" s="20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9"/>
      <c r="Z137" s="19"/>
      <c r="AA137" s="15"/>
      <c r="AB137" s="15"/>
      <c r="AC137" s="15"/>
      <c r="AD137" s="15"/>
      <c r="AE137" s="15"/>
      <c r="AF137" s="19"/>
      <c r="AG137" s="19"/>
      <c r="AH137" s="15"/>
      <c r="AI137" s="15"/>
      <c r="AJ137" s="15"/>
      <c r="AK137" s="15"/>
      <c r="AL137" s="21"/>
      <c r="AM137" s="15"/>
      <c r="AN137" s="15"/>
      <c r="AO137" s="15"/>
      <c r="AP137" s="15"/>
      <c r="AQ137" s="15"/>
      <c r="AR137" s="15"/>
      <c r="AS137" s="15"/>
      <c r="AT137" s="19" t="str">
        <f>IF(COUNTA(A137:I137)+COUNTA(N137:X137)+COUNTA(AA137:AE137)+COUNTA(AH137:AS137)=0,"",IF(AND(A137&lt;&gt;"",E137&lt;&gt;"",OR(F137&lt;&gt;"",G137&lt;&gt;""),H137&lt;&gt;"",I137&lt;&gt;"",J137&lt;&gt;"No en catálogo",S137&lt;&gt;"",T137&lt;&gt;"",U137&lt;&gt;"",V137&lt;&gt;"",OR(AR137&lt;&gt;"",AND(W137&lt;&gt;"",X137&lt;&gt;"",AA137&lt;&gt;"",AB137&lt;&gt;"")),OR(AS137&lt;&gt;"",AND(AD137&lt;&gt;"",AE137&lt;&gt;"",AH137&lt;&gt;"",AI137&lt;&gt;"")),AK137&lt;&gt;"",OR(AK137&lt;&gt;"programado",AL137&lt;&gt;""),OR(AM137&lt;&gt;"específica",AN137&lt;&gt;""),OR(AO137&lt;&gt;"específica",AP137&lt;&gt;"")),"OK","Revisar"))</f>
        <v/>
      </c>
    </row>
    <row r="138" ht="15" customHeight="1" spans="1:46" x14ac:dyDescent="0.25">
      <c r="A138" s="15"/>
      <c r="B138" s="15"/>
      <c r="C138" s="15"/>
      <c r="D138" s="15"/>
      <c r="E138" s="15"/>
      <c r="F138" s="15"/>
      <c r="G138" s="15"/>
      <c r="H138" s="15"/>
      <c r="I138" s="15"/>
      <c r="J138" s="19">
        <f>IF(OR(H138="",I138=""),"",IFERROR(INDEX(Catalogo_Vehiculos!$C$2:$C$1325,MATCH(TRUE(),INDEX(Catalogo_Vehiculos!$G$2:$G$1325=H138&amp;"|"&amp;I138,0),0)),"No en catálogo"))</f>
      </c>
      <c r="K138" s="19">
        <f>IF(OR(H138="",I138=""),"",IFERROR(INDEX(Catalogo_Vehiculos!$D$2:$D$1325,MATCH(TRUE(),INDEX(Catalogo_Vehiculos!$G$2:$G$1325=H138&amp;"|"&amp;I138,0),0)),"No en catálogo"))</f>
      </c>
      <c r="L138" s="19">
        <f>IF(OR(H138="",I138=""),"",IFERROR(INDEX(Catalogo_Vehiculos!$E$2:$E$1325,MATCH(TRUE(),INDEX(Catalogo_Vehiculos!$G$2:$G$1325=H138&amp;"|"&amp;I138,0),0)),"No en catálogo"))</f>
      </c>
      <c r="M138" s="19">
        <f>IF(OR(H138="",I138=""),"",IFERROR(INDEX(Catalogo_Vehiculos!$F$2:$F$1325,MATCH(TRUE(),INDEX(Catalogo_Vehiculos!$G$2:$G$1325=H138&amp;"|"&amp;I138,0),0)),"No en catálogo"))</f>
      </c>
      <c r="N138" s="20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9"/>
      <c r="Z138" s="19"/>
      <c r="AA138" s="15"/>
      <c r="AB138" s="15"/>
      <c r="AC138" s="15"/>
      <c r="AD138" s="15"/>
      <c r="AE138" s="15"/>
      <c r="AF138" s="19"/>
      <c r="AG138" s="19"/>
      <c r="AH138" s="15"/>
      <c r="AI138" s="15"/>
      <c r="AJ138" s="15"/>
      <c r="AK138" s="15"/>
      <c r="AL138" s="21"/>
      <c r="AM138" s="15"/>
      <c r="AN138" s="15"/>
      <c r="AO138" s="15"/>
      <c r="AP138" s="15"/>
      <c r="AQ138" s="15"/>
      <c r="AR138" s="15"/>
      <c r="AS138" s="15"/>
      <c r="AT138" s="19" t="str">
        <f>IF(COUNTA(A138:I138)+COUNTA(N138:X138)+COUNTA(AA138:AE138)+COUNTA(AH138:AS138)=0,"",IF(AND(A138&lt;&gt;"",E138&lt;&gt;"",OR(F138&lt;&gt;"",G138&lt;&gt;""),H138&lt;&gt;"",I138&lt;&gt;"",J138&lt;&gt;"No en catálogo",S138&lt;&gt;"",T138&lt;&gt;"",U138&lt;&gt;"",V138&lt;&gt;"",OR(AR138&lt;&gt;"",AND(W138&lt;&gt;"",X138&lt;&gt;"",AA138&lt;&gt;"",AB138&lt;&gt;"")),OR(AS138&lt;&gt;"",AND(AD138&lt;&gt;"",AE138&lt;&gt;"",AH138&lt;&gt;"",AI138&lt;&gt;"")),AK138&lt;&gt;"",OR(AK138&lt;&gt;"programado",AL138&lt;&gt;""),OR(AM138&lt;&gt;"específica",AN138&lt;&gt;""),OR(AO138&lt;&gt;"específica",AP138&lt;&gt;"")),"OK","Revisar"))</f>
        <v/>
      </c>
    </row>
    <row r="139" ht="15" customHeight="1" spans="1:46" x14ac:dyDescent="0.25">
      <c r="A139" s="15"/>
      <c r="B139" s="15"/>
      <c r="C139" s="15"/>
      <c r="D139" s="15"/>
      <c r="E139" s="15"/>
      <c r="F139" s="15"/>
      <c r="G139" s="15"/>
      <c r="H139" s="15"/>
      <c r="I139" s="15"/>
      <c r="J139" s="19">
        <f>IF(OR(H139="",I139=""),"",IFERROR(INDEX(Catalogo_Vehiculos!$C$2:$C$1325,MATCH(TRUE(),INDEX(Catalogo_Vehiculos!$G$2:$G$1325=H139&amp;"|"&amp;I139,0),0)),"No en catálogo"))</f>
      </c>
      <c r="K139" s="19">
        <f>IF(OR(H139="",I139=""),"",IFERROR(INDEX(Catalogo_Vehiculos!$D$2:$D$1325,MATCH(TRUE(),INDEX(Catalogo_Vehiculos!$G$2:$G$1325=H139&amp;"|"&amp;I139,0),0)),"No en catálogo"))</f>
      </c>
      <c r="L139" s="19">
        <f>IF(OR(H139="",I139=""),"",IFERROR(INDEX(Catalogo_Vehiculos!$E$2:$E$1325,MATCH(TRUE(),INDEX(Catalogo_Vehiculos!$G$2:$G$1325=H139&amp;"|"&amp;I139,0),0)),"No en catálogo"))</f>
      </c>
      <c r="M139" s="19">
        <f>IF(OR(H139="",I139=""),"",IFERROR(INDEX(Catalogo_Vehiculos!$F$2:$F$1325,MATCH(TRUE(),INDEX(Catalogo_Vehiculos!$G$2:$G$1325=H139&amp;"|"&amp;I139,0),0)),"No en catálogo"))</f>
      </c>
      <c r="N139" s="20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9"/>
      <c r="Z139" s="19"/>
      <c r="AA139" s="15"/>
      <c r="AB139" s="15"/>
      <c r="AC139" s="15"/>
      <c r="AD139" s="15"/>
      <c r="AE139" s="15"/>
      <c r="AF139" s="19"/>
      <c r="AG139" s="19"/>
      <c r="AH139" s="15"/>
      <c r="AI139" s="15"/>
      <c r="AJ139" s="15"/>
      <c r="AK139" s="15"/>
      <c r="AL139" s="21"/>
      <c r="AM139" s="15"/>
      <c r="AN139" s="15"/>
      <c r="AO139" s="15"/>
      <c r="AP139" s="15"/>
      <c r="AQ139" s="15"/>
      <c r="AR139" s="15"/>
      <c r="AS139" s="15"/>
      <c r="AT139" s="19" t="str">
        <f>IF(COUNTA(A139:I139)+COUNTA(N139:X139)+COUNTA(AA139:AE139)+COUNTA(AH139:AS139)=0,"",IF(AND(A139&lt;&gt;"",E139&lt;&gt;"",OR(F139&lt;&gt;"",G139&lt;&gt;""),H139&lt;&gt;"",I139&lt;&gt;"",J139&lt;&gt;"No en catálogo",S139&lt;&gt;"",T139&lt;&gt;"",U139&lt;&gt;"",V139&lt;&gt;"",OR(AR139&lt;&gt;"",AND(W139&lt;&gt;"",X139&lt;&gt;"",AA139&lt;&gt;"",AB139&lt;&gt;"")),OR(AS139&lt;&gt;"",AND(AD139&lt;&gt;"",AE139&lt;&gt;"",AH139&lt;&gt;"",AI139&lt;&gt;"")),AK139&lt;&gt;"",OR(AK139&lt;&gt;"programado",AL139&lt;&gt;""),OR(AM139&lt;&gt;"específica",AN139&lt;&gt;""),OR(AO139&lt;&gt;"específica",AP139&lt;&gt;"")),"OK","Revisar"))</f>
        <v/>
      </c>
    </row>
    <row r="140" ht="15" customHeight="1" spans="1:46" x14ac:dyDescent="0.25">
      <c r="A140" s="15"/>
      <c r="B140" s="15"/>
      <c r="C140" s="15"/>
      <c r="D140" s="15"/>
      <c r="E140" s="15"/>
      <c r="F140" s="15"/>
      <c r="G140" s="15"/>
      <c r="H140" s="15"/>
      <c r="I140" s="15"/>
      <c r="J140" s="19">
        <f>IF(OR(H140="",I140=""),"",IFERROR(INDEX(Catalogo_Vehiculos!$C$2:$C$1325,MATCH(TRUE(),INDEX(Catalogo_Vehiculos!$G$2:$G$1325=H140&amp;"|"&amp;I140,0),0)),"No en catálogo"))</f>
      </c>
      <c r="K140" s="19">
        <f>IF(OR(H140="",I140=""),"",IFERROR(INDEX(Catalogo_Vehiculos!$D$2:$D$1325,MATCH(TRUE(),INDEX(Catalogo_Vehiculos!$G$2:$G$1325=H140&amp;"|"&amp;I140,0),0)),"No en catálogo"))</f>
      </c>
      <c r="L140" s="19">
        <f>IF(OR(H140="",I140=""),"",IFERROR(INDEX(Catalogo_Vehiculos!$E$2:$E$1325,MATCH(TRUE(),INDEX(Catalogo_Vehiculos!$G$2:$G$1325=H140&amp;"|"&amp;I140,0),0)),"No en catálogo"))</f>
      </c>
      <c r="M140" s="19">
        <f>IF(OR(H140="",I140=""),"",IFERROR(INDEX(Catalogo_Vehiculos!$F$2:$F$1325,MATCH(TRUE(),INDEX(Catalogo_Vehiculos!$G$2:$G$1325=H140&amp;"|"&amp;I140,0),0)),"No en catálogo"))</f>
      </c>
      <c r="N140" s="20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9"/>
      <c r="Z140" s="19"/>
      <c r="AA140" s="15"/>
      <c r="AB140" s="15"/>
      <c r="AC140" s="15"/>
      <c r="AD140" s="15"/>
      <c r="AE140" s="15"/>
      <c r="AF140" s="19"/>
      <c r="AG140" s="19"/>
      <c r="AH140" s="15"/>
      <c r="AI140" s="15"/>
      <c r="AJ140" s="15"/>
      <c r="AK140" s="15"/>
      <c r="AL140" s="21"/>
      <c r="AM140" s="15"/>
      <c r="AN140" s="15"/>
      <c r="AO140" s="15"/>
      <c r="AP140" s="15"/>
      <c r="AQ140" s="15"/>
      <c r="AR140" s="15"/>
      <c r="AS140" s="15"/>
      <c r="AT140" s="19" t="str">
        <f>IF(COUNTA(A140:I140)+COUNTA(N140:X140)+COUNTA(AA140:AE140)+COUNTA(AH140:AS140)=0,"",IF(AND(A140&lt;&gt;"",E140&lt;&gt;"",OR(F140&lt;&gt;"",G140&lt;&gt;""),H140&lt;&gt;"",I140&lt;&gt;"",J140&lt;&gt;"No en catálogo",S140&lt;&gt;"",T140&lt;&gt;"",U140&lt;&gt;"",V140&lt;&gt;"",OR(AR140&lt;&gt;"",AND(W140&lt;&gt;"",X140&lt;&gt;"",AA140&lt;&gt;"",AB140&lt;&gt;"")),OR(AS140&lt;&gt;"",AND(AD140&lt;&gt;"",AE140&lt;&gt;"",AH140&lt;&gt;"",AI140&lt;&gt;"")),AK140&lt;&gt;"",OR(AK140&lt;&gt;"programado",AL140&lt;&gt;""),OR(AM140&lt;&gt;"específica",AN140&lt;&gt;""),OR(AO140&lt;&gt;"específica",AP140&lt;&gt;"")),"OK","Revisar"))</f>
        <v/>
      </c>
    </row>
    <row r="141" ht="15" customHeight="1" spans="1:46" x14ac:dyDescent="0.25">
      <c r="A141" s="15"/>
      <c r="B141" s="15"/>
      <c r="C141" s="15"/>
      <c r="D141" s="15"/>
      <c r="E141" s="15"/>
      <c r="F141" s="15"/>
      <c r="G141" s="15"/>
      <c r="H141" s="15"/>
      <c r="I141" s="15"/>
      <c r="J141" s="19">
        <f>IF(OR(H141="",I141=""),"",IFERROR(INDEX(Catalogo_Vehiculos!$C$2:$C$1325,MATCH(TRUE(),INDEX(Catalogo_Vehiculos!$G$2:$G$1325=H141&amp;"|"&amp;I141,0),0)),"No en catálogo"))</f>
      </c>
      <c r="K141" s="19">
        <f>IF(OR(H141="",I141=""),"",IFERROR(INDEX(Catalogo_Vehiculos!$D$2:$D$1325,MATCH(TRUE(),INDEX(Catalogo_Vehiculos!$G$2:$G$1325=H141&amp;"|"&amp;I141,0),0)),"No en catálogo"))</f>
      </c>
      <c r="L141" s="19">
        <f>IF(OR(H141="",I141=""),"",IFERROR(INDEX(Catalogo_Vehiculos!$E$2:$E$1325,MATCH(TRUE(),INDEX(Catalogo_Vehiculos!$G$2:$G$1325=H141&amp;"|"&amp;I141,0),0)),"No en catálogo"))</f>
      </c>
      <c r="M141" s="19">
        <f>IF(OR(H141="",I141=""),"",IFERROR(INDEX(Catalogo_Vehiculos!$F$2:$F$1325,MATCH(TRUE(),INDEX(Catalogo_Vehiculos!$G$2:$G$1325=H141&amp;"|"&amp;I141,0),0)),"No en catálogo"))</f>
      </c>
      <c r="N141" s="20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9"/>
      <c r="Z141" s="19"/>
      <c r="AA141" s="15"/>
      <c r="AB141" s="15"/>
      <c r="AC141" s="15"/>
      <c r="AD141" s="15"/>
      <c r="AE141" s="15"/>
      <c r="AF141" s="19"/>
      <c r="AG141" s="19"/>
      <c r="AH141" s="15"/>
      <c r="AI141" s="15"/>
      <c r="AJ141" s="15"/>
      <c r="AK141" s="15"/>
      <c r="AL141" s="21"/>
      <c r="AM141" s="15"/>
      <c r="AN141" s="15"/>
      <c r="AO141" s="15"/>
      <c r="AP141" s="15"/>
      <c r="AQ141" s="15"/>
      <c r="AR141" s="15"/>
      <c r="AS141" s="15"/>
      <c r="AT141" s="19" t="str">
        <f>IF(COUNTA(A141:I141)+COUNTA(N141:X141)+COUNTA(AA141:AE141)+COUNTA(AH141:AS141)=0,"",IF(AND(A141&lt;&gt;"",E141&lt;&gt;"",OR(F141&lt;&gt;"",G141&lt;&gt;""),H141&lt;&gt;"",I141&lt;&gt;"",J141&lt;&gt;"No en catálogo",S141&lt;&gt;"",T141&lt;&gt;"",U141&lt;&gt;"",V141&lt;&gt;"",OR(AR141&lt;&gt;"",AND(W141&lt;&gt;"",X141&lt;&gt;"",AA141&lt;&gt;"",AB141&lt;&gt;"")),OR(AS141&lt;&gt;"",AND(AD141&lt;&gt;"",AE141&lt;&gt;"",AH141&lt;&gt;"",AI141&lt;&gt;"")),AK141&lt;&gt;"",OR(AK141&lt;&gt;"programado",AL141&lt;&gt;""),OR(AM141&lt;&gt;"específica",AN141&lt;&gt;""),OR(AO141&lt;&gt;"específica",AP141&lt;&gt;"")),"OK","Revisar"))</f>
        <v/>
      </c>
    </row>
    <row r="142" ht="15" customHeight="1" spans="1:46" x14ac:dyDescent="0.25">
      <c r="A142" s="15"/>
      <c r="B142" s="15"/>
      <c r="C142" s="15"/>
      <c r="D142" s="15"/>
      <c r="E142" s="15"/>
      <c r="F142" s="15"/>
      <c r="G142" s="15"/>
      <c r="H142" s="15"/>
      <c r="I142" s="15"/>
      <c r="J142" s="19">
        <f>IF(OR(H142="",I142=""),"",IFERROR(INDEX(Catalogo_Vehiculos!$C$2:$C$1325,MATCH(TRUE(),INDEX(Catalogo_Vehiculos!$G$2:$G$1325=H142&amp;"|"&amp;I142,0),0)),"No en catálogo"))</f>
      </c>
      <c r="K142" s="19">
        <f>IF(OR(H142="",I142=""),"",IFERROR(INDEX(Catalogo_Vehiculos!$D$2:$D$1325,MATCH(TRUE(),INDEX(Catalogo_Vehiculos!$G$2:$G$1325=H142&amp;"|"&amp;I142,0),0)),"No en catálogo"))</f>
      </c>
      <c r="L142" s="19">
        <f>IF(OR(H142="",I142=""),"",IFERROR(INDEX(Catalogo_Vehiculos!$E$2:$E$1325,MATCH(TRUE(),INDEX(Catalogo_Vehiculos!$G$2:$G$1325=H142&amp;"|"&amp;I142,0),0)),"No en catálogo"))</f>
      </c>
      <c r="M142" s="19">
        <f>IF(OR(H142="",I142=""),"",IFERROR(INDEX(Catalogo_Vehiculos!$F$2:$F$1325,MATCH(TRUE(),INDEX(Catalogo_Vehiculos!$G$2:$G$1325=H142&amp;"|"&amp;I142,0),0)),"No en catálogo"))</f>
      </c>
      <c r="N142" s="20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9"/>
      <c r="Z142" s="19"/>
      <c r="AA142" s="15"/>
      <c r="AB142" s="15"/>
      <c r="AC142" s="15"/>
      <c r="AD142" s="15"/>
      <c r="AE142" s="15"/>
      <c r="AF142" s="19"/>
      <c r="AG142" s="19"/>
      <c r="AH142" s="15"/>
      <c r="AI142" s="15"/>
      <c r="AJ142" s="15"/>
      <c r="AK142" s="15"/>
      <c r="AL142" s="21"/>
      <c r="AM142" s="15"/>
      <c r="AN142" s="15"/>
      <c r="AO142" s="15"/>
      <c r="AP142" s="15"/>
      <c r="AQ142" s="15"/>
      <c r="AR142" s="15"/>
      <c r="AS142" s="15"/>
      <c r="AT142" s="19" t="str">
        <f>IF(COUNTA(A142:I142)+COUNTA(N142:X142)+COUNTA(AA142:AE142)+COUNTA(AH142:AS142)=0,"",IF(AND(A142&lt;&gt;"",E142&lt;&gt;"",OR(F142&lt;&gt;"",G142&lt;&gt;""),H142&lt;&gt;"",I142&lt;&gt;"",J142&lt;&gt;"No en catálogo",S142&lt;&gt;"",T142&lt;&gt;"",U142&lt;&gt;"",V142&lt;&gt;"",OR(AR142&lt;&gt;"",AND(W142&lt;&gt;"",X142&lt;&gt;"",AA142&lt;&gt;"",AB142&lt;&gt;"")),OR(AS142&lt;&gt;"",AND(AD142&lt;&gt;"",AE142&lt;&gt;"",AH142&lt;&gt;"",AI142&lt;&gt;"")),AK142&lt;&gt;"",OR(AK142&lt;&gt;"programado",AL142&lt;&gt;""),OR(AM142&lt;&gt;"específica",AN142&lt;&gt;""),OR(AO142&lt;&gt;"específica",AP142&lt;&gt;"")),"OK","Revisar"))</f>
        <v/>
      </c>
    </row>
    <row r="143" ht="15" customHeight="1" spans="1:46" x14ac:dyDescent="0.25">
      <c r="A143" s="15"/>
      <c r="B143" s="15"/>
      <c r="C143" s="15"/>
      <c r="D143" s="15"/>
      <c r="E143" s="15"/>
      <c r="F143" s="15"/>
      <c r="G143" s="15"/>
      <c r="H143" s="15"/>
      <c r="I143" s="15"/>
      <c r="J143" s="19">
        <f>IF(OR(H143="",I143=""),"",IFERROR(INDEX(Catalogo_Vehiculos!$C$2:$C$1325,MATCH(TRUE(),INDEX(Catalogo_Vehiculos!$G$2:$G$1325=H143&amp;"|"&amp;I143,0),0)),"No en catálogo"))</f>
      </c>
      <c r="K143" s="19">
        <f>IF(OR(H143="",I143=""),"",IFERROR(INDEX(Catalogo_Vehiculos!$D$2:$D$1325,MATCH(TRUE(),INDEX(Catalogo_Vehiculos!$G$2:$G$1325=H143&amp;"|"&amp;I143,0),0)),"No en catálogo"))</f>
      </c>
      <c r="L143" s="19">
        <f>IF(OR(H143="",I143=""),"",IFERROR(INDEX(Catalogo_Vehiculos!$E$2:$E$1325,MATCH(TRUE(),INDEX(Catalogo_Vehiculos!$G$2:$G$1325=H143&amp;"|"&amp;I143,0),0)),"No en catálogo"))</f>
      </c>
      <c r="M143" s="19">
        <f>IF(OR(H143="",I143=""),"",IFERROR(INDEX(Catalogo_Vehiculos!$F$2:$F$1325,MATCH(TRUE(),INDEX(Catalogo_Vehiculos!$G$2:$G$1325=H143&amp;"|"&amp;I143,0),0)),"No en catálogo"))</f>
      </c>
      <c r="N143" s="20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9"/>
      <c r="Z143" s="19"/>
      <c r="AA143" s="15"/>
      <c r="AB143" s="15"/>
      <c r="AC143" s="15"/>
      <c r="AD143" s="15"/>
      <c r="AE143" s="15"/>
      <c r="AF143" s="19"/>
      <c r="AG143" s="19"/>
      <c r="AH143" s="15"/>
      <c r="AI143" s="15"/>
      <c r="AJ143" s="15"/>
      <c r="AK143" s="15"/>
      <c r="AL143" s="21"/>
      <c r="AM143" s="15"/>
      <c r="AN143" s="15"/>
      <c r="AO143" s="15"/>
      <c r="AP143" s="15"/>
      <c r="AQ143" s="15"/>
      <c r="AR143" s="15"/>
      <c r="AS143" s="15"/>
      <c r="AT143" s="19" t="str">
        <f>IF(COUNTA(A143:I143)+COUNTA(N143:X143)+COUNTA(AA143:AE143)+COUNTA(AH143:AS143)=0,"",IF(AND(A143&lt;&gt;"",E143&lt;&gt;"",OR(F143&lt;&gt;"",G143&lt;&gt;""),H143&lt;&gt;"",I143&lt;&gt;"",J143&lt;&gt;"No en catálogo",S143&lt;&gt;"",T143&lt;&gt;"",U143&lt;&gt;"",V143&lt;&gt;"",OR(AR143&lt;&gt;"",AND(W143&lt;&gt;"",X143&lt;&gt;"",AA143&lt;&gt;"",AB143&lt;&gt;"")),OR(AS143&lt;&gt;"",AND(AD143&lt;&gt;"",AE143&lt;&gt;"",AH143&lt;&gt;"",AI143&lt;&gt;"")),AK143&lt;&gt;"",OR(AK143&lt;&gt;"programado",AL143&lt;&gt;""),OR(AM143&lt;&gt;"específica",AN143&lt;&gt;""),OR(AO143&lt;&gt;"específica",AP143&lt;&gt;"")),"OK","Revisar"))</f>
        <v/>
      </c>
    </row>
    <row r="144" ht="15" customHeight="1" spans="1:46" x14ac:dyDescent="0.25">
      <c r="A144" s="15"/>
      <c r="B144" s="15"/>
      <c r="C144" s="15"/>
      <c r="D144" s="15"/>
      <c r="E144" s="15"/>
      <c r="F144" s="15"/>
      <c r="G144" s="15"/>
      <c r="H144" s="15"/>
      <c r="I144" s="15"/>
      <c r="J144" s="19">
        <f>IF(OR(H144="",I144=""),"",IFERROR(INDEX(Catalogo_Vehiculos!$C$2:$C$1325,MATCH(TRUE(),INDEX(Catalogo_Vehiculos!$G$2:$G$1325=H144&amp;"|"&amp;I144,0),0)),"No en catálogo"))</f>
      </c>
      <c r="K144" s="19">
        <f>IF(OR(H144="",I144=""),"",IFERROR(INDEX(Catalogo_Vehiculos!$D$2:$D$1325,MATCH(TRUE(),INDEX(Catalogo_Vehiculos!$G$2:$G$1325=H144&amp;"|"&amp;I144,0),0)),"No en catálogo"))</f>
      </c>
      <c r="L144" s="19">
        <f>IF(OR(H144="",I144=""),"",IFERROR(INDEX(Catalogo_Vehiculos!$E$2:$E$1325,MATCH(TRUE(),INDEX(Catalogo_Vehiculos!$G$2:$G$1325=H144&amp;"|"&amp;I144,0),0)),"No en catálogo"))</f>
      </c>
      <c r="M144" s="19">
        <f>IF(OR(H144="",I144=""),"",IFERROR(INDEX(Catalogo_Vehiculos!$F$2:$F$1325,MATCH(TRUE(),INDEX(Catalogo_Vehiculos!$G$2:$G$1325=H144&amp;"|"&amp;I144,0),0)),"No en catálogo"))</f>
      </c>
      <c r="N144" s="20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9"/>
      <c r="Z144" s="19"/>
      <c r="AA144" s="15"/>
      <c r="AB144" s="15"/>
      <c r="AC144" s="15"/>
      <c r="AD144" s="15"/>
      <c r="AE144" s="15"/>
      <c r="AF144" s="19"/>
      <c r="AG144" s="19"/>
      <c r="AH144" s="15"/>
      <c r="AI144" s="15"/>
      <c r="AJ144" s="15"/>
      <c r="AK144" s="15"/>
      <c r="AL144" s="21"/>
      <c r="AM144" s="15"/>
      <c r="AN144" s="15"/>
      <c r="AO144" s="15"/>
      <c r="AP144" s="15"/>
      <c r="AQ144" s="15"/>
      <c r="AR144" s="15"/>
      <c r="AS144" s="15"/>
      <c r="AT144" s="19" t="str">
        <f>IF(COUNTA(A144:I144)+COUNTA(N144:X144)+COUNTA(AA144:AE144)+COUNTA(AH144:AS144)=0,"",IF(AND(A144&lt;&gt;"",E144&lt;&gt;"",OR(F144&lt;&gt;"",G144&lt;&gt;""),H144&lt;&gt;"",I144&lt;&gt;"",J144&lt;&gt;"No en catálogo",S144&lt;&gt;"",T144&lt;&gt;"",U144&lt;&gt;"",V144&lt;&gt;"",OR(AR144&lt;&gt;"",AND(W144&lt;&gt;"",X144&lt;&gt;"",AA144&lt;&gt;"",AB144&lt;&gt;"")),OR(AS144&lt;&gt;"",AND(AD144&lt;&gt;"",AE144&lt;&gt;"",AH144&lt;&gt;"",AI144&lt;&gt;"")),AK144&lt;&gt;"",OR(AK144&lt;&gt;"programado",AL144&lt;&gt;""),OR(AM144&lt;&gt;"específica",AN144&lt;&gt;""),OR(AO144&lt;&gt;"específica",AP144&lt;&gt;"")),"OK","Revisar"))</f>
        <v/>
      </c>
    </row>
    <row r="145" ht="15" customHeight="1" spans="1:46" x14ac:dyDescent="0.25">
      <c r="A145" s="15"/>
      <c r="B145" s="15"/>
      <c r="C145" s="15"/>
      <c r="D145" s="15"/>
      <c r="E145" s="15"/>
      <c r="F145" s="15"/>
      <c r="G145" s="15"/>
      <c r="H145" s="15"/>
      <c r="I145" s="15"/>
      <c r="J145" s="19">
        <f>IF(OR(H145="",I145=""),"",IFERROR(INDEX(Catalogo_Vehiculos!$C$2:$C$1325,MATCH(TRUE(),INDEX(Catalogo_Vehiculos!$G$2:$G$1325=H145&amp;"|"&amp;I145,0),0)),"No en catálogo"))</f>
      </c>
      <c r="K145" s="19">
        <f>IF(OR(H145="",I145=""),"",IFERROR(INDEX(Catalogo_Vehiculos!$D$2:$D$1325,MATCH(TRUE(),INDEX(Catalogo_Vehiculos!$G$2:$G$1325=H145&amp;"|"&amp;I145,0),0)),"No en catálogo"))</f>
      </c>
      <c r="L145" s="19">
        <f>IF(OR(H145="",I145=""),"",IFERROR(INDEX(Catalogo_Vehiculos!$E$2:$E$1325,MATCH(TRUE(),INDEX(Catalogo_Vehiculos!$G$2:$G$1325=H145&amp;"|"&amp;I145,0),0)),"No en catálogo"))</f>
      </c>
      <c r="M145" s="19">
        <f>IF(OR(H145="",I145=""),"",IFERROR(INDEX(Catalogo_Vehiculos!$F$2:$F$1325,MATCH(TRUE(),INDEX(Catalogo_Vehiculos!$G$2:$G$1325=H145&amp;"|"&amp;I145,0),0)),"No en catálogo"))</f>
      </c>
      <c r="N145" s="20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9"/>
      <c r="Z145" s="19"/>
      <c r="AA145" s="15"/>
      <c r="AB145" s="15"/>
      <c r="AC145" s="15"/>
      <c r="AD145" s="15"/>
      <c r="AE145" s="15"/>
      <c r="AF145" s="19"/>
      <c r="AG145" s="19"/>
      <c r="AH145" s="15"/>
      <c r="AI145" s="15"/>
      <c r="AJ145" s="15"/>
      <c r="AK145" s="15"/>
      <c r="AL145" s="21"/>
      <c r="AM145" s="15"/>
      <c r="AN145" s="15"/>
      <c r="AO145" s="15"/>
      <c r="AP145" s="15"/>
      <c r="AQ145" s="15"/>
      <c r="AR145" s="15"/>
      <c r="AS145" s="15"/>
      <c r="AT145" s="19" t="str">
        <f>IF(COUNTA(A145:I145)+COUNTA(N145:X145)+COUNTA(AA145:AE145)+COUNTA(AH145:AS145)=0,"",IF(AND(A145&lt;&gt;"",E145&lt;&gt;"",OR(F145&lt;&gt;"",G145&lt;&gt;""),H145&lt;&gt;"",I145&lt;&gt;"",J145&lt;&gt;"No en catálogo",S145&lt;&gt;"",T145&lt;&gt;"",U145&lt;&gt;"",V145&lt;&gt;"",OR(AR145&lt;&gt;"",AND(W145&lt;&gt;"",X145&lt;&gt;"",AA145&lt;&gt;"",AB145&lt;&gt;"")),OR(AS145&lt;&gt;"",AND(AD145&lt;&gt;"",AE145&lt;&gt;"",AH145&lt;&gt;"",AI145&lt;&gt;"")),AK145&lt;&gt;"",OR(AK145&lt;&gt;"programado",AL145&lt;&gt;""),OR(AM145&lt;&gt;"específica",AN145&lt;&gt;""),OR(AO145&lt;&gt;"específica",AP145&lt;&gt;"")),"OK","Revisar"))</f>
        <v/>
      </c>
    </row>
    <row r="146" ht="15" customHeight="1" spans="1:46" x14ac:dyDescent="0.25">
      <c r="A146" s="15"/>
      <c r="B146" s="15"/>
      <c r="C146" s="15"/>
      <c r="D146" s="15"/>
      <c r="E146" s="15"/>
      <c r="F146" s="15"/>
      <c r="G146" s="15"/>
      <c r="H146" s="15"/>
      <c r="I146" s="15"/>
      <c r="J146" s="19">
        <f>IF(OR(H146="",I146=""),"",IFERROR(INDEX(Catalogo_Vehiculos!$C$2:$C$1325,MATCH(TRUE(),INDEX(Catalogo_Vehiculos!$G$2:$G$1325=H146&amp;"|"&amp;I146,0),0)),"No en catálogo"))</f>
      </c>
      <c r="K146" s="19">
        <f>IF(OR(H146="",I146=""),"",IFERROR(INDEX(Catalogo_Vehiculos!$D$2:$D$1325,MATCH(TRUE(),INDEX(Catalogo_Vehiculos!$G$2:$G$1325=H146&amp;"|"&amp;I146,0),0)),"No en catálogo"))</f>
      </c>
      <c r="L146" s="19">
        <f>IF(OR(H146="",I146=""),"",IFERROR(INDEX(Catalogo_Vehiculos!$E$2:$E$1325,MATCH(TRUE(),INDEX(Catalogo_Vehiculos!$G$2:$G$1325=H146&amp;"|"&amp;I146,0),0)),"No en catálogo"))</f>
      </c>
      <c r="M146" s="19">
        <f>IF(OR(H146="",I146=""),"",IFERROR(INDEX(Catalogo_Vehiculos!$F$2:$F$1325,MATCH(TRUE(),INDEX(Catalogo_Vehiculos!$G$2:$G$1325=H146&amp;"|"&amp;I146,0),0)),"No en catálogo"))</f>
      </c>
      <c r="N146" s="20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9"/>
      <c r="Z146" s="19"/>
      <c r="AA146" s="15"/>
      <c r="AB146" s="15"/>
      <c r="AC146" s="15"/>
      <c r="AD146" s="15"/>
      <c r="AE146" s="15"/>
      <c r="AF146" s="19"/>
      <c r="AG146" s="19"/>
      <c r="AH146" s="15"/>
      <c r="AI146" s="15"/>
      <c r="AJ146" s="15"/>
      <c r="AK146" s="15"/>
      <c r="AL146" s="21"/>
      <c r="AM146" s="15"/>
      <c r="AN146" s="15"/>
      <c r="AO146" s="15"/>
      <c r="AP146" s="15"/>
      <c r="AQ146" s="15"/>
      <c r="AR146" s="15"/>
      <c r="AS146" s="15"/>
      <c r="AT146" s="19" t="str">
        <f>IF(COUNTA(A146:I146)+COUNTA(N146:X146)+COUNTA(AA146:AE146)+COUNTA(AH146:AS146)=0,"",IF(AND(A146&lt;&gt;"",E146&lt;&gt;"",OR(F146&lt;&gt;"",G146&lt;&gt;""),H146&lt;&gt;"",I146&lt;&gt;"",J146&lt;&gt;"No en catálogo",S146&lt;&gt;"",T146&lt;&gt;"",U146&lt;&gt;"",V146&lt;&gt;"",OR(AR146&lt;&gt;"",AND(W146&lt;&gt;"",X146&lt;&gt;"",AA146&lt;&gt;"",AB146&lt;&gt;"")),OR(AS146&lt;&gt;"",AND(AD146&lt;&gt;"",AE146&lt;&gt;"",AH146&lt;&gt;"",AI146&lt;&gt;"")),AK146&lt;&gt;"",OR(AK146&lt;&gt;"programado",AL146&lt;&gt;""),OR(AM146&lt;&gt;"específica",AN146&lt;&gt;""),OR(AO146&lt;&gt;"específica",AP146&lt;&gt;"")),"OK","Revisar"))</f>
        <v/>
      </c>
    </row>
    <row r="147" ht="15" customHeight="1" spans="1:46" x14ac:dyDescent="0.25">
      <c r="A147" s="15"/>
      <c r="B147" s="15"/>
      <c r="C147" s="15"/>
      <c r="D147" s="15"/>
      <c r="E147" s="15"/>
      <c r="F147" s="15"/>
      <c r="G147" s="15"/>
      <c r="H147" s="15"/>
      <c r="I147" s="15"/>
      <c r="J147" s="19">
        <f>IF(OR(H147="",I147=""),"",IFERROR(INDEX(Catalogo_Vehiculos!$C$2:$C$1325,MATCH(TRUE(),INDEX(Catalogo_Vehiculos!$G$2:$G$1325=H147&amp;"|"&amp;I147,0),0)),"No en catálogo"))</f>
      </c>
      <c r="K147" s="19">
        <f>IF(OR(H147="",I147=""),"",IFERROR(INDEX(Catalogo_Vehiculos!$D$2:$D$1325,MATCH(TRUE(),INDEX(Catalogo_Vehiculos!$G$2:$G$1325=H147&amp;"|"&amp;I147,0),0)),"No en catálogo"))</f>
      </c>
      <c r="L147" s="19">
        <f>IF(OR(H147="",I147=""),"",IFERROR(INDEX(Catalogo_Vehiculos!$E$2:$E$1325,MATCH(TRUE(),INDEX(Catalogo_Vehiculos!$G$2:$G$1325=H147&amp;"|"&amp;I147,0),0)),"No en catálogo"))</f>
      </c>
      <c r="M147" s="19">
        <f>IF(OR(H147="",I147=""),"",IFERROR(INDEX(Catalogo_Vehiculos!$F$2:$F$1325,MATCH(TRUE(),INDEX(Catalogo_Vehiculos!$G$2:$G$1325=H147&amp;"|"&amp;I147,0),0)),"No en catálogo"))</f>
      </c>
      <c r="N147" s="20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9"/>
      <c r="Z147" s="19"/>
      <c r="AA147" s="15"/>
      <c r="AB147" s="15"/>
      <c r="AC147" s="15"/>
      <c r="AD147" s="15"/>
      <c r="AE147" s="15"/>
      <c r="AF147" s="19"/>
      <c r="AG147" s="19"/>
      <c r="AH147" s="15"/>
      <c r="AI147" s="15"/>
      <c r="AJ147" s="15"/>
      <c r="AK147" s="15"/>
      <c r="AL147" s="21"/>
      <c r="AM147" s="15"/>
      <c r="AN147" s="15"/>
      <c r="AO147" s="15"/>
      <c r="AP147" s="15"/>
      <c r="AQ147" s="15"/>
      <c r="AR147" s="15"/>
      <c r="AS147" s="15"/>
      <c r="AT147" s="19" t="str">
        <f>IF(COUNTA(A147:I147)+COUNTA(N147:X147)+COUNTA(AA147:AE147)+COUNTA(AH147:AS147)=0,"",IF(AND(A147&lt;&gt;"",E147&lt;&gt;"",OR(F147&lt;&gt;"",G147&lt;&gt;""),H147&lt;&gt;"",I147&lt;&gt;"",J147&lt;&gt;"No en catálogo",S147&lt;&gt;"",T147&lt;&gt;"",U147&lt;&gt;"",V147&lt;&gt;"",OR(AR147&lt;&gt;"",AND(W147&lt;&gt;"",X147&lt;&gt;"",AA147&lt;&gt;"",AB147&lt;&gt;"")),OR(AS147&lt;&gt;"",AND(AD147&lt;&gt;"",AE147&lt;&gt;"",AH147&lt;&gt;"",AI147&lt;&gt;"")),AK147&lt;&gt;"",OR(AK147&lt;&gt;"programado",AL147&lt;&gt;""),OR(AM147&lt;&gt;"específica",AN147&lt;&gt;""),OR(AO147&lt;&gt;"específica",AP147&lt;&gt;"")),"OK","Revisar"))</f>
        <v/>
      </c>
    </row>
    <row r="148" ht="15" customHeight="1" spans="1:46" x14ac:dyDescent="0.25">
      <c r="A148" s="15"/>
      <c r="B148" s="15"/>
      <c r="C148" s="15"/>
      <c r="D148" s="15"/>
      <c r="E148" s="15"/>
      <c r="F148" s="15"/>
      <c r="G148" s="15"/>
      <c r="H148" s="15"/>
      <c r="I148" s="15"/>
      <c r="J148" s="19">
        <f>IF(OR(H148="",I148=""),"",IFERROR(INDEX(Catalogo_Vehiculos!$C$2:$C$1325,MATCH(TRUE(),INDEX(Catalogo_Vehiculos!$G$2:$G$1325=H148&amp;"|"&amp;I148,0),0)),"No en catálogo"))</f>
      </c>
      <c r="K148" s="19">
        <f>IF(OR(H148="",I148=""),"",IFERROR(INDEX(Catalogo_Vehiculos!$D$2:$D$1325,MATCH(TRUE(),INDEX(Catalogo_Vehiculos!$G$2:$G$1325=H148&amp;"|"&amp;I148,0),0)),"No en catálogo"))</f>
      </c>
      <c r="L148" s="19">
        <f>IF(OR(H148="",I148=""),"",IFERROR(INDEX(Catalogo_Vehiculos!$E$2:$E$1325,MATCH(TRUE(),INDEX(Catalogo_Vehiculos!$G$2:$G$1325=H148&amp;"|"&amp;I148,0),0)),"No en catálogo"))</f>
      </c>
      <c r="M148" s="19">
        <f>IF(OR(H148="",I148=""),"",IFERROR(INDEX(Catalogo_Vehiculos!$F$2:$F$1325,MATCH(TRUE(),INDEX(Catalogo_Vehiculos!$G$2:$G$1325=H148&amp;"|"&amp;I148,0),0)),"No en catálogo"))</f>
      </c>
      <c r="N148" s="20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9"/>
      <c r="Z148" s="19"/>
      <c r="AA148" s="15"/>
      <c r="AB148" s="15"/>
      <c r="AC148" s="15"/>
      <c r="AD148" s="15"/>
      <c r="AE148" s="15"/>
      <c r="AF148" s="19"/>
      <c r="AG148" s="19"/>
      <c r="AH148" s="15"/>
      <c r="AI148" s="15"/>
      <c r="AJ148" s="15"/>
      <c r="AK148" s="15"/>
      <c r="AL148" s="21"/>
      <c r="AM148" s="15"/>
      <c r="AN148" s="15"/>
      <c r="AO148" s="15"/>
      <c r="AP148" s="15"/>
      <c r="AQ148" s="15"/>
      <c r="AR148" s="15"/>
      <c r="AS148" s="15"/>
      <c r="AT148" s="19" t="str">
        <f>IF(COUNTA(A148:I148)+COUNTA(N148:X148)+COUNTA(AA148:AE148)+COUNTA(AH148:AS148)=0,"",IF(AND(A148&lt;&gt;"",E148&lt;&gt;"",OR(F148&lt;&gt;"",G148&lt;&gt;""),H148&lt;&gt;"",I148&lt;&gt;"",J148&lt;&gt;"No en catálogo",S148&lt;&gt;"",T148&lt;&gt;"",U148&lt;&gt;"",V148&lt;&gt;"",OR(AR148&lt;&gt;"",AND(W148&lt;&gt;"",X148&lt;&gt;"",AA148&lt;&gt;"",AB148&lt;&gt;"")),OR(AS148&lt;&gt;"",AND(AD148&lt;&gt;"",AE148&lt;&gt;"",AH148&lt;&gt;"",AI148&lt;&gt;"")),AK148&lt;&gt;"",OR(AK148&lt;&gt;"programado",AL148&lt;&gt;""),OR(AM148&lt;&gt;"específica",AN148&lt;&gt;""),OR(AO148&lt;&gt;"específica",AP148&lt;&gt;"")),"OK","Revisar"))</f>
        <v/>
      </c>
    </row>
    <row r="149" ht="15" customHeight="1" spans="1:46" x14ac:dyDescent="0.25">
      <c r="A149" s="15"/>
      <c r="B149" s="15"/>
      <c r="C149" s="15"/>
      <c r="D149" s="15"/>
      <c r="E149" s="15"/>
      <c r="F149" s="15"/>
      <c r="G149" s="15"/>
      <c r="H149" s="15"/>
      <c r="I149" s="15"/>
      <c r="J149" s="19">
        <f>IF(OR(H149="",I149=""),"",IFERROR(INDEX(Catalogo_Vehiculos!$C$2:$C$1325,MATCH(TRUE(),INDEX(Catalogo_Vehiculos!$G$2:$G$1325=H149&amp;"|"&amp;I149,0),0)),"No en catálogo"))</f>
      </c>
      <c r="K149" s="19">
        <f>IF(OR(H149="",I149=""),"",IFERROR(INDEX(Catalogo_Vehiculos!$D$2:$D$1325,MATCH(TRUE(),INDEX(Catalogo_Vehiculos!$G$2:$G$1325=H149&amp;"|"&amp;I149,0),0)),"No en catálogo"))</f>
      </c>
      <c r="L149" s="19">
        <f>IF(OR(H149="",I149=""),"",IFERROR(INDEX(Catalogo_Vehiculos!$E$2:$E$1325,MATCH(TRUE(),INDEX(Catalogo_Vehiculos!$G$2:$G$1325=H149&amp;"|"&amp;I149,0),0)),"No en catálogo"))</f>
      </c>
      <c r="M149" s="19">
        <f>IF(OR(H149="",I149=""),"",IFERROR(INDEX(Catalogo_Vehiculos!$F$2:$F$1325,MATCH(TRUE(),INDEX(Catalogo_Vehiculos!$G$2:$G$1325=H149&amp;"|"&amp;I149,0),0)),"No en catálogo"))</f>
      </c>
      <c r="N149" s="20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9"/>
      <c r="Z149" s="19"/>
      <c r="AA149" s="15"/>
      <c r="AB149" s="15"/>
      <c r="AC149" s="15"/>
      <c r="AD149" s="15"/>
      <c r="AE149" s="15"/>
      <c r="AF149" s="19"/>
      <c r="AG149" s="19"/>
      <c r="AH149" s="15"/>
      <c r="AI149" s="15"/>
      <c r="AJ149" s="15"/>
      <c r="AK149" s="15"/>
      <c r="AL149" s="21"/>
      <c r="AM149" s="15"/>
      <c r="AN149" s="15"/>
      <c r="AO149" s="15"/>
      <c r="AP149" s="15"/>
      <c r="AQ149" s="15"/>
      <c r="AR149" s="15"/>
      <c r="AS149" s="15"/>
      <c r="AT149" s="19" t="str">
        <f>IF(COUNTA(A149:I149)+COUNTA(N149:X149)+COUNTA(AA149:AE149)+COUNTA(AH149:AS149)=0,"",IF(AND(A149&lt;&gt;"",E149&lt;&gt;"",OR(F149&lt;&gt;"",G149&lt;&gt;""),H149&lt;&gt;"",I149&lt;&gt;"",J149&lt;&gt;"No en catálogo",S149&lt;&gt;"",T149&lt;&gt;"",U149&lt;&gt;"",V149&lt;&gt;"",OR(AR149&lt;&gt;"",AND(W149&lt;&gt;"",X149&lt;&gt;"",AA149&lt;&gt;"",AB149&lt;&gt;"")),OR(AS149&lt;&gt;"",AND(AD149&lt;&gt;"",AE149&lt;&gt;"",AH149&lt;&gt;"",AI149&lt;&gt;"")),AK149&lt;&gt;"",OR(AK149&lt;&gt;"programado",AL149&lt;&gt;""),OR(AM149&lt;&gt;"específica",AN149&lt;&gt;""),OR(AO149&lt;&gt;"específica",AP149&lt;&gt;"")),"OK","Revisar"))</f>
        <v/>
      </c>
    </row>
    <row r="150" ht="15" customHeight="1" spans="1:46" x14ac:dyDescent="0.25">
      <c r="A150" s="15"/>
      <c r="B150" s="15"/>
      <c r="C150" s="15"/>
      <c r="D150" s="15"/>
      <c r="E150" s="15"/>
      <c r="F150" s="15"/>
      <c r="G150" s="15"/>
      <c r="H150" s="15"/>
      <c r="I150" s="15"/>
      <c r="J150" s="19">
        <f>IF(OR(H150="",I150=""),"",IFERROR(INDEX(Catalogo_Vehiculos!$C$2:$C$1325,MATCH(TRUE(),INDEX(Catalogo_Vehiculos!$G$2:$G$1325=H150&amp;"|"&amp;I150,0),0)),"No en catálogo"))</f>
      </c>
      <c r="K150" s="19">
        <f>IF(OR(H150="",I150=""),"",IFERROR(INDEX(Catalogo_Vehiculos!$D$2:$D$1325,MATCH(TRUE(),INDEX(Catalogo_Vehiculos!$G$2:$G$1325=H150&amp;"|"&amp;I150,0),0)),"No en catálogo"))</f>
      </c>
      <c r="L150" s="19">
        <f>IF(OR(H150="",I150=""),"",IFERROR(INDEX(Catalogo_Vehiculos!$E$2:$E$1325,MATCH(TRUE(),INDEX(Catalogo_Vehiculos!$G$2:$G$1325=H150&amp;"|"&amp;I150,0),0)),"No en catálogo"))</f>
      </c>
      <c r="M150" s="19">
        <f>IF(OR(H150="",I150=""),"",IFERROR(INDEX(Catalogo_Vehiculos!$F$2:$F$1325,MATCH(TRUE(),INDEX(Catalogo_Vehiculos!$G$2:$G$1325=H150&amp;"|"&amp;I150,0),0)),"No en catálogo"))</f>
      </c>
      <c r="N150" s="20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9"/>
      <c r="Z150" s="19"/>
      <c r="AA150" s="15"/>
      <c r="AB150" s="15"/>
      <c r="AC150" s="15"/>
      <c r="AD150" s="15"/>
      <c r="AE150" s="15"/>
      <c r="AF150" s="19"/>
      <c r="AG150" s="19"/>
      <c r="AH150" s="15"/>
      <c r="AI150" s="15"/>
      <c r="AJ150" s="15"/>
      <c r="AK150" s="15"/>
      <c r="AL150" s="21"/>
      <c r="AM150" s="15"/>
      <c r="AN150" s="15"/>
      <c r="AO150" s="15"/>
      <c r="AP150" s="15"/>
      <c r="AQ150" s="15"/>
      <c r="AR150" s="15"/>
      <c r="AS150" s="15"/>
      <c r="AT150" s="19" t="str">
        <f>IF(COUNTA(A150:I150)+COUNTA(N150:X150)+COUNTA(AA150:AE150)+COUNTA(AH150:AS150)=0,"",IF(AND(A150&lt;&gt;"",E150&lt;&gt;"",OR(F150&lt;&gt;"",G150&lt;&gt;""),H150&lt;&gt;"",I150&lt;&gt;"",J150&lt;&gt;"No en catálogo",S150&lt;&gt;"",T150&lt;&gt;"",U150&lt;&gt;"",V150&lt;&gt;"",OR(AR150&lt;&gt;"",AND(W150&lt;&gt;"",X150&lt;&gt;"",AA150&lt;&gt;"",AB150&lt;&gt;"")),OR(AS150&lt;&gt;"",AND(AD150&lt;&gt;"",AE150&lt;&gt;"",AH150&lt;&gt;"",AI150&lt;&gt;"")),AK150&lt;&gt;"",OR(AK150&lt;&gt;"programado",AL150&lt;&gt;""),OR(AM150&lt;&gt;"específica",AN150&lt;&gt;""),OR(AO150&lt;&gt;"específica",AP150&lt;&gt;"")),"OK","Revisar"))</f>
        <v/>
      </c>
    </row>
    <row r="151" ht="15" customHeight="1" spans="1:46" x14ac:dyDescent="0.25">
      <c r="A151" s="15"/>
      <c r="B151" s="15"/>
      <c r="C151" s="15"/>
      <c r="D151" s="15"/>
      <c r="E151" s="15"/>
      <c r="F151" s="15"/>
      <c r="G151" s="15"/>
      <c r="H151" s="15"/>
      <c r="I151" s="15"/>
      <c r="J151" s="19">
        <f>IF(OR(H151="",I151=""),"",IFERROR(INDEX(Catalogo_Vehiculos!$C$2:$C$1325,MATCH(TRUE(),INDEX(Catalogo_Vehiculos!$G$2:$G$1325=H151&amp;"|"&amp;I151,0),0)),"No en catálogo"))</f>
      </c>
      <c r="K151" s="19">
        <f>IF(OR(H151="",I151=""),"",IFERROR(INDEX(Catalogo_Vehiculos!$D$2:$D$1325,MATCH(TRUE(),INDEX(Catalogo_Vehiculos!$G$2:$G$1325=H151&amp;"|"&amp;I151,0),0)),"No en catálogo"))</f>
      </c>
      <c r="L151" s="19">
        <f>IF(OR(H151="",I151=""),"",IFERROR(INDEX(Catalogo_Vehiculos!$E$2:$E$1325,MATCH(TRUE(),INDEX(Catalogo_Vehiculos!$G$2:$G$1325=H151&amp;"|"&amp;I151,0),0)),"No en catálogo"))</f>
      </c>
      <c r="M151" s="19">
        <f>IF(OR(H151="",I151=""),"",IFERROR(INDEX(Catalogo_Vehiculos!$F$2:$F$1325,MATCH(TRUE(),INDEX(Catalogo_Vehiculos!$G$2:$G$1325=H151&amp;"|"&amp;I151,0),0)),"No en catálogo"))</f>
      </c>
      <c r="N151" s="20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9"/>
      <c r="Z151" s="19"/>
      <c r="AA151" s="15"/>
      <c r="AB151" s="15"/>
      <c r="AC151" s="15"/>
      <c r="AD151" s="15"/>
      <c r="AE151" s="15"/>
      <c r="AF151" s="19"/>
      <c r="AG151" s="19"/>
      <c r="AH151" s="15"/>
      <c r="AI151" s="15"/>
      <c r="AJ151" s="15"/>
      <c r="AK151" s="15"/>
      <c r="AL151" s="21"/>
      <c r="AM151" s="15"/>
      <c r="AN151" s="15"/>
      <c r="AO151" s="15"/>
      <c r="AP151" s="15"/>
      <c r="AQ151" s="15"/>
      <c r="AR151" s="15"/>
      <c r="AS151" s="15"/>
      <c r="AT151" s="19" t="str">
        <f>IF(COUNTA(A151:I151)+COUNTA(N151:X151)+COUNTA(AA151:AE151)+COUNTA(AH151:AS151)=0,"",IF(AND(A151&lt;&gt;"",E151&lt;&gt;"",OR(F151&lt;&gt;"",G151&lt;&gt;""),H151&lt;&gt;"",I151&lt;&gt;"",J151&lt;&gt;"No en catálogo",S151&lt;&gt;"",T151&lt;&gt;"",U151&lt;&gt;"",V151&lt;&gt;"",OR(AR151&lt;&gt;"",AND(W151&lt;&gt;"",X151&lt;&gt;"",AA151&lt;&gt;"",AB151&lt;&gt;"")),OR(AS151&lt;&gt;"",AND(AD151&lt;&gt;"",AE151&lt;&gt;"",AH151&lt;&gt;"",AI151&lt;&gt;"")),AK151&lt;&gt;"",OR(AK151&lt;&gt;"programado",AL151&lt;&gt;""),OR(AM151&lt;&gt;"específica",AN151&lt;&gt;""),OR(AO151&lt;&gt;"específica",AP151&lt;&gt;"")),"OK","Revisar"))</f>
        <v/>
      </c>
    </row>
    <row r="152" ht="15" customHeight="1" spans="1:46" x14ac:dyDescent="0.25">
      <c r="A152" s="15"/>
      <c r="B152" s="15"/>
      <c r="C152" s="15"/>
      <c r="D152" s="15"/>
      <c r="E152" s="15"/>
      <c r="F152" s="15"/>
      <c r="G152" s="15"/>
      <c r="H152" s="15"/>
      <c r="I152" s="15"/>
      <c r="J152" s="19">
        <f>IF(OR(H152="",I152=""),"",IFERROR(INDEX(Catalogo_Vehiculos!$C$2:$C$1325,MATCH(TRUE(),INDEX(Catalogo_Vehiculos!$G$2:$G$1325=H152&amp;"|"&amp;I152,0),0)),"No en catálogo"))</f>
      </c>
      <c r="K152" s="19">
        <f>IF(OR(H152="",I152=""),"",IFERROR(INDEX(Catalogo_Vehiculos!$D$2:$D$1325,MATCH(TRUE(),INDEX(Catalogo_Vehiculos!$G$2:$G$1325=H152&amp;"|"&amp;I152,0),0)),"No en catálogo"))</f>
      </c>
      <c r="L152" s="19">
        <f>IF(OR(H152="",I152=""),"",IFERROR(INDEX(Catalogo_Vehiculos!$E$2:$E$1325,MATCH(TRUE(),INDEX(Catalogo_Vehiculos!$G$2:$G$1325=H152&amp;"|"&amp;I152,0),0)),"No en catálogo"))</f>
      </c>
      <c r="M152" s="19">
        <f>IF(OR(H152="",I152=""),"",IFERROR(INDEX(Catalogo_Vehiculos!$F$2:$F$1325,MATCH(TRUE(),INDEX(Catalogo_Vehiculos!$G$2:$G$1325=H152&amp;"|"&amp;I152,0),0)),"No en catálogo"))</f>
      </c>
      <c r="N152" s="20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9"/>
      <c r="Z152" s="19"/>
      <c r="AA152" s="15"/>
      <c r="AB152" s="15"/>
      <c r="AC152" s="15"/>
      <c r="AD152" s="15"/>
      <c r="AE152" s="15"/>
      <c r="AF152" s="19"/>
      <c r="AG152" s="19"/>
      <c r="AH152" s="15"/>
      <c r="AI152" s="15"/>
      <c r="AJ152" s="15"/>
      <c r="AK152" s="15"/>
      <c r="AL152" s="21"/>
      <c r="AM152" s="15"/>
      <c r="AN152" s="15"/>
      <c r="AO152" s="15"/>
      <c r="AP152" s="15"/>
      <c r="AQ152" s="15"/>
      <c r="AR152" s="15"/>
      <c r="AS152" s="15"/>
      <c r="AT152" s="19" t="str">
        <f>IF(COUNTA(A152:I152)+COUNTA(N152:X152)+COUNTA(AA152:AE152)+COUNTA(AH152:AS152)=0,"",IF(AND(A152&lt;&gt;"",E152&lt;&gt;"",OR(F152&lt;&gt;"",G152&lt;&gt;""),H152&lt;&gt;"",I152&lt;&gt;"",J152&lt;&gt;"No en catálogo",S152&lt;&gt;"",T152&lt;&gt;"",U152&lt;&gt;"",V152&lt;&gt;"",OR(AR152&lt;&gt;"",AND(W152&lt;&gt;"",X152&lt;&gt;"",AA152&lt;&gt;"",AB152&lt;&gt;"")),OR(AS152&lt;&gt;"",AND(AD152&lt;&gt;"",AE152&lt;&gt;"",AH152&lt;&gt;"",AI152&lt;&gt;"")),AK152&lt;&gt;"",OR(AK152&lt;&gt;"programado",AL152&lt;&gt;""),OR(AM152&lt;&gt;"específica",AN152&lt;&gt;""),OR(AO152&lt;&gt;"específica",AP152&lt;&gt;"")),"OK","Revisar"))</f>
        <v/>
      </c>
    </row>
    <row r="153" ht="15" customHeight="1" spans="1:46" x14ac:dyDescent="0.25">
      <c r="A153" s="15"/>
      <c r="B153" s="15"/>
      <c r="C153" s="15"/>
      <c r="D153" s="15"/>
      <c r="E153" s="15"/>
      <c r="F153" s="15"/>
      <c r="G153" s="15"/>
      <c r="H153" s="15"/>
      <c r="I153" s="15"/>
      <c r="J153" s="19">
        <f>IF(OR(H153="",I153=""),"",IFERROR(INDEX(Catalogo_Vehiculos!$C$2:$C$1325,MATCH(TRUE(),INDEX(Catalogo_Vehiculos!$G$2:$G$1325=H153&amp;"|"&amp;I153,0),0)),"No en catálogo"))</f>
      </c>
      <c r="K153" s="19">
        <f>IF(OR(H153="",I153=""),"",IFERROR(INDEX(Catalogo_Vehiculos!$D$2:$D$1325,MATCH(TRUE(),INDEX(Catalogo_Vehiculos!$G$2:$G$1325=H153&amp;"|"&amp;I153,0),0)),"No en catálogo"))</f>
      </c>
      <c r="L153" s="19">
        <f>IF(OR(H153="",I153=""),"",IFERROR(INDEX(Catalogo_Vehiculos!$E$2:$E$1325,MATCH(TRUE(),INDEX(Catalogo_Vehiculos!$G$2:$G$1325=H153&amp;"|"&amp;I153,0),0)),"No en catálogo"))</f>
      </c>
      <c r="M153" s="19">
        <f>IF(OR(H153="",I153=""),"",IFERROR(INDEX(Catalogo_Vehiculos!$F$2:$F$1325,MATCH(TRUE(),INDEX(Catalogo_Vehiculos!$G$2:$G$1325=H153&amp;"|"&amp;I153,0),0)),"No en catálogo"))</f>
      </c>
      <c r="N153" s="20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9"/>
      <c r="Z153" s="19"/>
      <c r="AA153" s="15"/>
      <c r="AB153" s="15"/>
      <c r="AC153" s="15"/>
      <c r="AD153" s="15"/>
      <c r="AE153" s="15"/>
      <c r="AF153" s="19"/>
      <c r="AG153" s="19"/>
      <c r="AH153" s="15"/>
      <c r="AI153" s="15"/>
      <c r="AJ153" s="15"/>
      <c r="AK153" s="15"/>
      <c r="AL153" s="21"/>
      <c r="AM153" s="15"/>
      <c r="AN153" s="15"/>
      <c r="AO153" s="15"/>
      <c r="AP153" s="15"/>
      <c r="AQ153" s="15"/>
      <c r="AR153" s="15"/>
      <c r="AS153" s="15"/>
      <c r="AT153" s="19" t="str">
        <f>IF(COUNTA(A153:I153)+COUNTA(N153:X153)+COUNTA(AA153:AE153)+COUNTA(AH153:AS153)=0,"",IF(AND(A153&lt;&gt;"",E153&lt;&gt;"",OR(F153&lt;&gt;"",G153&lt;&gt;""),H153&lt;&gt;"",I153&lt;&gt;"",J153&lt;&gt;"No en catálogo",S153&lt;&gt;"",T153&lt;&gt;"",U153&lt;&gt;"",V153&lt;&gt;"",OR(AR153&lt;&gt;"",AND(W153&lt;&gt;"",X153&lt;&gt;"",AA153&lt;&gt;"",AB153&lt;&gt;"")),OR(AS153&lt;&gt;"",AND(AD153&lt;&gt;"",AE153&lt;&gt;"",AH153&lt;&gt;"",AI153&lt;&gt;"")),AK153&lt;&gt;"",OR(AK153&lt;&gt;"programado",AL153&lt;&gt;""),OR(AM153&lt;&gt;"específica",AN153&lt;&gt;""),OR(AO153&lt;&gt;"específica",AP153&lt;&gt;"")),"OK","Revisar"))</f>
        <v/>
      </c>
    </row>
    <row r="154" ht="15" customHeight="1" spans="1:46" x14ac:dyDescent="0.25">
      <c r="A154" s="15"/>
      <c r="B154" s="15"/>
      <c r="C154" s="15"/>
      <c r="D154" s="15"/>
      <c r="E154" s="15"/>
      <c r="F154" s="15"/>
      <c r="G154" s="15"/>
      <c r="H154" s="15"/>
      <c r="I154" s="15"/>
      <c r="J154" s="19">
        <f>IF(OR(H154="",I154=""),"",IFERROR(INDEX(Catalogo_Vehiculos!$C$2:$C$1325,MATCH(TRUE(),INDEX(Catalogo_Vehiculos!$G$2:$G$1325=H154&amp;"|"&amp;I154,0),0)),"No en catálogo"))</f>
      </c>
      <c r="K154" s="19">
        <f>IF(OR(H154="",I154=""),"",IFERROR(INDEX(Catalogo_Vehiculos!$D$2:$D$1325,MATCH(TRUE(),INDEX(Catalogo_Vehiculos!$G$2:$G$1325=H154&amp;"|"&amp;I154,0),0)),"No en catálogo"))</f>
      </c>
      <c r="L154" s="19">
        <f>IF(OR(H154="",I154=""),"",IFERROR(INDEX(Catalogo_Vehiculos!$E$2:$E$1325,MATCH(TRUE(),INDEX(Catalogo_Vehiculos!$G$2:$G$1325=H154&amp;"|"&amp;I154,0),0)),"No en catálogo"))</f>
      </c>
      <c r="M154" s="19">
        <f>IF(OR(H154="",I154=""),"",IFERROR(INDEX(Catalogo_Vehiculos!$F$2:$F$1325,MATCH(TRUE(),INDEX(Catalogo_Vehiculos!$G$2:$G$1325=H154&amp;"|"&amp;I154,0),0)),"No en catálogo"))</f>
      </c>
      <c r="N154" s="20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9"/>
      <c r="Z154" s="19"/>
      <c r="AA154" s="15"/>
      <c r="AB154" s="15"/>
      <c r="AC154" s="15"/>
      <c r="AD154" s="15"/>
      <c r="AE154" s="15"/>
      <c r="AF154" s="19"/>
      <c r="AG154" s="19"/>
      <c r="AH154" s="15"/>
      <c r="AI154" s="15"/>
      <c r="AJ154" s="15"/>
      <c r="AK154" s="15"/>
      <c r="AL154" s="21"/>
      <c r="AM154" s="15"/>
      <c r="AN154" s="15"/>
      <c r="AO154" s="15"/>
      <c r="AP154" s="15"/>
      <c r="AQ154" s="15"/>
      <c r="AR154" s="15"/>
      <c r="AS154" s="15"/>
      <c r="AT154" s="19" t="str">
        <f>IF(COUNTA(A154:I154)+COUNTA(N154:X154)+COUNTA(AA154:AE154)+COUNTA(AH154:AS154)=0,"",IF(AND(A154&lt;&gt;"",E154&lt;&gt;"",OR(F154&lt;&gt;"",G154&lt;&gt;""),H154&lt;&gt;"",I154&lt;&gt;"",J154&lt;&gt;"No en catálogo",S154&lt;&gt;"",T154&lt;&gt;"",U154&lt;&gt;"",V154&lt;&gt;"",OR(AR154&lt;&gt;"",AND(W154&lt;&gt;"",X154&lt;&gt;"",AA154&lt;&gt;"",AB154&lt;&gt;"")),OR(AS154&lt;&gt;"",AND(AD154&lt;&gt;"",AE154&lt;&gt;"",AH154&lt;&gt;"",AI154&lt;&gt;"")),AK154&lt;&gt;"",OR(AK154&lt;&gt;"programado",AL154&lt;&gt;""),OR(AM154&lt;&gt;"específica",AN154&lt;&gt;""),OR(AO154&lt;&gt;"específica",AP154&lt;&gt;"")),"OK","Revisar"))</f>
        <v/>
      </c>
    </row>
    <row r="155" ht="15" customHeight="1" spans="1:46" x14ac:dyDescent="0.25">
      <c r="A155" s="15"/>
      <c r="B155" s="15"/>
      <c r="C155" s="15"/>
      <c r="D155" s="15"/>
      <c r="E155" s="15"/>
      <c r="F155" s="15"/>
      <c r="G155" s="15"/>
      <c r="H155" s="15"/>
      <c r="I155" s="15"/>
      <c r="J155" s="19">
        <f>IF(OR(H155="",I155=""),"",IFERROR(INDEX(Catalogo_Vehiculos!$C$2:$C$1325,MATCH(TRUE(),INDEX(Catalogo_Vehiculos!$G$2:$G$1325=H155&amp;"|"&amp;I155,0),0)),"No en catálogo"))</f>
      </c>
      <c r="K155" s="19">
        <f>IF(OR(H155="",I155=""),"",IFERROR(INDEX(Catalogo_Vehiculos!$D$2:$D$1325,MATCH(TRUE(),INDEX(Catalogo_Vehiculos!$G$2:$G$1325=H155&amp;"|"&amp;I155,0),0)),"No en catálogo"))</f>
      </c>
      <c r="L155" s="19">
        <f>IF(OR(H155="",I155=""),"",IFERROR(INDEX(Catalogo_Vehiculos!$E$2:$E$1325,MATCH(TRUE(),INDEX(Catalogo_Vehiculos!$G$2:$G$1325=H155&amp;"|"&amp;I155,0),0)),"No en catálogo"))</f>
      </c>
      <c r="M155" s="19">
        <f>IF(OR(H155="",I155=""),"",IFERROR(INDEX(Catalogo_Vehiculos!$F$2:$F$1325,MATCH(TRUE(),INDEX(Catalogo_Vehiculos!$G$2:$G$1325=H155&amp;"|"&amp;I155,0),0)),"No en catálogo"))</f>
      </c>
      <c r="N155" s="20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9"/>
      <c r="Z155" s="19"/>
      <c r="AA155" s="15"/>
      <c r="AB155" s="15"/>
      <c r="AC155" s="15"/>
      <c r="AD155" s="15"/>
      <c r="AE155" s="15"/>
      <c r="AF155" s="19"/>
      <c r="AG155" s="19"/>
      <c r="AH155" s="15"/>
      <c r="AI155" s="15"/>
      <c r="AJ155" s="15"/>
      <c r="AK155" s="15"/>
      <c r="AL155" s="21"/>
      <c r="AM155" s="15"/>
      <c r="AN155" s="15"/>
      <c r="AO155" s="15"/>
      <c r="AP155" s="15"/>
      <c r="AQ155" s="15"/>
      <c r="AR155" s="15"/>
      <c r="AS155" s="15"/>
      <c r="AT155" s="19" t="str">
        <f>IF(COUNTA(A155:I155)+COUNTA(N155:X155)+COUNTA(AA155:AE155)+COUNTA(AH155:AS155)=0,"",IF(AND(A155&lt;&gt;"",E155&lt;&gt;"",OR(F155&lt;&gt;"",G155&lt;&gt;""),H155&lt;&gt;"",I155&lt;&gt;"",J155&lt;&gt;"No en catálogo",S155&lt;&gt;"",T155&lt;&gt;"",U155&lt;&gt;"",V155&lt;&gt;"",OR(AR155&lt;&gt;"",AND(W155&lt;&gt;"",X155&lt;&gt;"",AA155&lt;&gt;"",AB155&lt;&gt;"")),OR(AS155&lt;&gt;"",AND(AD155&lt;&gt;"",AE155&lt;&gt;"",AH155&lt;&gt;"",AI155&lt;&gt;"")),AK155&lt;&gt;"",OR(AK155&lt;&gt;"programado",AL155&lt;&gt;""),OR(AM155&lt;&gt;"específica",AN155&lt;&gt;""),OR(AO155&lt;&gt;"específica",AP155&lt;&gt;"")),"OK","Revisar"))</f>
        <v/>
      </c>
    </row>
    <row r="156" ht="15" customHeight="1" spans="1:46" x14ac:dyDescent="0.25">
      <c r="A156" s="15"/>
      <c r="B156" s="15"/>
      <c r="C156" s="15"/>
      <c r="D156" s="15"/>
      <c r="E156" s="15"/>
      <c r="F156" s="15"/>
      <c r="G156" s="15"/>
      <c r="H156" s="15"/>
      <c r="I156" s="15"/>
      <c r="J156" s="19">
        <f>IF(OR(H156="",I156=""),"",IFERROR(INDEX(Catalogo_Vehiculos!$C$2:$C$1325,MATCH(TRUE(),INDEX(Catalogo_Vehiculos!$G$2:$G$1325=H156&amp;"|"&amp;I156,0),0)),"No en catálogo"))</f>
      </c>
      <c r="K156" s="19">
        <f>IF(OR(H156="",I156=""),"",IFERROR(INDEX(Catalogo_Vehiculos!$D$2:$D$1325,MATCH(TRUE(),INDEX(Catalogo_Vehiculos!$G$2:$G$1325=H156&amp;"|"&amp;I156,0),0)),"No en catálogo"))</f>
      </c>
      <c r="L156" s="19">
        <f>IF(OR(H156="",I156=""),"",IFERROR(INDEX(Catalogo_Vehiculos!$E$2:$E$1325,MATCH(TRUE(),INDEX(Catalogo_Vehiculos!$G$2:$G$1325=H156&amp;"|"&amp;I156,0),0)),"No en catálogo"))</f>
      </c>
      <c r="M156" s="19">
        <f>IF(OR(H156="",I156=""),"",IFERROR(INDEX(Catalogo_Vehiculos!$F$2:$F$1325,MATCH(TRUE(),INDEX(Catalogo_Vehiculos!$G$2:$G$1325=H156&amp;"|"&amp;I156,0),0)),"No en catálogo"))</f>
      </c>
      <c r="N156" s="20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9"/>
      <c r="Z156" s="19"/>
      <c r="AA156" s="15"/>
      <c r="AB156" s="15"/>
      <c r="AC156" s="15"/>
      <c r="AD156" s="15"/>
      <c r="AE156" s="15"/>
      <c r="AF156" s="19"/>
      <c r="AG156" s="19"/>
      <c r="AH156" s="15"/>
      <c r="AI156" s="15"/>
      <c r="AJ156" s="15"/>
      <c r="AK156" s="15"/>
      <c r="AL156" s="21"/>
      <c r="AM156" s="15"/>
      <c r="AN156" s="15"/>
      <c r="AO156" s="15"/>
      <c r="AP156" s="15"/>
      <c r="AQ156" s="15"/>
      <c r="AR156" s="15"/>
      <c r="AS156" s="15"/>
      <c r="AT156" s="19" t="str">
        <f>IF(COUNTA(A156:I156)+COUNTA(N156:X156)+COUNTA(AA156:AE156)+COUNTA(AH156:AS156)=0,"",IF(AND(A156&lt;&gt;"",E156&lt;&gt;"",OR(F156&lt;&gt;"",G156&lt;&gt;""),H156&lt;&gt;"",I156&lt;&gt;"",J156&lt;&gt;"No en catálogo",S156&lt;&gt;"",T156&lt;&gt;"",U156&lt;&gt;"",V156&lt;&gt;"",OR(AR156&lt;&gt;"",AND(W156&lt;&gt;"",X156&lt;&gt;"",AA156&lt;&gt;"",AB156&lt;&gt;"")),OR(AS156&lt;&gt;"",AND(AD156&lt;&gt;"",AE156&lt;&gt;"",AH156&lt;&gt;"",AI156&lt;&gt;"")),AK156&lt;&gt;"",OR(AK156&lt;&gt;"programado",AL156&lt;&gt;""),OR(AM156&lt;&gt;"específica",AN156&lt;&gt;""),OR(AO156&lt;&gt;"específica",AP156&lt;&gt;"")),"OK","Revisar"))</f>
        <v/>
      </c>
    </row>
    <row r="157" ht="15" customHeight="1" spans="1:46" x14ac:dyDescent="0.25">
      <c r="A157" s="15"/>
      <c r="B157" s="15"/>
      <c r="C157" s="15"/>
      <c r="D157" s="15"/>
      <c r="E157" s="15"/>
      <c r="F157" s="15"/>
      <c r="G157" s="15"/>
      <c r="H157" s="15"/>
      <c r="I157" s="15"/>
      <c r="J157" s="19">
        <f>IF(OR(H157="",I157=""),"",IFERROR(INDEX(Catalogo_Vehiculos!$C$2:$C$1325,MATCH(TRUE(),INDEX(Catalogo_Vehiculos!$G$2:$G$1325=H157&amp;"|"&amp;I157,0),0)),"No en catálogo"))</f>
      </c>
      <c r="K157" s="19">
        <f>IF(OR(H157="",I157=""),"",IFERROR(INDEX(Catalogo_Vehiculos!$D$2:$D$1325,MATCH(TRUE(),INDEX(Catalogo_Vehiculos!$G$2:$G$1325=H157&amp;"|"&amp;I157,0),0)),"No en catálogo"))</f>
      </c>
      <c r="L157" s="19">
        <f>IF(OR(H157="",I157=""),"",IFERROR(INDEX(Catalogo_Vehiculos!$E$2:$E$1325,MATCH(TRUE(),INDEX(Catalogo_Vehiculos!$G$2:$G$1325=H157&amp;"|"&amp;I157,0),0)),"No en catálogo"))</f>
      </c>
      <c r="M157" s="19">
        <f>IF(OR(H157="",I157=""),"",IFERROR(INDEX(Catalogo_Vehiculos!$F$2:$F$1325,MATCH(TRUE(),INDEX(Catalogo_Vehiculos!$G$2:$G$1325=H157&amp;"|"&amp;I157,0),0)),"No en catálogo"))</f>
      </c>
      <c r="N157" s="20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9"/>
      <c r="Z157" s="19"/>
      <c r="AA157" s="15"/>
      <c r="AB157" s="15"/>
      <c r="AC157" s="15"/>
      <c r="AD157" s="15"/>
      <c r="AE157" s="15"/>
      <c r="AF157" s="19"/>
      <c r="AG157" s="19"/>
      <c r="AH157" s="15"/>
      <c r="AI157" s="15"/>
      <c r="AJ157" s="15"/>
      <c r="AK157" s="15"/>
      <c r="AL157" s="21"/>
      <c r="AM157" s="15"/>
      <c r="AN157" s="15"/>
      <c r="AO157" s="15"/>
      <c r="AP157" s="15"/>
      <c r="AQ157" s="15"/>
      <c r="AR157" s="15"/>
      <c r="AS157" s="15"/>
      <c r="AT157" s="19" t="str">
        <f>IF(COUNTA(A157:I157)+COUNTA(N157:X157)+COUNTA(AA157:AE157)+COUNTA(AH157:AS157)=0,"",IF(AND(A157&lt;&gt;"",E157&lt;&gt;"",OR(F157&lt;&gt;"",G157&lt;&gt;""),H157&lt;&gt;"",I157&lt;&gt;"",J157&lt;&gt;"No en catálogo",S157&lt;&gt;"",T157&lt;&gt;"",U157&lt;&gt;"",V157&lt;&gt;"",OR(AR157&lt;&gt;"",AND(W157&lt;&gt;"",X157&lt;&gt;"",AA157&lt;&gt;"",AB157&lt;&gt;"")),OR(AS157&lt;&gt;"",AND(AD157&lt;&gt;"",AE157&lt;&gt;"",AH157&lt;&gt;"",AI157&lt;&gt;"")),AK157&lt;&gt;"",OR(AK157&lt;&gt;"programado",AL157&lt;&gt;""),OR(AM157&lt;&gt;"específica",AN157&lt;&gt;""),OR(AO157&lt;&gt;"específica",AP157&lt;&gt;"")),"OK","Revisar"))</f>
        <v/>
      </c>
    </row>
    <row r="158" ht="15" customHeight="1" spans="1:46" x14ac:dyDescent="0.25">
      <c r="A158" s="15"/>
      <c r="B158" s="15"/>
      <c r="C158" s="15"/>
      <c r="D158" s="15"/>
      <c r="E158" s="15"/>
      <c r="F158" s="15"/>
      <c r="G158" s="15"/>
      <c r="H158" s="15"/>
      <c r="I158" s="15"/>
      <c r="J158" s="19">
        <f>IF(OR(H158="",I158=""),"",IFERROR(INDEX(Catalogo_Vehiculos!$C$2:$C$1325,MATCH(TRUE(),INDEX(Catalogo_Vehiculos!$G$2:$G$1325=H158&amp;"|"&amp;I158,0),0)),"No en catálogo"))</f>
      </c>
      <c r="K158" s="19">
        <f>IF(OR(H158="",I158=""),"",IFERROR(INDEX(Catalogo_Vehiculos!$D$2:$D$1325,MATCH(TRUE(),INDEX(Catalogo_Vehiculos!$G$2:$G$1325=H158&amp;"|"&amp;I158,0),0)),"No en catálogo"))</f>
      </c>
      <c r="L158" s="19">
        <f>IF(OR(H158="",I158=""),"",IFERROR(INDEX(Catalogo_Vehiculos!$E$2:$E$1325,MATCH(TRUE(),INDEX(Catalogo_Vehiculos!$G$2:$G$1325=H158&amp;"|"&amp;I158,0),0)),"No en catálogo"))</f>
      </c>
      <c r="M158" s="19">
        <f>IF(OR(H158="",I158=""),"",IFERROR(INDEX(Catalogo_Vehiculos!$F$2:$F$1325,MATCH(TRUE(),INDEX(Catalogo_Vehiculos!$G$2:$G$1325=H158&amp;"|"&amp;I158,0),0)),"No en catálogo"))</f>
      </c>
      <c r="N158" s="20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9"/>
      <c r="Z158" s="19"/>
      <c r="AA158" s="15"/>
      <c r="AB158" s="15"/>
      <c r="AC158" s="15"/>
      <c r="AD158" s="15"/>
      <c r="AE158" s="15"/>
      <c r="AF158" s="19"/>
      <c r="AG158" s="19"/>
      <c r="AH158" s="15"/>
      <c r="AI158" s="15"/>
      <c r="AJ158" s="15"/>
      <c r="AK158" s="15"/>
      <c r="AL158" s="21"/>
      <c r="AM158" s="15"/>
      <c r="AN158" s="15"/>
      <c r="AO158" s="15"/>
      <c r="AP158" s="15"/>
      <c r="AQ158" s="15"/>
      <c r="AR158" s="15"/>
      <c r="AS158" s="15"/>
      <c r="AT158" s="19" t="str">
        <f>IF(COUNTA(A158:I158)+COUNTA(N158:X158)+COUNTA(AA158:AE158)+COUNTA(AH158:AS158)=0,"",IF(AND(A158&lt;&gt;"",E158&lt;&gt;"",OR(F158&lt;&gt;"",G158&lt;&gt;""),H158&lt;&gt;"",I158&lt;&gt;"",J158&lt;&gt;"No en catálogo",S158&lt;&gt;"",T158&lt;&gt;"",U158&lt;&gt;"",V158&lt;&gt;"",OR(AR158&lt;&gt;"",AND(W158&lt;&gt;"",X158&lt;&gt;"",AA158&lt;&gt;"",AB158&lt;&gt;"")),OR(AS158&lt;&gt;"",AND(AD158&lt;&gt;"",AE158&lt;&gt;"",AH158&lt;&gt;"",AI158&lt;&gt;"")),AK158&lt;&gt;"",OR(AK158&lt;&gt;"programado",AL158&lt;&gt;""),OR(AM158&lt;&gt;"específica",AN158&lt;&gt;""),OR(AO158&lt;&gt;"específica",AP158&lt;&gt;"")),"OK","Revisar"))</f>
        <v/>
      </c>
    </row>
    <row r="159" ht="15" customHeight="1" spans="1:46" x14ac:dyDescent="0.25">
      <c r="A159" s="15"/>
      <c r="B159" s="15"/>
      <c r="C159" s="15"/>
      <c r="D159" s="15"/>
      <c r="E159" s="15"/>
      <c r="F159" s="15"/>
      <c r="G159" s="15"/>
      <c r="H159" s="15"/>
      <c r="I159" s="15"/>
      <c r="J159" s="19">
        <f>IF(OR(H159="",I159=""),"",IFERROR(INDEX(Catalogo_Vehiculos!$C$2:$C$1325,MATCH(TRUE(),INDEX(Catalogo_Vehiculos!$G$2:$G$1325=H159&amp;"|"&amp;I159,0),0)),"No en catálogo"))</f>
      </c>
      <c r="K159" s="19">
        <f>IF(OR(H159="",I159=""),"",IFERROR(INDEX(Catalogo_Vehiculos!$D$2:$D$1325,MATCH(TRUE(),INDEX(Catalogo_Vehiculos!$G$2:$G$1325=H159&amp;"|"&amp;I159,0),0)),"No en catálogo"))</f>
      </c>
      <c r="L159" s="19">
        <f>IF(OR(H159="",I159=""),"",IFERROR(INDEX(Catalogo_Vehiculos!$E$2:$E$1325,MATCH(TRUE(),INDEX(Catalogo_Vehiculos!$G$2:$G$1325=H159&amp;"|"&amp;I159,0),0)),"No en catálogo"))</f>
      </c>
      <c r="M159" s="19">
        <f>IF(OR(H159="",I159=""),"",IFERROR(INDEX(Catalogo_Vehiculos!$F$2:$F$1325,MATCH(TRUE(),INDEX(Catalogo_Vehiculos!$G$2:$G$1325=H159&amp;"|"&amp;I159,0),0)),"No en catálogo"))</f>
      </c>
      <c r="N159" s="20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9"/>
      <c r="Z159" s="19"/>
      <c r="AA159" s="15"/>
      <c r="AB159" s="15"/>
      <c r="AC159" s="15"/>
      <c r="AD159" s="15"/>
      <c r="AE159" s="15"/>
      <c r="AF159" s="19"/>
      <c r="AG159" s="19"/>
      <c r="AH159" s="15"/>
      <c r="AI159" s="15"/>
      <c r="AJ159" s="15"/>
      <c r="AK159" s="15"/>
      <c r="AL159" s="21"/>
      <c r="AM159" s="15"/>
      <c r="AN159" s="15"/>
      <c r="AO159" s="15"/>
      <c r="AP159" s="15"/>
      <c r="AQ159" s="15"/>
      <c r="AR159" s="15"/>
      <c r="AS159" s="15"/>
      <c r="AT159" s="19" t="str">
        <f>IF(COUNTA(A159:I159)+COUNTA(N159:X159)+COUNTA(AA159:AE159)+COUNTA(AH159:AS159)=0,"",IF(AND(A159&lt;&gt;"",E159&lt;&gt;"",OR(F159&lt;&gt;"",G159&lt;&gt;""),H159&lt;&gt;"",I159&lt;&gt;"",J159&lt;&gt;"No en catálogo",S159&lt;&gt;"",T159&lt;&gt;"",U159&lt;&gt;"",V159&lt;&gt;"",OR(AR159&lt;&gt;"",AND(W159&lt;&gt;"",X159&lt;&gt;"",AA159&lt;&gt;"",AB159&lt;&gt;"")),OR(AS159&lt;&gt;"",AND(AD159&lt;&gt;"",AE159&lt;&gt;"",AH159&lt;&gt;"",AI159&lt;&gt;"")),AK159&lt;&gt;"",OR(AK159&lt;&gt;"programado",AL159&lt;&gt;""),OR(AM159&lt;&gt;"específica",AN159&lt;&gt;""),OR(AO159&lt;&gt;"específica",AP159&lt;&gt;"")),"OK","Revisar"))</f>
        <v/>
      </c>
    </row>
    <row r="160" ht="15" customHeight="1" spans="1:46" x14ac:dyDescent="0.25">
      <c r="A160" s="15"/>
      <c r="B160" s="15"/>
      <c r="C160" s="15"/>
      <c r="D160" s="15"/>
      <c r="E160" s="15"/>
      <c r="F160" s="15"/>
      <c r="G160" s="15"/>
      <c r="H160" s="15"/>
      <c r="I160" s="15"/>
      <c r="J160" s="19">
        <f>IF(OR(H160="",I160=""),"",IFERROR(INDEX(Catalogo_Vehiculos!$C$2:$C$1325,MATCH(TRUE(),INDEX(Catalogo_Vehiculos!$G$2:$G$1325=H160&amp;"|"&amp;I160,0),0)),"No en catálogo"))</f>
      </c>
      <c r="K160" s="19">
        <f>IF(OR(H160="",I160=""),"",IFERROR(INDEX(Catalogo_Vehiculos!$D$2:$D$1325,MATCH(TRUE(),INDEX(Catalogo_Vehiculos!$G$2:$G$1325=H160&amp;"|"&amp;I160,0),0)),"No en catálogo"))</f>
      </c>
      <c r="L160" s="19">
        <f>IF(OR(H160="",I160=""),"",IFERROR(INDEX(Catalogo_Vehiculos!$E$2:$E$1325,MATCH(TRUE(),INDEX(Catalogo_Vehiculos!$G$2:$G$1325=H160&amp;"|"&amp;I160,0),0)),"No en catálogo"))</f>
      </c>
      <c r="M160" s="19">
        <f>IF(OR(H160="",I160=""),"",IFERROR(INDEX(Catalogo_Vehiculos!$F$2:$F$1325,MATCH(TRUE(),INDEX(Catalogo_Vehiculos!$G$2:$G$1325=H160&amp;"|"&amp;I160,0),0)),"No en catálogo"))</f>
      </c>
      <c r="N160" s="20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9"/>
      <c r="Z160" s="19"/>
      <c r="AA160" s="15"/>
      <c r="AB160" s="15"/>
      <c r="AC160" s="15"/>
      <c r="AD160" s="15"/>
      <c r="AE160" s="15"/>
      <c r="AF160" s="19"/>
      <c r="AG160" s="19"/>
      <c r="AH160" s="15"/>
      <c r="AI160" s="15"/>
      <c r="AJ160" s="15"/>
      <c r="AK160" s="15"/>
      <c r="AL160" s="21"/>
      <c r="AM160" s="15"/>
      <c r="AN160" s="15"/>
      <c r="AO160" s="15"/>
      <c r="AP160" s="15"/>
      <c r="AQ160" s="15"/>
      <c r="AR160" s="15"/>
      <c r="AS160" s="15"/>
      <c r="AT160" s="19" t="str">
        <f>IF(COUNTA(A160:I160)+COUNTA(N160:X160)+COUNTA(AA160:AE160)+COUNTA(AH160:AS160)=0,"",IF(AND(A160&lt;&gt;"",E160&lt;&gt;"",OR(F160&lt;&gt;"",G160&lt;&gt;""),H160&lt;&gt;"",I160&lt;&gt;"",J160&lt;&gt;"No en catálogo",S160&lt;&gt;"",T160&lt;&gt;"",U160&lt;&gt;"",V160&lt;&gt;"",OR(AR160&lt;&gt;"",AND(W160&lt;&gt;"",X160&lt;&gt;"",AA160&lt;&gt;"",AB160&lt;&gt;"")),OR(AS160&lt;&gt;"",AND(AD160&lt;&gt;"",AE160&lt;&gt;"",AH160&lt;&gt;"",AI160&lt;&gt;"")),AK160&lt;&gt;"",OR(AK160&lt;&gt;"programado",AL160&lt;&gt;""),OR(AM160&lt;&gt;"específica",AN160&lt;&gt;""),OR(AO160&lt;&gt;"específica",AP160&lt;&gt;"")),"OK","Revisar"))</f>
        <v/>
      </c>
    </row>
    <row r="161" ht="15" customHeight="1" spans="1:46" x14ac:dyDescent="0.25">
      <c r="A161" s="15"/>
      <c r="B161" s="15"/>
      <c r="C161" s="15"/>
      <c r="D161" s="15"/>
      <c r="E161" s="15"/>
      <c r="F161" s="15"/>
      <c r="G161" s="15"/>
      <c r="H161" s="15"/>
      <c r="I161" s="15"/>
      <c r="J161" s="19">
        <f>IF(OR(H161="",I161=""),"",IFERROR(INDEX(Catalogo_Vehiculos!$C$2:$C$1325,MATCH(TRUE(),INDEX(Catalogo_Vehiculos!$G$2:$G$1325=H161&amp;"|"&amp;I161,0),0)),"No en catálogo"))</f>
      </c>
      <c r="K161" s="19">
        <f>IF(OR(H161="",I161=""),"",IFERROR(INDEX(Catalogo_Vehiculos!$D$2:$D$1325,MATCH(TRUE(),INDEX(Catalogo_Vehiculos!$G$2:$G$1325=H161&amp;"|"&amp;I161,0),0)),"No en catálogo"))</f>
      </c>
      <c r="L161" s="19">
        <f>IF(OR(H161="",I161=""),"",IFERROR(INDEX(Catalogo_Vehiculos!$E$2:$E$1325,MATCH(TRUE(),INDEX(Catalogo_Vehiculos!$G$2:$G$1325=H161&amp;"|"&amp;I161,0),0)),"No en catálogo"))</f>
      </c>
      <c r="M161" s="19">
        <f>IF(OR(H161="",I161=""),"",IFERROR(INDEX(Catalogo_Vehiculos!$F$2:$F$1325,MATCH(TRUE(),INDEX(Catalogo_Vehiculos!$G$2:$G$1325=H161&amp;"|"&amp;I161,0),0)),"No en catálogo"))</f>
      </c>
      <c r="N161" s="20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9"/>
      <c r="Z161" s="19"/>
      <c r="AA161" s="15"/>
      <c r="AB161" s="15"/>
      <c r="AC161" s="15"/>
      <c r="AD161" s="15"/>
      <c r="AE161" s="15"/>
      <c r="AF161" s="19"/>
      <c r="AG161" s="19"/>
      <c r="AH161" s="15"/>
      <c r="AI161" s="15"/>
      <c r="AJ161" s="15"/>
      <c r="AK161" s="15"/>
      <c r="AL161" s="21"/>
      <c r="AM161" s="15"/>
      <c r="AN161" s="15"/>
      <c r="AO161" s="15"/>
      <c r="AP161" s="15"/>
      <c r="AQ161" s="15"/>
      <c r="AR161" s="15"/>
      <c r="AS161" s="15"/>
      <c r="AT161" s="19" t="str">
        <f>IF(COUNTA(A161:I161)+COUNTA(N161:X161)+COUNTA(AA161:AE161)+COUNTA(AH161:AS161)=0,"",IF(AND(A161&lt;&gt;"",E161&lt;&gt;"",OR(F161&lt;&gt;"",G161&lt;&gt;""),H161&lt;&gt;"",I161&lt;&gt;"",J161&lt;&gt;"No en catálogo",S161&lt;&gt;"",T161&lt;&gt;"",U161&lt;&gt;"",V161&lt;&gt;"",OR(AR161&lt;&gt;"",AND(W161&lt;&gt;"",X161&lt;&gt;"",AA161&lt;&gt;"",AB161&lt;&gt;"")),OR(AS161&lt;&gt;"",AND(AD161&lt;&gt;"",AE161&lt;&gt;"",AH161&lt;&gt;"",AI161&lt;&gt;"")),AK161&lt;&gt;"",OR(AK161&lt;&gt;"programado",AL161&lt;&gt;""),OR(AM161&lt;&gt;"específica",AN161&lt;&gt;""),OR(AO161&lt;&gt;"específica",AP161&lt;&gt;"")),"OK","Revisar"))</f>
        <v/>
      </c>
    </row>
    <row r="162" ht="15" customHeight="1" spans="1:46" x14ac:dyDescent="0.25">
      <c r="A162" s="15"/>
      <c r="B162" s="15"/>
      <c r="C162" s="15"/>
      <c r="D162" s="15"/>
      <c r="E162" s="15"/>
      <c r="F162" s="15"/>
      <c r="G162" s="15"/>
      <c r="H162" s="15"/>
      <c r="I162" s="15"/>
      <c r="J162" s="19">
        <f>IF(OR(H162="",I162=""),"",IFERROR(INDEX(Catalogo_Vehiculos!$C$2:$C$1325,MATCH(TRUE(),INDEX(Catalogo_Vehiculos!$G$2:$G$1325=H162&amp;"|"&amp;I162,0),0)),"No en catálogo"))</f>
      </c>
      <c r="K162" s="19">
        <f>IF(OR(H162="",I162=""),"",IFERROR(INDEX(Catalogo_Vehiculos!$D$2:$D$1325,MATCH(TRUE(),INDEX(Catalogo_Vehiculos!$G$2:$G$1325=H162&amp;"|"&amp;I162,0),0)),"No en catálogo"))</f>
      </c>
      <c r="L162" s="19">
        <f>IF(OR(H162="",I162=""),"",IFERROR(INDEX(Catalogo_Vehiculos!$E$2:$E$1325,MATCH(TRUE(),INDEX(Catalogo_Vehiculos!$G$2:$G$1325=H162&amp;"|"&amp;I162,0),0)),"No en catálogo"))</f>
      </c>
      <c r="M162" s="19">
        <f>IF(OR(H162="",I162=""),"",IFERROR(INDEX(Catalogo_Vehiculos!$F$2:$F$1325,MATCH(TRUE(),INDEX(Catalogo_Vehiculos!$G$2:$G$1325=H162&amp;"|"&amp;I162,0),0)),"No en catálogo"))</f>
      </c>
      <c r="N162" s="20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9"/>
      <c r="Z162" s="19"/>
      <c r="AA162" s="15"/>
      <c r="AB162" s="15"/>
      <c r="AC162" s="15"/>
      <c r="AD162" s="15"/>
      <c r="AE162" s="15"/>
      <c r="AF162" s="19"/>
      <c r="AG162" s="19"/>
      <c r="AH162" s="15"/>
      <c r="AI162" s="15"/>
      <c r="AJ162" s="15"/>
      <c r="AK162" s="15"/>
      <c r="AL162" s="21"/>
      <c r="AM162" s="15"/>
      <c r="AN162" s="15"/>
      <c r="AO162" s="15"/>
      <c r="AP162" s="15"/>
      <c r="AQ162" s="15"/>
      <c r="AR162" s="15"/>
      <c r="AS162" s="15"/>
      <c r="AT162" s="19" t="str">
        <f>IF(COUNTA(A162:I162)+COUNTA(N162:X162)+COUNTA(AA162:AE162)+COUNTA(AH162:AS162)=0,"",IF(AND(A162&lt;&gt;"",E162&lt;&gt;"",OR(F162&lt;&gt;"",G162&lt;&gt;""),H162&lt;&gt;"",I162&lt;&gt;"",J162&lt;&gt;"No en catálogo",S162&lt;&gt;"",T162&lt;&gt;"",U162&lt;&gt;"",V162&lt;&gt;"",OR(AR162&lt;&gt;"",AND(W162&lt;&gt;"",X162&lt;&gt;"",AA162&lt;&gt;"",AB162&lt;&gt;"")),OR(AS162&lt;&gt;"",AND(AD162&lt;&gt;"",AE162&lt;&gt;"",AH162&lt;&gt;"",AI162&lt;&gt;"")),AK162&lt;&gt;"",OR(AK162&lt;&gt;"programado",AL162&lt;&gt;""),OR(AM162&lt;&gt;"específica",AN162&lt;&gt;""),OR(AO162&lt;&gt;"específica",AP162&lt;&gt;"")),"OK","Revisar"))</f>
        <v/>
      </c>
    </row>
    <row r="163" ht="15" customHeight="1" spans="1:46" x14ac:dyDescent="0.25">
      <c r="A163" s="15"/>
      <c r="B163" s="15"/>
      <c r="C163" s="15"/>
      <c r="D163" s="15"/>
      <c r="E163" s="15"/>
      <c r="F163" s="15"/>
      <c r="G163" s="15"/>
      <c r="H163" s="15"/>
      <c r="I163" s="15"/>
      <c r="J163" s="19">
        <f>IF(OR(H163="",I163=""),"",IFERROR(INDEX(Catalogo_Vehiculos!$C$2:$C$1325,MATCH(TRUE(),INDEX(Catalogo_Vehiculos!$G$2:$G$1325=H163&amp;"|"&amp;I163,0),0)),"No en catálogo"))</f>
      </c>
      <c r="K163" s="19">
        <f>IF(OR(H163="",I163=""),"",IFERROR(INDEX(Catalogo_Vehiculos!$D$2:$D$1325,MATCH(TRUE(),INDEX(Catalogo_Vehiculos!$G$2:$G$1325=H163&amp;"|"&amp;I163,0),0)),"No en catálogo"))</f>
      </c>
      <c r="L163" s="19">
        <f>IF(OR(H163="",I163=""),"",IFERROR(INDEX(Catalogo_Vehiculos!$E$2:$E$1325,MATCH(TRUE(),INDEX(Catalogo_Vehiculos!$G$2:$G$1325=H163&amp;"|"&amp;I163,0),0)),"No en catálogo"))</f>
      </c>
      <c r="M163" s="19">
        <f>IF(OR(H163="",I163=""),"",IFERROR(INDEX(Catalogo_Vehiculos!$F$2:$F$1325,MATCH(TRUE(),INDEX(Catalogo_Vehiculos!$G$2:$G$1325=H163&amp;"|"&amp;I163,0),0)),"No en catálogo"))</f>
      </c>
      <c r="N163" s="20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9"/>
      <c r="Z163" s="19"/>
      <c r="AA163" s="15"/>
      <c r="AB163" s="15"/>
      <c r="AC163" s="15"/>
      <c r="AD163" s="15"/>
      <c r="AE163" s="15"/>
      <c r="AF163" s="19"/>
      <c r="AG163" s="19"/>
      <c r="AH163" s="15"/>
      <c r="AI163" s="15"/>
      <c r="AJ163" s="15"/>
      <c r="AK163" s="15"/>
      <c r="AL163" s="21"/>
      <c r="AM163" s="15"/>
      <c r="AN163" s="15"/>
      <c r="AO163" s="15"/>
      <c r="AP163" s="15"/>
      <c r="AQ163" s="15"/>
      <c r="AR163" s="15"/>
      <c r="AS163" s="15"/>
      <c r="AT163" s="19" t="str">
        <f>IF(COUNTA(A163:I163)+COUNTA(N163:X163)+COUNTA(AA163:AE163)+COUNTA(AH163:AS163)=0,"",IF(AND(A163&lt;&gt;"",E163&lt;&gt;"",OR(F163&lt;&gt;"",G163&lt;&gt;""),H163&lt;&gt;"",I163&lt;&gt;"",J163&lt;&gt;"No en catálogo",S163&lt;&gt;"",T163&lt;&gt;"",U163&lt;&gt;"",V163&lt;&gt;"",OR(AR163&lt;&gt;"",AND(W163&lt;&gt;"",X163&lt;&gt;"",AA163&lt;&gt;"",AB163&lt;&gt;"")),OR(AS163&lt;&gt;"",AND(AD163&lt;&gt;"",AE163&lt;&gt;"",AH163&lt;&gt;"",AI163&lt;&gt;"")),AK163&lt;&gt;"",OR(AK163&lt;&gt;"programado",AL163&lt;&gt;""),OR(AM163&lt;&gt;"específica",AN163&lt;&gt;""),OR(AO163&lt;&gt;"específica",AP163&lt;&gt;"")),"OK","Revisar"))</f>
        <v/>
      </c>
    </row>
    <row r="164" ht="15" customHeight="1" spans="1:46" x14ac:dyDescent="0.25">
      <c r="A164" s="15"/>
      <c r="B164" s="15"/>
      <c r="C164" s="15"/>
      <c r="D164" s="15"/>
      <c r="E164" s="15"/>
      <c r="F164" s="15"/>
      <c r="G164" s="15"/>
      <c r="H164" s="15"/>
      <c r="I164" s="15"/>
      <c r="J164" s="19">
        <f>IF(OR(H164="",I164=""),"",IFERROR(INDEX(Catalogo_Vehiculos!$C$2:$C$1325,MATCH(TRUE(),INDEX(Catalogo_Vehiculos!$G$2:$G$1325=H164&amp;"|"&amp;I164,0),0)),"No en catálogo"))</f>
      </c>
      <c r="K164" s="19">
        <f>IF(OR(H164="",I164=""),"",IFERROR(INDEX(Catalogo_Vehiculos!$D$2:$D$1325,MATCH(TRUE(),INDEX(Catalogo_Vehiculos!$G$2:$G$1325=H164&amp;"|"&amp;I164,0),0)),"No en catálogo"))</f>
      </c>
      <c r="L164" s="19">
        <f>IF(OR(H164="",I164=""),"",IFERROR(INDEX(Catalogo_Vehiculos!$E$2:$E$1325,MATCH(TRUE(),INDEX(Catalogo_Vehiculos!$G$2:$G$1325=H164&amp;"|"&amp;I164,0),0)),"No en catálogo"))</f>
      </c>
      <c r="M164" s="19">
        <f>IF(OR(H164="",I164=""),"",IFERROR(INDEX(Catalogo_Vehiculos!$F$2:$F$1325,MATCH(TRUE(),INDEX(Catalogo_Vehiculos!$G$2:$G$1325=H164&amp;"|"&amp;I164,0),0)),"No en catálogo"))</f>
      </c>
      <c r="N164" s="20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9"/>
      <c r="Z164" s="19"/>
      <c r="AA164" s="15"/>
      <c r="AB164" s="15"/>
      <c r="AC164" s="15"/>
      <c r="AD164" s="15"/>
      <c r="AE164" s="15"/>
      <c r="AF164" s="19"/>
      <c r="AG164" s="19"/>
      <c r="AH164" s="15"/>
      <c r="AI164" s="15"/>
      <c r="AJ164" s="15"/>
      <c r="AK164" s="15"/>
      <c r="AL164" s="21"/>
      <c r="AM164" s="15"/>
      <c r="AN164" s="15"/>
      <c r="AO164" s="15"/>
      <c r="AP164" s="15"/>
      <c r="AQ164" s="15"/>
      <c r="AR164" s="15"/>
      <c r="AS164" s="15"/>
      <c r="AT164" s="19" t="str">
        <f>IF(COUNTA(A164:I164)+COUNTA(N164:X164)+COUNTA(AA164:AE164)+COUNTA(AH164:AS164)=0,"",IF(AND(A164&lt;&gt;"",E164&lt;&gt;"",OR(F164&lt;&gt;"",G164&lt;&gt;""),H164&lt;&gt;"",I164&lt;&gt;"",J164&lt;&gt;"No en catálogo",S164&lt;&gt;"",T164&lt;&gt;"",U164&lt;&gt;"",V164&lt;&gt;"",OR(AR164&lt;&gt;"",AND(W164&lt;&gt;"",X164&lt;&gt;"",AA164&lt;&gt;"",AB164&lt;&gt;"")),OR(AS164&lt;&gt;"",AND(AD164&lt;&gt;"",AE164&lt;&gt;"",AH164&lt;&gt;"",AI164&lt;&gt;"")),AK164&lt;&gt;"",OR(AK164&lt;&gt;"programado",AL164&lt;&gt;""),OR(AM164&lt;&gt;"específica",AN164&lt;&gt;""),OR(AO164&lt;&gt;"específica",AP164&lt;&gt;"")),"OK","Revisar"))</f>
        <v/>
      </c>
    </row>
    <row r="165" ht="15" customHeight="1" spans="1:46" x14ac:dyDescent="0.25">
      <c r="A165" s="15"/>
      <c r="B165" s="15"/>
      <c r="C165" s="15"/>
      <c r="D165" s="15"/>
      <c r="E165" s="15"/>
      <c r="F165" s="15"/>
      <c r="G165" s="15"/>
      <c r="H165" s="15"/>
      <c r="I165" s="15"/>
      <c r="J165" s="19">
        <f>IF(OR(H165="",I165=""),"",IFERROR(INDEX(Catalogo_Vehiculos!$C$2:$C$1325,MATCH(TRUE(),INDEX(Catalogo_Vehiculos!$G$2:$G$1325=H165&amp;"|"&amp;I165,0),0)),"No en catálogo"))</f>
      </c>
      <c r="K165" s="19">
        <f>IF(OR(H165="",I165=""),"",IFERROR(INDEX(Catalogo_Vehiculos!$D$2:$D$1325,MATCH(TRUE(),INDEX(Catalogo_Vehiculos!$G$2:$G$1325=H165&amp;"|"&amp;I165,0),0)),"No en catálogo"))</f>
      </c>
      <c r="L165" s="19">
        <f>IF(OR(H165="",I165=""),"",IFERROR(INDEX(Catalogo_Vehiculos!$E$2:$E$1325,MATCH(TRUE(),INDEX(Catalogo_Vehiculos!$G$2:$G$1325=H165&amp;"|"&amp;I165,0),0)),"No en catálogo"))</f>
      </c>
      <c r="M165" s="19">
        <f>IF(OR(H165="",I165=""),"",IFERROR(INDEX(Catalogo_Vehiculos!$F$2:$F$1325,MATCH(TRUE(),INDEX(Catalogo_Vehiculos!$G$2:$G$1325=H165&amp;"|"&amp;I165,0),0)),"No en catálogo"))</f>
      </c>
      <c r="N165" s="20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9"/>
      <c r="Z165" s="19"/>
      <c r="AA165" s="15"/>
      <c r="AB165" s="15"/>
      <c r="AC165" s="15"/>
      <c r="AD165" s="15"/>
      <c r="AE165" s="15"/>
      <c r="AF165" s="19"/>
      <c r="AG165" s="19"/>
      <c r="AH165" s="15"/>
      <c r="AI165" s="15"/>
      <c r="AJ165" s="15"/>
      <c r="AK165" s="15"/>
      <c r="AL165" s="21"/>
      <c r="AM165" s="15"/>
      <c r="AN165" s="15"/>
      <c r="AO165" s="15"/>
      <c r="AP165" s="15"/>
      <c r="AQ165" s="15"/>
      <c r="AR165" s="15"/>
      <c r="AS165" s="15"/>
      <c r="AT165" s="19" t="str">
        <f>IF(COUNTA(A165:I165)+COUNTA(N165:X165)+COUNTA(AA165:AE165)+COUNTA(AH165:AS165)=0,"",IF(AND(A165&lt;&gt;"",E165&lt;&gt;"",OR(F165&lt;&gt;"",G165&lt;&gt;""),H165&lt;&gt;"",I165&lt;&gt;"",J165&lt;&gt;"No en catálogo",S165&lt;&gt;"",T165&lt;&gt;"",U165&lt;&gt;"",V165&lt;&gt;"",OR(AR165&lt;&gt;"",AND(W165&lt;&gt;"",X165&lt;&gt;"",AA165&lt;&gt;"",AB165&lt;&gt;"")),OR(AS165&lt;&gt;"",AND(AD165&lt;&gt;"",AE165&lt;&gt;"",AH165&lt;&gt;"",AI165&lt;&gt;"")),AK165&lt;&gt;"",OR(AK165&lt;&gt;"programado",AL165&lt;&gt;""),OR(AM165&lt;&gt;"específica",AN165&lt;&gt;""),OR(AO165&lt;&gt;"específica",AP165&lt;&gt;"")),"OK","Revisar"))</f>
        <v/>
      </c>
    </row>
    <row r="166" ht="15" customHeight="1" spans="1:46" x14ac:dyDescent="0.25">
      <c r="A166" s="15"/>
      <c r="B166" s="15"/>
      <c r="C166" s="15"/>
      <c r="D166" s="15"/>
      <c r="E166" s="15"/>
      <c r="F166" s="15"/>
      <c r="G166" s="15"/>
      <c r="H166" s="15"/>
      <c r="I166" s="15"/>
      <c r="J166" s="19">
        <f>IF(OR(H166="",I166=""),"",IFERROR(INDEX(Catalogo_Vehiculos!$C$2:$C$1325,MATCH(TRUE(),INDEX(Catalogo_Vehiculos!$G$2:$G$1325=H166&amp;"|"&amp;I166,0),0)),"No en catálogo"))</f>
      </c>
      <c r="K166" s="19">
        <f>IF(OR(H166="",I166=""),"",IFERROR(INDEX(Catalogo_Vehiculos!$D$2:$D$1325,MATCH(TRUE(),INDEX(Catalogo_Vehiculos!$G$2:$G$1325=H166&amp;"|"&amp;I166,0),0)),"No en catálogo"))</f>
      </c>
      <c r="L166" s="19">
        <f>IF(OR(H166="",I166=""),"",IFERROR(INDEX(Catalogo_Vehiculos!$E$2:$E$1325,MATCH(TRUE(),INDEX(Catalogo_Vehiculos!$G$2:$G$1325=H166&amp;"|"&amp;I166,0),0)),"No en catálogo"))</f>
      </c>
      <c r="M166" s="19">
        <f>IF(OR(H166="",I166=""),"",IFERROR(INDEX(Catalogo_Vehiculos!$F$2:$F$1325,MATCH(TRUE(),INDEX(Catalogo_Vehiculos!$G$2:$G$1325=H166&amp;"|"&amp;I166,0),0)),"No en catálogo"))</f>
      </c>
      <c r="N166" s="20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9"/>
      <c r="Z166" s="19"/>
      <c r="AA166" s="15"/>
      <c r="AB166" s="15"/>
      <c r="AC166" s="15"/>
      <c r="AD166" s="15"/>
      <c r="AE166" s="15"/>
      <c r="AF166" s="19"/>
      <c r="AG166" s="19"/>
      <c r="AH166" s="15"/>
      <c r="AI166" s="15"/>
      <c r="AJ166" s="15"/>
      <c r="AK166" s="15"/>
      <c r="AL166" s="21"/>
      <c r="AM166" s="15"/>
      <c r="AN166" s="15"/>
      <c r="AO166" s="15"/>
      <c r="AP166" s="15"/>
      <c r="AQ166" s="15"/>
      <c r="AR166" s="15"/>
      <c r="AS166" s="15"/>
      <c r="AT166" s="19" t="str">
        <f>IF(COUNTA(A166:I166)+COUNTA(N166:X166)+COUNTA(AA166:AE166)+COUNTA(AH166:AS166)=0,"",IF(AND(A166&lt;&gt;"",E166&lt;&gt;"",OR(F166&lt;&gt;"",G166&lt;&gt;""),H166&lt;&gt;"",I166&lt;&gt;"",J166&lt;&gt;"No en catálogo",S166&lt;&gt;"",T166&lt;&gt;"",U166&lt;&gt;"",V166&lt;&gt;"",OR(AR166&lt;&gt;"",AND(W166&lt;&gt;"",X166&lt;&gt;"",AA166&lt;&gt;"",AB166&lt;&gt;"")),OR(AS166&lt;&gt;"",AND(AD166&lt;&gt;"",AE166&lt;&gt;"",AH166&lt;&gt;"",AI166&lt;&gt;"")),AK166&lt;&gt;"",OR(AK166&lt;&gt;"programado",AL166&lt;&gt;""),OR(AM166&lt;&gt;"específica",AN166&lt;&gt;""),OR(AO166&lt;&gt;"específica",AP166&lt;&gt;"")),"OK","Revisar"))</f>
        <v/>
      </c>
    </row>
    <row r="167" ht="15" customHeight="1" spans="1:46" x14ac:dyDescent="0.25">
      <c r="A167" s="15"/>
      <c r="B167" s="15"/>
      <c r="C167" s="15"/>
      <c r="D167" s="15"/>
      <c r="E167" s="15"/>
      <c r="F167" s="15"/>
      <c r="G167" s="15"/>
      <c r="H167" s="15"/>
      <c r="I167" s="15"/>
      <c r="J167" s="19">
        <f>IF(OR(H167="",I167=""),"",IFERROR(INDEX(Catalogo_Vehiculos!$C$2:$C$1325,MATCH(TRUE(),INDEX(Catalogo_Vehiculos!$G$2:$G$1325=H167&amp;"|"&amp;I167,0),0)),"No en catálogo"))</f>
      </c>
      <c r="K167" s="19">
        <f>IF(OR(H167="",I167=""),"",IFERROR(INDEX(Catalogo_Vehiculos!$D$2:$D$1325,MATCH(TRUE(),INDEX(Catalogo_Vehiculos!$G$2:$G$1325=H167&amp;"|"&amp;I167,0),0)),"No en catálogo"))</f>
      </c>
      <c r="L167" s="19">
        <f>IF(OR(H167="",I167=""),"",IFERROR(INDEX(Catalogo_Vehiculos!$E$2:$E$1325,MATCH(TRUE(),INDEX(Catalogo_Vehiculos!$G$2:$G$1325=H167&amp;"|"&amp;I167,0),0)),"No en catálogo"))</f>
      </c>
      <c r="M167" s="19">
        <f>IF(OR(H167="",I167=""),"",IFERROR(INDEX(Catalogo_Vehiculos!$F$2:$F$1325,MATCH(TRUE(),INDEX(Catalogo_Vehiculos!$G$2:$G$1325=H167&amp;"|"&amp;I167,0),0)),"No en catálogo"))</f>
      </c>
      <c r="N167" s="20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9"/>
      <c r="Z167" s="19"/>
      <c r="AA167" s="15"/>
      <c r="AB167" s="15"/>
      <c r="AC167" s="15"/>
      <c r="AD167" s="15"/>
      <c r="AE167" s="15"/>
      <c r="AF167" s="19"/>
      <c r="AG167" s="19"/>
      <c r="AH167" s="15"/>
      <c r="AI167" s="15"/>
      <c r="AJ167" s="15"/>
      <c r="AK167" s="15"/>
      <c r="AL167" s="21"/>
      <c r="AM167" s="15"/>
      <c r="AN167" s="15"/>
      <c r="AO167" s="15"/>
      <c r="AP167" s="15"/>
      <c r="AQ167" s="15"/>
      <c r="AR167" s="15"/>
      <c r="AS167" s="15"/>
      <c r="AT167" s="19" t="str">
        <f>IF(COUNTA(A167:I167)+COUNTA(N167:X167)+COUNTA(AA167:AE167)+COUNTA(AH167:AS167)=0,"",IF(AND(A167&lt;&gt;"",E167&lt;&gt;"",OR(F167&lt;&gt;"",G167&lt;&gt;""),H167&lt;&gt;"",I167&lt;&gt;"",J167&lt;&gt;"No en catálogo",S167&lt;&gt;"",T167&lt;&gt;"",U167&lt;&gt;"",V167&lt;&gt;"",OR(AR167&lt;&gt;"",AND(W167&lt;&gt;"",X167&lt;&gt;"",AA167&lt;&gt;"",AB167&lt;&gt;"")),OR(AS167&lt;&gt;"",AND(AD167&lt;&gt;"",AE167&lt;&gt;"",AH167&lt;&gt;"",AI167&lt;&gt;"")),AK167&lt;&gt;"",OR(AK167&lt;&gt;"programado",AL167&lt;&gt;""),OR(AM167&lt;&gt;"específica",AN167&lt;&gt;""),OR(AO167&lt;&gt;"específica",AP167&lt;&gt;"")),"OK","Revisar"))</f>
        <v/>
      </c>
    </row>
    <row r="168" ht="15" customHeight="1" spans="1:46" x14ac:dyDescent="0.25">
      <c r="A168" s="15"/>
      <c r="B168" s="15"/>
      <c r="C168" s="15"/>
      <c r="D168" s="15"/>
      <c r="E168" s="15"/>
      <c r="F168" s="15"/>
      <c r="G168" s="15"/>
      <c r="H168" s="15"/>
      <c r="I168" s="15"/>
      <c r="J168" s="19">
        <f>IF(OR(H168="",I168=""),"",IFERROR(INDEX(Catalogo_Vehiculos!$C$2:$C$1325,MATCH(TRUE(),INDEX(Catalogo_Vehiculos!$G$2:$G$1325=H168&amp;"|"&amp;I168,0),0)),"No en catálogo"))</f>
      </c>
      <c r="K168" s="19">
        <f>IF(OR(H168="",I168=""),"",IFERROR(INDEX(Catalogo_Vehiculos!$D$2:$D$1325,MATCH(TRUE(),INDEX(Catalogo_Vehiculos!$G$2:$G$1325=H168&amp;"|"&amp;I168,0),0)),"No en catálogo"))</f>
      </c>
      <c r="L168" s="19">
        <f>IF(OR(H168="",I168=""),"",IFERROR(INDEX(Catalogo_Vehiculos!$E$2:$E$1325,MATCH(TRUE(),INDEX(Catalogo_Vehiculos!$G$2:$G$1325=H168&amp;"|"&amp;I168,0),0)),"No en catálogo"))</f>
      </c>
      <c r="M168" s="19">
        <f>IF(OR(H168="",I168=""),"",IFERROR(INDEX(Catalogo_Vehiculos!$F$2:$F$1325,MATCH(TRUE(),INDEX(Catalogo_Vehiculos!$G$2:$G$1325=H168&amp;"|"&amp;I168,0),0)),"No en catálogo"))</f>
      </c>
      <c r="N168" s="20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9"/>
      <c r="Z168" s="19"/>
      <c r="AA168" s="15"/>
      <c r="AB168" s="15"/>
      <c r="AC168" s="15"/>
      <c r="AD168" s="15"/>
      <c r="AE168" s="15"/>
      <c r="AF168" s="19"/>
      <c r="AG168" s="19"/>
      <c r="AH168" s="15"/>
      <c r="AI168" s="15"/>
      <c r="AJ168" s="15"/>
      <c r="AK168" s="15"/>
      <c r="AL168" s="21"/>
      <c r="AM168" s="15"/>
      <c r="AN168" s="15"/>
      <c r="AO168" s="15"/>
      <c r="AP168" s="15"/>
      <c r="AQ168" s="15"/>
      <c r="AR168" s="15"/>
      <c r="AS168" s="15"/>
      <c r="AT168" s="19" t="str">
        <f>IF(COUNTA(A168:I168)+COUNTA(N168:X168)+COUNTA(AA168:AE168)+COUNTA(AH168:AS168)=0,"",IF(AND(A168&lt;&gt;"",E168&lt;&gt;"",OR(F168&lt;&gt;"",G168&lt;&gt;""),H168&lt;&gt;"",I168&lt;&gt;"",J168&lt;&gt;"No en catálogo",S168&lt;&gt;"",T168&lt;&gt;"",U168&lt;&gt;"",V168&lt;&gt;"",OR(AR168&lt;&gt;"",AND(W168&lt;&gt;"",X168&lt;&gt;"",AA168&lt;&gt;"",AB168&lt;&gt;"")),OR(AS168&lt;&gt;"",AND(AD168&lt;&gt;"",AE168&lt;&gt;"",AH168&lt;&gt;"",AI168&lt;&gt;"")),AK168&lt;&gt;"",OR(AK168&lt;&gt;"programado",AL168&lt;&gt;""),OR(AM168&lt;&gt;"específica",AN168&lt;&gt;""),OR(AO168&lt;&gt;"específica",AP168&lt;&gt;"")),"OK","Revisar"))</f>
        <v/>
      </c>
    </row>
    <row r="169" ht="15" customHeight="1" spans="1:46" x14ac:dyDescent="0.25">
      <c r="A169" s="15"/>
      <c r="B169" s="15"/>
      <c r="C169" s="15"/>
      <c r="D169" s="15"/>
      <c r="E169" s="15"/>
      <c r="F169" s="15"/>
      <c r="G169" s="15"/>
      <c r="H169" s="15"/>
      <c r="I169" s="15"/>
      <c r="J169" s="19">
        <f>IF(OR(H169="",I169=""),"",IFERROR(INDEX(Catalogo_Vehiculos!$C$2:$C$1325,MATCH(TRUE(),INDEX(Catalogo_Vehiculos!$G$2:$G$1325=H169&amp;"|"&amp;I169,0),0)),"No en catálogo"))</f>
      </c>
      <c r="K169" s="19">
        <f>IF(OR(H169="",I169=""),"",IFERROR(INDEX(Catalogo_Vehiculos!$D$2:$D$1325,MATCH(TRUE(),INDEX(Catalogo_Vehiculos!$G$2:$G$1325=H169&amp;"|"&amp;I169,0),0)),"No en catálogo"))</f>
      </c>
      <c r="L169" s="19">
        <f>IF(OR(H169="",I169=""),"",IFERROR(INDEX(Catalogo_Vehiculos!$E$2:$E$1325,MATCH(TRUE(),INDEX(Catalogo_Vehiculos!$G$2:$G$1325=H169&amp;"|"&amp;I169,0),0)),"No en catálogo"))</f>
      </c>
      <c r="M169" s="19">
        <f>IF(OR(H169="",I169=""),"",IFERROR(INDEX(Catalogo_Vehiculos!$F$2:$F$1325,MATCH(TRUE(),INDEX(Catalogo_Vehiculos!$G$2:$G$1325=H169&amp;"|"&amp;I169,0),0)),"No en catálogo"))</f>
      </c>
      <c r="N169" s="20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9"/>
      <c r="Z169" s="19"/>
      <c r="AA169" s="15"/>
      <c r="AB169" s="15"/>
      <c r="AC169" s="15"/>
      <c r="AD169" s="15"/>
      <c r="AE169" s="15"/>
      <c r="AF169" s="19"/>
      <c r="AG169" s="19"/>
      <c r="AH169" s="15"/>
      <c r="AI169" s="15"/>
      <c r="AJ169" s="15"/>
      <c r="AK169" s="15"/>
      <c r="AL169" s="21"/>
      <c r="AM169" s="15"/>
      <c r="AN169" s="15"/>
      <c r="AO169" s="15"/>
      <c r="AP169" s="15"/>
      <c r="AQ169" s="15"/>
      <c r="AR169" s="15"/>
      <c r="AS169" s="15"/>
      <c r="AT169" s="19" t="str">
        <f>IF(COUNTA(A169:I169)+COUNTA(N169:X169)+COUNTA(AA169:AE169)+COUNTA(AH169:AS169)=0,"",IF(AND(A169&lt;&gt;"",E169&lt;&gt;"",OR(F169&lt;&gt;"",G169&lt;&gt;""),H169&lt;&gt;"",I169&lt;&gt;"",J169&lt;&gt;"No en catálogo",S169&lt;&gt;"",T169&lt;&gt;"",U169&lt;&gt;"",V169&lt;&gt;"",OR(AR169&lt;&gt;"",AND(W169&lt;&gt;"",X169&lt;&gt;"",AA169&lt;&gt;"",AB169&lt;&gt;"")),OR(AS169&lt;&gt;"",AND(AD169&lt;&gt;"",AE169&lt;&gt;"",AH169&lt;&gt;"",AI169&lt;&gt;"")),AK169&lt;&gt;"",OR(AK169&lt;&gt;"programado",AL169&lt;&gt;""),OR(AM169&lt;&gt;"específica",AN169&lt;&gt;""),OR(AO169&lt;&gt;"específica",AP169&lt;&gt;"")),"OK","Revisar"))</f>
        <v/>
      </c>
    </row>
    <row r="170" ht="15" customHeight="1" spans="1:46" x14ac:dyDescent="0.25">
      <c r="A170" s="15"/>
      <c r="B170" s="15"/>
      <c r="C170" s="15"/>
      <c r="D170" s="15"/>
      <c r="E170" s="15"/>
      <c r="F170" s="15"/>
      <c r="G170" s="15"/>
      <c r="H170" s="15"/>
      <c r="I170" s="15"/>
      <c r="J170" s="19">
        <f>IF(OR(H170="",I170=""),"",IFERROR(INDEX(Catalogo_Vehiculos!$C$2:$C$1325,MATCH(TRUE(),INDEX(Catalogo_Vehiculos!$G$2:$G$1325=H170&amp;"|"&amp;I170,0),0)),"No en catálogo"))</f>
      </c>
      <c r="K170" s="19">
        <f>IF(OR(H170="",I170=""),"",IFERROR(INDEX(Catalogo_Vehiculos!$D$2:$D$1325,MATCH(TRUE(),INDEX(Catalogo_Vehiculos!$G$2:$G$1325=H170&amp;"|"&amp;I170,0),0)),"No en catálogo"))</f>
      </c>
      <c r="L170" s="19">
        <f>IF(OR(H170="",I170=""),"",IFERROR(INDEX(Catalogo_Vehiculos!$E$2:$E$1325,MATCH(TRUE(),INDEX(Catalogo_Vehiculos!$G$2:$G$1325=H170&amp;"|"&amp;I170,0),0)),"No en catálogo"))</f>
      </c>
      <c r="M170" s="19">
        <f>IF(OR(H170="",I170=""),"",IFERROR(INDEX(Catalogo_Vehiculos!$F$2:$F$1325,MATCH(TRUE(),INDEX(Catalogo_Vehiculos!$G$2:$G$1325=H170&amp;"|"&amp;I170,0),0)),"No en catálogo"))</f>
      </c>
      <c r="N170" s="20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9"/>
      <c r="Z170" s="19"/>
      <c r="AA170" s="15"/>
      <c r="AB170" s="15"/>
      <c r="AC170" s="15"/>
      <c r="AD170" s="15"/>
      <c r="AE170" s="15"/>
      <c r="AF170" s="19"/>
      <c r="AG170" s="19"/>
      <c r="AH170" s="15"/>
      <c r="AI170" s="15"/>
      <c r="AJ170" s="15"/>
      <c r="AK170" s="15"/>
      <c r="AL170" s="21"/>
      <c r="AM170" s="15"/>
      <c r="AN170" s="15"/>
      <c r="AO170" s="15"/>
      <c r="AP170" s="15"/>
      <c r="AQ170" s="15"/>
      <c r="AR170" s="15"/>
      <c r="AS170" s="15"/>
      <c r="AT170" s="19" t="str">
        <f>IF(COUNTA(A170:I170)+COUNTA(N170:X170)+COUNTA(AA170:AE170)+COUNTA(AH170:AS170)=0,"",IF(AND(A170&lt;&gt;"",E170&lt;&gt;"",OR(F170&lt;&gt;"",G170&lt;&gt;""),H170&lt;&gt;"",I170&lt;&gt;"",J170&lt;&gt;"No en catálogo",S170&lt;&gt;"",T170&lt;&gt;"",U170&lt;&gt;"",V170&lt;&gt;"",OR(AR170&lt;&gt;"",AND(W170&lt;&gt;"",X170&lt;&gt;"",AA170&lt;&gt;"",AB170&lt;&gt;"")),OR(AS170&lt;&gt;"",AND(AD170&lt;&gt;"",AE170&lt;&gt;"",AH170&lt;&gt;"",AI170&lt;&gt;"")),AK170&lt;&gt;"",OR(AK170&lt;&gt;"programado",AL170&lt;&gt;""),OR(AM170&lt;&gt;"específica",AN170&lt;&gt;""),OR(AO170&lt;&gt;"específica",AP170&lt;&gt;"")),"OK","Revisar"))</f>
        <v/>
      </c>
    </row>
    <row r="171" ht="15" customHeight="1" spans="1:46" x14ac:dyDescent="0.25">
      <c r="A171" s="15"/>
      <c r="B171" s="15"/>
      <c r="C171" s="15"/>
      <c r="D171" s="15"/>
      <c r="E171" s="15"/>
      <c r="F171" s="15"/>
      <c r="G171" s="15"/>
      <c r="H171" s="15"/>
      <c r="I171" s="15"/>
      <c r="J171" s="19">
        <f>IF(OR(H171="",I171=""),"",IFERROR(INDEX(Catalogo_Vehiculos!$C$2:$C$1325,MATCH(TRUE(),INDEX(Catalogo_Vehiculos!$G$2:$G$1325=H171&amp;"|"&amp;I171,0),0)),"No en catálogo"))</f>
      </c>
      <c r="K171" s="19">
        <f>IF(OR(H171="",I171=""),"",IFERROR(INDEX(Catalogo_Vehiculos!$D$2:$D$1325,MATCH(TRUE(),INDEX(Catalogo_Vehiculos!$G$2:$G$1325=H171&amp;"|"&amp;I171,0),0)),"No en catálogo"))</f>
      </c>
      <c r="L171" s="19">
        <f>IF(OR(H171="",I171=""),"",IFERROR(INDEX(Catalogo_Vehiculos!$E$2:$E$1325,MATCH(TRUE(),INDEX(Catalogo_Vehiculos!$G$2:$G$1325=H171&amp;"|"&amp;I171,0),0)),"No en catálogo"))</f>
      </c>
      <c r="M171" s="19">
        <f>IF(OR(H171="",I171=""),"",IFERROR(INDEX(Catalogo_Vehiculos!$F$2:$F$1325,MATCH(TRUE(),INDEX(Catalogo_Vehiculos!$G$2:$G$1325=H171&amp;"|"&amp;I171,0),0)),"No en catálogo"))</f>
      </c>
      <c r="N171" s="20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9"/>
      <c r="Z171" s="19"/>
      <c r="AA171" s="15"/>
      <c r="AB171" s="15"/>
      <c r="AC171" s="15"/>
      <c r="AD171" s="15"/>
      <c r="AE171" s="15"/>
      <c r="AF171" s="19"/>
      <c r="AG171" s="19"/>
      <c r="AH171" s="15"/>
      <c r="AI171" s="15"/>
      <c r="AJ171" s="15"/>
      <c r="AK171" s="15"/>
      <c r="AL171" s="21"/>
      <c r="AM171" s="15"/>
      <c r="AN171" s="15"/>
      <c r="AO171" s="15"/>
      <c r="AP171" s="15"/>
      <c r="AQ171" s="15"/>
      <c r="AR171" s="15"/>
      <c r="AS171" s="15"/>
      <c r="AT171" s="19" t="str">
        <f>IF(COUNTA(A171:I171)+COUNTA(N171:X171)+COUNTA(AA171:AE171)+COUNTA(AH171:AS171)=0,"",IF(AND(A171&lt;&gt;"",E171&lt;&gt;"",OR(F171&lt;&gt;"",G171&lt;&gt;""),H171&lt;&gt;"",I171&lt;&gt;"",J171&lt;&gt;"No en catálogo",S171&lt;&gt;"",T171&lt;&gt;"",U171&lt;&gt;"",V171&lt;&gt;"",OR(AR171&lt;&gt;"",AND(W171&lt;&gt;"",X171&lt;&gt;"",AA171&lt;&gt;"",AB171&lt;&gt;"")),OR(AS171&lt;&gt;"",AND(AD171&lt;&gt;"",AE171&lt;&gt;"",AH171&lt;&gt;"",AI171&lt;&gt;"")),AK171&lt;&gt;"",OR(AK171&lt;&gt;"programado",AL171&lt;&gt;""),OR(AM171&lt;&gt;"específica",AN171&lt;&gt;""),OR(AO171&lt;&gt;"específica",AP171&lt;&gt;"")),"OK","Revisar"))</f>
        <v/>
      </c>
    </row>
    <row r="172" ht="15" customHeight="1" spans="1:46" x14ac:dyDescent="0.25">
      <c r="A172" s="15"/>
      <c r="B172" s="15"/>
      <c r="C172" s="15"/>
      <c r="D172" s="15"/>
      <c r="E172" s="15"/>
      <c r="F172" s="15"/>
      <c r="G172" s="15"/>
      <c r="H172" s="15"/>
      <c r="I172" s="15"/>
      <c r="J172" s="19">
        <f>IF(OR(H172="",I172=""),"",IFERROR(INDEX(Catalogo_Vehiculos!$C$2:$C$1325,MATCH(TRUE(),INDEX(Catalogo_Vehiculos!$G$2:$G$1325=H172&amp;"|"&amp;I172,0),0)),"No en catálogo"))</f>
      </c>
      <c r="K172" s="19">
        <f>IF(OR(H172="",I172=""),"",IFERROR(INDEX(Catalogo_Vehiculos!$D$2:$D$1325,MATCH(TRUE(),INDEX(Catalogo_Vehiculos!$G$2:$G$1325=H172&amp;"|"&amp;I172,0),0)),"No en catálogo"))</f>
      </c>
      <c r="L172" s="19">
        <f>IF(OR(H172="",I172=""),"",IFERROR(INDEX(Catalogo_Vehiculos!$E$2:$E$1325,MATCH(TRUE(),INDEX(Catalogo_Vehiculos!$G$2:$G$1325=H172&amp;"|"&amp;I172,0),0)),"No en catálogo"))</f>
      </c>
      <c r="M172" s="19">
        <f>IF(OR(H172="",I172=""),"",IFERROR(INDEX(Catalogo_Vehiculos!$F$2:$F$1325,MATCH(TRUE(),INDEX(Catalogo_Vehiculos!$G$2:$G$1325=H172&amp;"|"&amp;I172,0),0)),"No en catálogo"))</f>
      </c>
      <c r="N172" s="20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9"/>
      <c r="Z172" s="19"/>
      <c r="AA172" s="15"/>
      <c r="AB172" s="15"/>
      <c r="AC172" s="15"/>
      <c r="AD172" s="15"/>
      <c r="AE172" s="15"/>
      <c r="AF172" s="19"/>
      <c r="AG172" s="19"/>
      <c r="AH172" s="15"/>
      <c r="AI172" s="15"/>
      <c r="AJ172" s="15"/>
      <c r="AK172" s="15"/>
      <c r="AL172" s="21"/>
      <c r="AM172" s="15"/>
      <c r="AN172" s="15"/>
      <c r="AO172" s="15"/>
      <c r="AP172" s="15"/>
      <c r="AQ172" s="15"/>
      <c r="AR172" s="15"/>
      <c r="AS172" s="15"/>
      <c r="AT172" s="19" t="str">
        <f>IF(COUNTA(A172:I172)+COUNTA(N172:X172)+COUNTA(AA172:AE172)+COUNTA(AH172:AS172)=0,"",IF(AND(A172&lt;&gt;"",E172&lt;&gt;"",OR(F172&lt;&gt;"",G172&lt;&gt;""),H172&lt;&gt;"",I172&lt;&gt;"",J172&lt;&gt;"No en catálogo",S172&lt;&gt;"",T172&lt;&gt;"",U172&lt;&gt;"",V172&lt;&gt;"",OR(AR172&lt;&gt;"",AND(W172&lt;&gt;"",X172&lt;&gt;"",AA172&lt;&gt;"",AB172&lt;&gt;"")),OR(AS172&lt;&gt;"",AND(AD172&lt;&gt;"",AE172&lt;&gt;"",AH172&lt;&gt;"",AI172&lt;&gt;"")),AK172&lt;&gt;"",OR(AK172&lt;&gt;"programado",AL172&lt;&gt;""),OR(AM172&lt;&gt;"específica",AN172&lt;&gt;""),OR(AO172&lt;&gt;"específica",AP172&lt;&gt;"")),"OK","Revisar"))</f>
        <v/>
      </c>
    </row>
    <row r="173" ht="15" customHeight="1" spans="1:46" x14ac:dyDescent="0.25">
      <c r="A173" s="15"/>
      <c r="B173" s="15"/>
      <c r="C173" s="15"/>
      <c r="D173" s="15"/>
      <c r="E173" s="15"/>
      <c r="F173" s="15"/>
      <c r="G173" s="15"/>
      <c r="H173" s="15"/>
      <c r="I173" s="15"/>
      <c r="J173" s="19">
        <f>IF(OR(H173="",I173=""),"",IFERROR(INDEX(Catalogo_Vehiculos!$C$2:$C$1325,MATCH(TRUE(),INDEX(Catalogo_Vehiculos!$G$2:$G$1325=H173&amp;"|"&amp;I173,0),0)),"No en catálogo"))</f>
      </c>
      <c r="K173" s="19">
        <f>IF(OR(H173="",I173=""),"",IFERROR(INDEX(Catalogo_Vehiculos!$D$2:$D$1325,MATCH(TRUE(),INDEX(Catalogo_Vehiculos!$G$2:$G$1325=H173&amp;"|"&amp;I173,0),0)),"No en catálogo"))</f>
      </c>
      <c r="L173" s="19">
        <f>IF(OR(H173="",I173=""),"",IFERROR(INDEX(Catalogo_Vehiculos!$E$2:$E$1325,MATCH(TRUE(),INDEX(Catalogo_Vehiculos!$G$2:$G$1325=H173&amp;"|"&amp;I173,0),0)),"No en catálogo"))</f>
      </c>
      <c r="M173" s="19">
        <f>IF(OR(H173="",I173=""),"",IFERROR(INDEX(Catalogo_Vehiculos!$F$2:$F$1325,MATCH(TRUE(),INDEX(Catalogo_Vehiculos!$G$2:$G$1325=H173&amp;"|"&amp;I173,0),0)),"No en catálogo"))</f>
      </c>
      <c r="N173" s="20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9"/>
      <c r="Z173" s="19"/>
      <c r="AA173" s="15"/>
      <c r="AB173" s="15"/>
      <c r="AC173" s="15"/>
      <c r="AD173" s="15"/>
      <c r="AE173" s="15"/>
      <c r="AF173" s="19"/>
      <c r="AG173" s="19"/>
      <c r="AH173" s="15"/>
      <c r="AI173" s="15"/>
      <c r="AJ173" s="15"/>
      <c r="AK173" s="15"/>
      <c r="AL173" s="21"/>
      <c r="AM173" s="15"/>
      <c r="AN173" s="15"/>
      <c r="AO173" s="15"/>
      <c r="AP173" s="15"/>
      <c r="AQ173" s="15"/>
      <c r="AR173" s="15"/>
      <c r="AS173" s="15"/>
      <c r="AT173" s="19" t="str">
        <f>IF(COUNTA(A173:I173)+COUNTA(N173:X173)+COUNTA(AA173:AE173)+COUNTA(AH173:AS173)=0,"",IF(AND(A173&lt;&gt;"",E173&lt;&gt;"",OR(F173&lt;&gt;"",G173&lt;&gt;""),H173&lt;&gt;"",I173&lt;&gt;"",J173&lt;&gt;"No en catálogo",S173&lt;&gt;"",T173&lt;&gt;"",U173&lt;&gt;"",V173&lt;&gt;"",OR(AR173&lt;&gt;"",AND(W173&lt;&gt;"",X173&lt;&gt;"",AA173&lt;&gt;"",AB173&lt;&gt;"")),OR(AS173&lt;&gt;"",AND(AD173&lt;&gt;"",AE173&lt;&gt;"",AH173&lt;&gt;"",AI173&lt;&gt;"")),AK173&lt;&gt;"",OR(AK173&lt;&gt;"programado",AL173&lt;&gt;""),OR(AM173&lt;&gt;"específica",AN173&lt;&gt;""),OR(AO173&lt;&gt;"específica",AP173&lt;&gt;"")),"OK","Revisar"))</f>
        <v/>
      </c>
    </row>
    <row r="174" ht="15" customHeight="1" spans="1:46" x14ac:dyDescent="0.25">
      <c r="A174" s="15"/>
      <c r="B174" s="15"/>
      <c r="C174" s="15"/>
      <c r="D174" s="15"/>
      <c r="E174" s="15"/>
      <c r="F174" s="15"/>
      <c r="G174" s="15"/>
      <c r="H174" s="15"/>
      <c r="I174" s="15"/>
      <c r="J174" s="19">
        <f>IF(OR(H174="",I174=""),"",IFERROR(INDEX(Catalogo_Vehiculos!$C$2:$C$1325,MATCH(TRUE(),INDEX(Catalogo_Vehiculos!$G$2:$G$1325=H174&amp;"|"&amp;I174,0),0)),"No en catálogo"))</f>
      </c>
      <c r="K174" s="19">
        <f>IF(OR(H174="",I174=""),"",IFERROR(INDEX(Catalogo_Vehiculos!$D$2:$D$1325,MATCH(TRUE(),INDEX(Catalogo_Vehiculos!$G$2:$G$1325=H174&amp;"|"&amp;I174,0),0)),"No en catálogo"))</f>
      </c>
      <c r="L174" s="19">
        <f>IF(OR(H174="",I174=""),"",IFERROR(INDEX(Catalogo_Vehiculos!$E$2:$E$1325,MATCH(TRUE(),INDEX(Catalogo_Vehiculos!$G$2:$G$1325=H174&amp;"|"&amp;I174,0),0)),"No en catálogo"))</f>
      </c>
      <c r="M174" s="19">
        <f>IF(OR(H174="",I174=""),"",IFERROR(INDEX(Catalogo_Vehiculos!$F$2:$F$1325,MATCH(TRUE(),INDEX(Catalogo_Vehiculos!$G$2:$G$1325=H174&amp;"|"&amp;I174,0),0)),"No en catálogo"))</f>
      </c>
      <c r="N174" s="20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9"/>
      <c r="Z174" s="19"/>
      <c r="AA174" s="15"/>
      <c r="AB174" s="15"/>
      <c r="AC174" s="15"/>
      <c r="AD174" s="15"/>
      <c r="AE174" s="15"/>
      <c r="AF174" s="19"/>
      <c r="AG174" s="19"/>
      <c r="AH174" s="15"/>
      <c r="AI174" s="15"/>
      <c r="AJ174" s="15"/>
      <c r="AK174" s="15"/>
      <c r="AL174" s="21"/>
      <c r="AM174" s="15"/>
      <c r="AN174" s="15"/>
      <c r="AO174" s="15"/>
      <c r="AP174" s="15"/>
      <c r="AQ174" s="15"/>
      <c r="AR174" s="15"/>
      <c r="AS174" s="15"/>
      <c r="AT174" s="19" t="str">
        <f>IF(COUNTA(A174:I174)+COUNTA(N174:X174)+COUNTA(AA174:AE174)+COUNTA(AH174:AS174)=0,"",IF(AND(A174&lt;&gt;"",E174&lt;&gt;"",OR(F174&lt;&gt;"",G174&lt;&gt;""),H174&lt;&gt;"",I174&lt;&gt;"",J174&lt;&gt;"No en catálogo",S174&lt;&gt;"",T174&lt;&gt;"",U174&lt;&gt;"",V174&lt;&gt;"",OR(AR174&lt;&gt;"",AND(W174&lt;&gt;"",X174&lt;&gt;"",AA174&lt;&gt;"",AB174&lt;&gt;"")),OR(AS174&lt;&gt;"",AND(AD174&lt;&gt;"",AE174&lt;&gt;"",AH174&lt;&gt;"",AI174&lt;&gt;"")),AK174&lt;&gt;"",OR(AK174&lt;&gt;"programado",AL174&lt;&gt;""),OR(AM174&lt;&gt;"específica",AN174&lt;&gt;""),OR(AO174&lt;&gt;"específica",AP174&lt;&gt;"")),"OK","Revisar"))</f>
        <v/>
      </c>
    </row>
    <row r="175" ht="15" customHeight="1" spans="1:46" x14ac:dyDescent="0.25">
      <c r="A175" s="15"/>
      <c r="B175" s="15"/>
      <c r="C175" s="15"/>
      <c r="D175" s="15"/>
      <c r="E175" s="15"/>
      <c r="F175" s="15"/>
      <c r="G175" s="15"/>
      <c r="H175" s="15"/>
      <c r="I175" s="15"/>
      <c r="J175" s="19">
        <f>IF(OR(H175="",I175=""),"",IFERROR(INDEX(Catalogo_Vehiculos!$C$2:$C$1325,MATCH(TRUE(),INDEX(Catalogo_Vehiculos!$G$2:$G$1325=H175&amp;"|"&amp;I175,0),0)),"No en catálogo"))</f>
      </c>
      <c r="K175" s="19">
        <f>IF(OR(H175="",I175=""),"",IFERROR(INDEX(Catalogo_Vehiculos!$D$2:$D$1325,MATCH(TRUE(),INDEX(Catalogo_Vehiculos!$G$2:$G$1325=H175&amp;"|"&amp;I175,0),0)),"No en catálogo"))</f>
      </c>
      <c r="L175" s="19">
        <f>IF(OR(H175="",I175=""),"",IFERROR(INDEX(Catalogo_Vehiculos!$E$2:$E$1325,MATCH(TRUE(),INDEX(Catalogo_Vehiculos!$G$2:$G$1325=H175&amp;"|"&amp;I175,0),0)),"No en catálogo"))</f>
      </c>
      <c r="M175" s="19">
        <f>IF(OR(H175="",I175=""),"",IFERROR(INDEX(Catalogo_Vehiculos!$F$2:$F$1325,MATCH(TRUE(),INDEX(Catalogo_Vehiculos!$G$2:$G$1325=H175&amp;"|"&amp;I175,0),0)),"No en catálogo"))</f>
      </c>
      <c r="N175" s="20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9"/>
      <c r="Z175" s="19"/>
      <c r="AA175" s="15"/>
      <c r="AB175" s="15"/>
      <c r="AC175" s="15"/>
      <c r="AD175" s="15"/>
      <c r="AE175" s="15"/>
      <c r="AF175" s="19"/>
      <c r="AG175" s="19"/>
      <c r="AH175" s="15"/>
      <c r="AI175" s="15"/>
      <c r="AJ175" s="15"/>
      <c r="AK175" s="15"/>
      <c r="AL175" s="21"/>
      <c r="AM175" s="15"/>
      <c r="AN175" s="15"/>
      <c r="AO175" s="15"/>
      <c r="AP175" s="15"/>
      <c r="AQ175" s="15"/>
      <c r="AR175" s="15"/>
      <c r="AS175" s="15"/>
      <c r="AT175" s="19" t="str">
        <f>IF(COUNTA(A175:I175)+COUNTA(N175:X175)+COUNTA(AA175:AE175)+COUNTA(AH175:AS175)=0,"",IF(AND(A175&lt;&gt;"",E175&lt;&gt;"",OR(F175&lt;&gt;"",G175&lt;&gt;""),H175&lt;&gt;"",I175&lt;&gt;"",J175&lt;&gt;"No en catálogo",S175&lt;&gt;"",T175&lt;&gt;"",U175&lt;&gt;"",V175&lt;&gt;"",OR(AR175&lt;&gt;"",AND(W175&lt;&gt;"",X175&lt;&gt;"",AA175&lt;&gt;"",AB175&lt;&gt;"")),OR(AS175&lt;&gt;"",AND(AD175&lt;&gt;"",AE175&lt;&gt;"",AH175&lt;&gt;"",AI175&lt;&gt;"")),AK175&lt;&gt;"",OR(AK175&lt;&gt;"programado",AL175&lt;&gt;""),OR(AM175&lt;&gt;"específica",AN175&lt;&gt;""),OR(AO175&lt;&gt;"específica",AP175&lt;&gt;"")),"OK","Revisar"))</f>
        <v/>
      </c>
    </row>
    <row r="176" ht="15" customHeight="1" spans="1:46" x14ac:dyDescent="0.25">
      <c r="A176" s="15"/>
      <c r="B176" s="15"/>
      <c r="C176" s="15"/>
      <c r="D176" s="15"/>
      <c r="E176" s="15"/>
      <c r="F176" s="15"/>
      <c r="G176" s="15"/>
      <c r="H176" s="15"/>
      <c r="I176" s="15"/>
      <c r="J176" s="19">
        <f>IF(OR(H176="",I176=""),"",IFERROR(INDEX(Catalogo_Vehiculos!$C$2:$C$1325,MATCH(TRUE(),INDEX(Catalogo_Vehiculos!$G$2:$G$1325=H176&amp;"|"&amp;I176,0),0)),"No en catálogo"))</f>
      </c>
      <c r="K176" s="19">
        <f>IF(OR(H176="",I176=""),"",IFERROR(INDEX(Catalogo_Vehiculos!$D$2:$D$1325,MATCH(TRUE(),INDEX(Catalogo_Vehiculos!$G$2:$G$1325=H176&amp;"|"&amp;I176,0),0)),"No en catálogo"))</f>
      </c>
      <c r="L176" s="19">
        <f>IF(OR(H176="",I176=""),"",IFERROR(INDEX(Catalogo_Vehiculos!$E$2:$E$1325,MATCH(TRUE(),INDEX(Catalogo_Vehiculos!$G$2:$G$1325=H176&amp;"|"&amp;I176,0),0)),"No en catálogo"))</f>
      </c>
      <c r="M176" s="19">
        <f>IF(OR(H176="",I176=""),"",IFERROR(INDEX(Catalogo_Vehiculos!$F$2:$F$1325,MATCH(TRUE(),INDEX(Catalogo_Vehiculos!$G$2:$G$1325=H176&amp;"|"&amp;I176,0),0)),"No en catálogo"))</f>
      </c>
      <c r="N176" s="20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9"/>
      <c r="Z176" s="19"/>
      <c r="AA176" s="15"/>
      <c r="AB176" s="15"/>
      <c r="AC176" s="15"/>
      <c r="AD176" s="15"/>
      <c r="AE176" s="15"/>
      <c r="AF176" s="19"/>
      <c r="AG176" s="19"/>
      <c r="AH176" s="15"/>
      <c r="AI176" s="15"/>
      <c r="AJ176" s="15"/>
      <c r="AK176" s="15"/>
      <c r="AL176" s="21"/>
      <c r="AM176" s="15"/>
      <c r="AN176" s="15"/>
      <c r="AO176" s="15"/>
      <c r="AP176" s="15"/>
      <c r="AQ176" s="15"/>
      <c r="AR176" s="15"/>
      <c r="AS176" s="15"/>
      <c r="AT176" s="19" t="str">
        <f>IF(COUNTA(A176:I176)+COUNTA(N176:X176)+COUNTA(AA176:AE176)+COUNTA(AH176:AS176)=0,"",IF(AND(A176&lt;&gt;"",E176&lt;&gt;"",OR(F176&lt;&gt;"",G176&lt;&gt;""),H176&lt;&gt;"",I176&lt;&gt;"",J176&lt;&gt;"No en catálogo",S176&lt;&gt;"",T176&lt;&gt;"",U176&lt;&gt;"",V176&lt;&gt;"",OR(AR176&lt;&gt;"",AND(W176&lt;&gt;"",X176&lt;&gt;"",AA176&lt;&gt;"",AB176&lt;&gt;"")),OR(AS176&lt;&gt;"",AND(AD176&lt;&gt;"",AE176&lt;&gt;"",AH176&lt;&gt;"",AI176&lt;&gt;"")),AK176&lt;&gt;"",OR(AK176&lt;&gt;"programado",AL176&lt;&gt;""),OR(AM176&lt;&gt;"específica",AN176&lt;&gt;""),OR(AO176&lt;&gt;"específica",AP176&lt;&gt;"")),"OK","Revisar"))</f>
        <v/>
      </c>
    </row>
    <row r="177" ht="15" customHeight="1" spans="1:46" x14ac:dyDescent="0.25">
      <c r="A177" s="15"/>
      <c r="B177" s="15"/>
      <c r="C177" s="15"/>
      <c r="D177" s="15"/>
      <c r="E177" s="15"/>
      <c r="F177" s="15"/>
      <c r="G177" s="15"/>
      <c r="H177" s="15"/>
      <c r="I177" s="15"/>
      <c r="J177" s="19">
        <f>IF(OR(H177="",I177=""),"",IFERROR(INDEX(Catalogo_Vehiculos!$C$2:$C$1325,MATCH(TRUE(),INDEX(Catalogo_Vehiculos!$G$2:$G$1325=H177&amp;"|"&amp;I177,0),0)),"No en catálogo"))</f>
      </c>
      <c r="K177" s="19">
        <f>IF(OR(H177="",I177=""),"",IFERROR(INDEX(Catalogo_Vehiculos!$D$2:$D$1325,MATCH(TRUE(),INDEX(Catalogo_Vehiculos!$G$2:$G$1325=H177&amp;"|"&amp;I177,0),0)),"No en catálogo"))</f>
      </c>
      <c r="L177" s="19">
        <f>IF(OR(H177="",I177=""),"",IFERROR(INDEX(Catalogo_Vehiculos!$E$2:$E$1325,MATCH(TRUE(),INDEX(Catalogo_Vehiculos!$G$2:$G$1325=H177&amp;"|"&amp;I177,0),0)),"No en catálogo"))</f>
      </c>
      <c r="M177" s="19">
        <f>IF(OR(H177="",I177=""),"",IFERROR(INDEX(Catalogo_Vehiculos!$F$2:$F$1325,MATCH(TRUE(),INDEX(Catalogo_Vehiculos!$G$2:$G$1325=H177&amp;"|"&amp;I177,0),0)),"No en catálogo"))</f>
      </c>
      <c r="N177" s="20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9"/>
      <c r="Z177" s="19"/>
      <c r="AA177" s="15"/>
      <c r="AB177" s="15"/>
      <c r="AC177" s="15"/>
      <c r="AD177" s="15"/>
      <c r="AE177" s="15"/>
      <c r="AF177" s="19"/>
      <c r="AG177" s="19"/>
      <c r="AH177" s="15"/>
      <c r="AI177" s="15"/>
      <c r="AJ177" s="15"/>
      <c r="AK177" s="15"/>
      <c r="AL177" s="21"/>
      <c r="AM177" s="15"/>
      <c r="AN177" s="15"/>
      <c r="AO177" s="15"/>
      <c r="AP177" s="15"/>
      <c r="AQ177" s="15"/>
      <c r="AR177" s="15"/>
      <c r="AS177" s="15"/>
      <c r="AT177" s="19" t="str">
        <f>IF(COUNTA(A177:I177)+COUNTA(N177:X177)+COUNTA(AA177:AE177)+COUNTA(AH177:AS177)=0,"",IF(AND(A177&lt;&gt;"",E177&lt;&gt;"",OR(F177&lt;&gt;"",G177&lt;&gt;""),H177&lt;&gt;"",I177&lt;&gt;"",J177&lt;&gt;"No en catálogo",S177&lt;&gt;"",T177&lt;&gt;"",U177&lt;&gt;"",V177&lt;&gt;"",OR(AR177&lt;&gt;"",AND(W177&lt;&gt;"",X177&lt;&gt;"",AA177&lt;&gt;"",AB177&lt;&gt;"")),OR(AS177&lt;&gt;"",AND(AD177&lt;&gt;"",AE177&lt;&gt;"",AH177&lt;&gt;"",AI177&lt;&gt;"")),AK177&lt;&gt;"",OR(AK177&lt;&gt;"programado",AL177&lt;&gt;""),OR(AM177&lt;&gt;"específica",AN177&lt;&gt;""),OR(AO177&lt;&gt;"específica",AP177&lt;&gt;"")),"OK","Revisar"))</f>
        <v/>
      </c>
    </row>
    <row r="178" ht="15" customHeight="1" spans="1:46" x14ac:dyDescent="0.25">
      <c r="A178" s="15"/>
      <c r="B178" s="15"/>
      <c r="C178" s="15"/>
      <c r="D178" s="15"/>
      <c r="E178" s="15"/>
      <c r="F178" s="15"/>
      <c r="G178" s="15"/>
      <c r="H178" s="15"/>
      <c r="I178" s="15"/>
      <c r="J178" s="19">
        <f>IF(OR(H178="",I178=""),"",IFERROR(INDEX(Catalogo_Vehiculos!$C$2:$C$1325,MATCH(TRUE(),INDEX(Catalogo_Vehiculos!$G$2:$G$1325=H178&amp;"|"&amp;I178,0),0)),"No en catálogo"))</f>
      </c>
      <c r="K178" s="19">
        <f>IF(OR(H178="",I178=""),"",IFERROR(INDEX(Catalogo_Vehiculos!$D$2:$D$1325,MATCH(TRUE(),INDEX(Catalogo_Vehiculos!$G$2:$G$1325=H178&amp;"|"&amp;I178,0),0)),"No en catálogo"))</f>
      </c>
      <c r="L178" s="19">
        <f>IF(OR(H178="",I178=""),"",IFERROR(INDEX(Catalogo_Vehiculos!$E$2:$E$1325,MATCH(TRUE(),INDEX(Catalogo_Vehiculos!$G$2:$G$1325=H178&amp;"|"&amp;I178,0),0)),"No en catálogo"))</f>
      </c>
      <c r="M178" s="19">
        <f>IF(OR(H178="",I178=""),"",IFERROR(INDEX(Catalogo_Vehiculos!$F$2:$F$1325,MATCH(TRUE(),INDEX(Catalogo_Vehiculos!$G$2:$G$1325=H178&amp;"|"&amp;I178,0),0)),"No en catálogo"))</f>
      </c>
      <c r="N178" s="20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9"/>
      <c r="Z178" s="19"/>
      <c r="AA178" s="15"/>
      <c r="AB178" s="15"/>
      <c r="AC178" s="15"/>
      <c r="AD178" s="15"/>
      <c r="AE178" s="15"/>
      <c r="AF178" s="19"/>
      <c r="AG178" s="19"/>
      <c r="AH178" s="15"/>
      <c r="AI178" s="15"/>
      <c r="AJ178" s="15"/>
      <c r="AK178" s="15"/>
      <c r="AL178" s="21"/>
      <c r="AM178" s="15"/>
      <c r="AN178" s="15"/>
      <c r="AO178" s="15"/>
      <c r="AP178" s="15"/>
      <c r="AQ178" s="15"/>
      <c r="AR178" s="15"/>
      <c r="AS178" s="15"/>
      <c r="AT178" s="19" t="str">
        <f>IF(COUNTA(A178:I178)+COUNTA(N178:X178)+COUNTA(AA178:AE178)+COUNTA(AH178:AS178)=0,"",IF(AND(A178&lt;&gt;"",E178&lt;&gt;"",OR(F178&lt;&gt;"",G178&lt;&gt;""),H178&lt;&gt;"",I178&lt;&gt;"",J178&lt;&gt;"No en catálogo",S178&lt;&gt;"",T178&lt;&gt;"",U178&lt;&gt;"",V178&lt;&gt;"",OR(AR178&lt;&gt;"",AND(W178&lt;&gt;"",X178&lt;&gt;"",AA178&lt;&gt;"",AB178&lt;&gt;"")),OR(AS178&lt;&gt;"",AND(AD178&lt;&gt;"",AE178&lt;&gt;"",AH178&lt;&gt;"",AI178&lt;&gt;"")),AK178&lt;&gt;"",OR(AK178&lt;&gt;"programado",AL178&lt;&gt;""),OR(AM178&lt;&gt;"específica",AN178&lt;&gt;""),OR(AO178&lt;&gt;"específica",AP178&lt;&gt;"")),"OK","Revisar"))</f>
        <v/>
      </c>
    </row>
    <row r="179" ht="15" customHeight="1" spans="1:46" x14ac:dyDescent="0.25">
      <c r="A179" s="15"/>
      <c r="B179" s="15"/>
      <c r="C179" s="15"/>
      <c r="D179" s="15"/>
      <c r="E179" s="15"/>
      <c r="F179" s="15"/>
      <c r="G179" s="15"/>
      <c r="H179" s="15"/>
      <c r="I179" s="15"/>
      <c r="J179" s="19">
        <f>IF(OR(H179="",I179=""),"",IFERROR(INDEX(Catalogo_Vehiculos!$C$2:$C$1325,MATCH(TRUE(),INDEX(Catalogo_Vehiculos!$G$2:$G$1325=H179&amp;"|"&amp;I179,0),0)),"No en catálogo"))</f>
      </c>
      <c r="K179" s="19">
        <f>IF(OR(H179="",I179=""),"",IFERROR(INDEX(Catalogo_Vehiculos!$D$2:$D$1325,MATCH(TRUE(),INDEX(Catalogo_Vehiculos!$G$2:$G$1325=H179&amp;"|"&amp;I179,0),0)),"No en catálogo"))</f>
      </c>
      <c r="L179" s="19">
        <f>IF(OR(H179="",I179=""),"",IFERROR(INDEX(Catalogo_Vehiculos!$E$2:$E$1325,MATCH(TRUE(),INDEX(Catalogo_Vehiculos!$G$2:$G$1325=H179&amp;"|"&amp;I179,0),0)),"No en catálogo"))</f>
      </c>
      <c r="M179" s="19">
        <f>IF(OR(H179="",I179=""),"",IFERROR(INDEX(Catalogo_Vehiculos!$F$2:$F$1325,MATCH(TRUE(),INDEX(Catalogo_Vehiculos!$G$2:$G$1325=H179&amp;"|"&amp;I179,0),0)),"No en catálogo"))</f>
      </c>
      <c r="N179" s="20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9"/>
      <c r="Z179" s="19"/>
      <c r="AA179" s="15"/>
      <c r="AB179" s="15"/>
      <c r="AC179" s="15"/>
      <c r="AD179" s="15"/>
      <c r="AE179" s="15"/>
      <c r="AF179" s="19"/>
      <c r="AG179" s="19"/>
      <c r="AH179" s="15"/>
      <c r="AI179" s="15"/>
      <c r="AJ179" s="15"/>
      <c r="AK179" s="15"/>
      <c r="AL179" s="21"/>
      <c r="AM179" s="15"/>
      <c r="AN179" s="15"/>
      <c r="AO179" s="15"/>
      <c r="AP179" s="15"/>
      <c r="AQ179" s="15"/>
      <c r="AR179" s="15"/>
      <c r="AS179" s="15"/>
      <c r="AT179" s="19" t="str">
        <f>IF(COUNTA(A179:I179)+COUNTA(N179:X179)+COUNTA(AA179:AE179)+COUNTA(AH179:AS179)=0,"",IF(AND(A179&lt;&gt;"",E179&lt;&gt;"",OR(F179&lt;&gt;"",G179&lt;&gt;""),H179&lt;&gt;"",I179&lt;&gt;"",J179&lt;&gt;"No en catálogo",S179&lt;&gt;"",T179&lt;&gt;"",U179&lt;&gt;"",V179&lt;&gt;"",OR(AR179&lt;&gt;"",AND(W179&lt;&gt;"",X179&lt;&gt;"",AA179&lt;&gt;"",AB179&lt;&gt;"")),OR(AS179&lt;&gt;"",AND(AD179&lt;&gt;"",AE179&lt;&gt;"",AH179&lt;&gt;"",AI179&lt;&gt;"")),AK179&lt;&gt;"",OR(AK179&lt;&gt;"programado",AL179&lt;&gt;""),OR(AM179&lt;&gt;"específica",AN179&lt;&gt;""),OR(AO179&lt;&gt;"específica",AP179&lt;&gt;"")),"OK","Revisar"))</f>
        <v/>
      </c>
    </row>
    <row r="180" ht="15" customHeight="1" spans="1:46" x14ac:dyDescent="0.25">
      <c r="A180" s="15"/>
      <c r="B180" s="15"/>
      <c r="C180" s="15"/>
      <c r="D180" s="15"/>
      <c r="E180" s="15"/>
      <c r="F180" s="15"/>
      <c r="G180" s="15"/>
      <c r="H180" s="15"/>
      <c r="I180" s="15"/>
      <c r="J180" s="19">
        <f>IF(OR(H180="",I180=""),"",IFERROR(INDEX(Catalogo_Vehiculos!$C$2:$C$1325,MATCH(TRUE(),INDEX(Catalogo_Vehiculos!$G$2:$G$1325=H180&amp;"|"&amp;I180,0),0)),"No en catálogo"))</f>
      </c>
      <c r="K180" s="19">
        <f>IF(OR(H180="",I180=""),"",IFERROR(INDEX(Catalogo_Vehiculos!$D$2:$D$1325,MATCH(TRUE(),INDEX(Catalogo_Vehiculos!$G$2:$G$1325=H180&amp;"|"&amp;I180,0),0)),"No en catálogo"))</f>
      </c>
      <c r="L180" s="19">
        <f>IF(OR(H180="",I180=""),"",IFERROR(INDEX(Catalogo_Vehiculos!$E$2:$E$1325,MATCH(TRUE(),INDEX(Catalogo_Vehiculos!$G$2:$G$1325=H180&amp;"|"&amp;I180,0),0)),"No en catálogo"))</f>
      </c>
      <c r="M180" s="19">
        <f>IF(OR(H180="",I180=""),"",IFERROR(INDEX(Catalogo_Vehiculos!$F$2:$F$1325,MATCH(TRUE(),INDEX(Catalogo_Vehiculos!$G$2:$G$1325=H180&amp;"|"&amp;I180,0),0)),"No en catálogo"))</f>
      </c>
      <c r="N180" s="20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9"/>
      <c r="Z180" s="19"/>
      <c r="AA180" s="15"/>
      <c r="AB180" s="15"/>
      <c r="AC180" s="15"/>
      <c r="AD180" s="15"/>
      <c r="AE180" s="15"/>
      <c r="AF180" s="19"/>
      <c r="AG180" s="19"/>
      <c r="AH180" s="15"/>
      <c r="AI180" s="15"/>
      <c r="AJ180" s="15"/>
      <c r="AK180" s="15"/>
      <c r="AL180" s="21"/>
      <c r="AM180" s="15"/>
      <c r="AN180" s="15"/>
      <c r="AO180" s="15"/>
      <c r="AP180" s="15"/>
      <c r="AQ180" s="15"/>
      <c r="AR180" s="15"/>
      <c r="AS180" s="15"/>
      <c r="AT180" s="19" t="str">
        <f>IF(COUNTA(A180:I180)+COUNTA(N180:X180)+COUNTA(AA180:AE180)+COUNTA(AH180:AS180)=0,"",IF(AND(A180&lt;&gt;"",E180&lt;&gt;"",OR(F180&lt;&gt;"",G180&lt;&gt;""),H180&lt;&gt;"",I180&lt;&gt;"",J180&lt;&gt;"No en catálogo",S180&lt;&gt;"",T180&lt;&gt;"",U180&lt;&gt;"",V180&lt;&gt;"",OR(AR180&lt;&gt;"",AND(W180&lt;&gt;"",X180&lt;&gt;"",AA180&lt;&gt;"",AB180&lt;&gt;"")),OR(AS180&lt;&gt;"",AND(AD180&lt;&gt;"",AE180&lt;&gt;"",AH180&lt;&gt;"",AI180&lt;&gt;"")),AK180&lt;&gt;"",OR(AK180&lt;&gt;"programado",AL180&lt;&gt;""),OR(AM180&lt;&gt;"específica",AN180&lt;&gt;""),OR(AO180&lt;&gt;"específica",AP180&lt;&gt;"")),"OK","Revisar"))</f>
        <v/>
      </c>
    </row>
    <row r="181" ht="15" customHeight="1" spans="1:46" x14ac:dyDescent="0.25">
      <c r="A181" s="15"/>
      <c r="B181" s="15"/>
      <c r="C181" s="15"/>
      <c r="D181" s="15"/>
      <c r="E181" s="15"/>
      <c r="F181" s="15"/>
      <c r="G181" s="15"/>
      <c r="H181" s="15"/>
      <c r="I181" s="15"/>
      <c r="J181" s="19">
        <f>IF(OR(H181="",I181=""),"",IFERROR(INDEX(Catalogo_Vehiculos!$C$2:$C$1325,MATCH(TRUE(),INDEX(Catalogo_Vehiculos!$G$2:$G$1325=H181&amp;"|"&amp;I181,0),0)),"No en catálogo"))</f>
      </c>
      <c r="K181" s="19">
        <f>IF(OR(H181="",I181=""),"",IFERROR(INDEX(Catalogo_Vehiculos!$D$2:$D$1325,MATCH(TRUE(),INDEX(Catalogo_Vehiculos!$G$2:$G$1325=H181&amp;"|"&amp;I181,0),0)),"No en catálogo"))</f>
      </c>
      <c r="L181" s="19">
        <f>IF(OR(H181="",I181=""),"",IFERROR(INDEX(Catalogo_Vehiculos!$E$2:$E$1325,MATCH(TRUE(),INDEX(Catalogo_Vehiculos!$G$2:$G$1325=H181&amp;"|"&amp;I181,0),0)),"No en catálogo"))</f>
      </c>
      <c r="M181" s="19">
        <f>IF(OR(H181="",I181=""),"",IFERROR(INDEX(Catalogo_Vehiculos!$F$2:$F$1325,MATCH(TRUE(),INDEX(Catalogo_Vehiculos!$G$2:$G$1325=H181&amp;"|"&amp;I181,0),0)),"No en catálogo"))</f>
      </c>
      <c r="N181" s="20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9"/>
      <c r="Z181" s="19"/>
      <c r="AA181" s="15"/>
      <c r="AB181" s="15"/>
      <c r="AC181" s="15"/>
      <c r="AD181" s="15"/>
      <c r="AE181" s="15"/>
      <c r="AF181" s="19"/>
      <c r="AG181" s="19"/>
      <c r="AH181" s="15"/>
      <c r="AI181" s="15"/>
      <c r="AJ181" s="15"/>
      <c r="AK181" s="15"/>
      <c r="AL181" s="21"/>
      <c r="AM181" s="15"/>
      <c r="AN181" s="15"/>
      <c r="AO181" s="15"/>
      <c r="AP181" s="15"/>
      <c r="AQ181" s="15"/>
      <c r="AR181" s="15"/>
      <c r="AS181" s="15"/>
      <c r="AT181" s="19" t="str">
        <f>IF(COUNTA(A181:I181)+COUNTA(N181:X181)+COUNTA(AA181:AE181)+COUNTA(AH181:AS181)=0,"",IF(AND(A181&lt;&gt;"",E181&lt;&gt;"",OR(F181&lt;&gt;"",G181&lt;&gt;""),H181&lt;&gt;"",I181&lt;&gt;"",J181&lt;&gt;"No en catálogo",S181&lt;&gt;"",T181&lt;&gt;"",U181&lt;&gt;"",V181&lt;&gt;"",OR(AR181&lt;&gt;"",AND(W181&lt;&gt;"",X181&lt;&gt;"",AA181&lt;&gt;"",AB181&lt;&gt;"")),OR(AS181&lt;&gt;"",AND(AD181&lt;&gt;"",AE181&lt;&gt;"",AH181&lt;&gt;"",AI181&lt;&gt;"")),AK181&lt;&gt;"",OR(AK181&lt;&gt;"programado",AL181&lt;&gt;""),OR(AM181&lt;&gt;"específica",AN181&lt;&gt;""),OR(AO181&lt;&gt;"específica",AP181&lt;&gt;"")),"OK","Revisar"))</f>
        <v/>
      </c>
    </row>
    <row r="182" ht="15" customHeight="1" spans="1:46" x14ac:dyDescent="0.25">
      <c r="A182" s="15"/>
      <c r="B182" s="15"/>
      <c r="C182" s="15"/>
      <c r="D182" s="15"/>
      <c r="E182" s="15"/>
      <c r="F182" s="15"/>
      <c r="G182" s="15"/>
      <c r="H182" s="15"/>
      <c r="I182" s="15"/>
      <c r="J182" s="19">
        <f>IF(OR(H182="",I182=""),"",IFERROR(INDEX(Catalogo_Vehiculos!$C$2:$C$1325,MATCH(TRUE(),INDEX(Catalogo_Vehiculos!$G$2:$G$1325=H182&amp;"|"&amp;I182,0),0)),"No en catálogo"))</f>
      </c>
      <c r="K182" s="19">
        <f>IF(OR(H182="",I182=""),"",IFERROR(INDEX(Catalogo_Vehiculos!$D$2:$D$1325,MATCH(TRUE(),INDEX(Catalogo_Vehiculos!$G$2:$G$1325=H182&amp;"|"&amp;I182,0),0)),"No en catálogo"))</f>
      </c>
      <c r="L182" s="19">
        <f>IF(OR(H182="",I182=""),"",IFERROR(INDEX(Catalogo_Vehiculos!$E$2:$E$1325,MATCH(TRUE(),INDEX(Catalogo_Vehiculos!$G$2:$G$1325=H182&amp;"|"&amp;I182,0),0)),"No en catálogo"))</f>
      </c>
      <c r="M182" s="19">
        <f>IF(OR(H182="",I182=""),"",IFERROR(INDEX(Catalogo_Vehiculos!$F$2:$F$1325,MATCH(TRUE(),INDEX(Catalogo_Vehiculos!$G$2:$G$1325=H182&amp;"|"&amp;I182,0),0)),"No en catálogo"))</f>
      </c>
      <c r="N182" s="20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9"/>
      <c r="Z182" s="19"/>
      <c r="AA182" s="15"/>
      <c r="AB182" s="15"/>
      <c r="AC182" s="15"/>
      <c r="AD182" s="15"/>
      <c r="AE182" s="15"/>
      <c r="AF182" s="19"/>
      <c r="AG182" s="19"/>
      <c r="AH182" s="15"/>
      <c r="AI182" s="15"/>
      <c r="AJ182" s="15"/>
      <c r="AK182" s="15"/>
      <c r="AL182" s="21"/>
      <c r="AM182" s="15"/>
      <c r="AN182" s="15"/>
      <c r="AO182" s="15"/>
      <c r="AP182" s="15"/>
      <c r="AQ182" s="15"/>
      <c r="AR182" s="15"/>
      <c r="AS182" s="15"/>
      <c r="AT182" s="19" t="str">
        <f>IF(COUNTA(A182:I182)+COUNTA(N182:X182)+COUNTA(AA182:AE182)+COUNTA(AH182:AS182)=0,"",IF(AND(A182&lt;&gt;"",E182&lt;&gt;"",OR(F182&lt;&gt;"",G182&lt;&gt;""),H182&lt;&gt;"",I182&lt;&gt;"",J182&lt;&gt;"No en catálogo",S182&lt;&gt;"",T182&lt;&gt;"",U182&lt;&gt;"",V182&lt;&gt;"",OR(AR182&lt;&gt;"",AND(W182&lt;&gt;"",X182&lt;&gt;"",AA182&lt;&gt;"",AB182&lt;&gt;"")),OR(AS182&lt;&gt;"",AND(AD182&lt;&gt;"",AE182&lt;&gt;"",AH182&lt;&gt;"",AI182&lt;&gt;"")),AK182&lt;&gt;"",OR(AK182&lt;&gt;"programado",AL182&lt;&gt;""),OR(AM182&lt;&gt;"específica",AN182&lt;&gt;""),OR(AO182&lt;&gt;"específica",AP182&lt;&gt;"")),"OK","Revisar"))</f>
        <v/>
      </c>
    </row>
    <row r="183" ht="15" customHeight="1" spans="1:46" x14ac:dyDescent="0.25">
      <c r="A183" s="15"/>
      <c r="B183" s="15"/>
      <c r="C183" s="15"/>
      <c r="D183" s="15"/>
      <c r="E183" s="15"/>
      <c r="F183" s="15"/>
      <c r="G183" s="15"/>
      <c r="H183" s="15"/>
      <c r="I183" s="15"/>
      <c r="J183" s="19">
        <f>IF(OR(H183="",I183=""),"",IFERROR(INDEX(Catalogo_Vehiculos!$C$2:$C$1325,MATCH(TRUE(),INDEX(Catalogo_Vehiculos!$G$2:$G$1325=H183&amp;"|"&amp;I183,0),0)),"No en catálogo"))</f>
      </c>
      <c r="K183" s="19">
        <f>IF(OR(H183="",I183=""),"",IFERROR(INDEX(Catalogo_Vehiculos!$D$2:$D$1325,MATCH(TRUE(),INDEX(Catalogo_Vehiculos!$G$2:$G$1325=H183&amp;"|"&amp;I183,0),0)),"No en catálogo"))</f>
      </c>
      <c r="L183" s="19">
        <f>IF(OR(H183="",I183=""),"",IFERROR(INDEX(Catalogo_Vehiculos!$E$2:$E$1325,MATCH(TRUE(),INDEX(Catalogo_Vehiculos!$G$2:$G$1325=H183&amp;"|"&amp;I183,0),0)),"No en catálogo"))</f>
      </c>
      <c r="M183" s="19">
        <f>IF(OR(H183="",I183=""),"",IFERROR(INDEX(Catalogo_Vehiculos!$F$2:$F$1325,MATCH(TRUE(),INDEX(Catalogo_Vehiculos!$G$2:$G$1325=H183&amp;"|"&amp;I183,0),0)),"No en catálogo"))</f>
      </c>
      <c r="N183" s="20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9"/>
      <c r="Z183" s="19"/>
      <c r="AA183" s="15"/>
      <c r="AB183" s="15"/>
      <c r="AC183" s="15"/>
      <c r="AD183" s="15"/>
      <c r="AE183" s="15"/>
      <c r="AF183" s="19"/>
      <c r="AG183" s="19"/>
      <c r="AH183" s="15"/>
      <c r="AI183" s="15"/>
      <c r="AJ183" s="15"/>
      <c r="AK183" s="15"/>
      <c r="AL183" s="21"/>
      <c r="AM183" s="15"/>
      <c r="AN183" s="15"/>
      <c r="AO183" s="15"/>
      <c r="AP183" s="15"/>
      <c r="AQ183" s="15"/>
      <c r="AR183" s="15"/>
      <c r="AS183" s="15"/>
      <c r="AT183" s="19" t="str">
        <f>IF(COUNTA(A183:I183)+COUNTA(N183:X183)+COUNTA(AA183:AE183)+COUNTA(AH183:AS183)=0,"",IF(AND(A183&lt;&gt;"",E183&lt;&gt;"",OR(F183&lt;&gt;"",G183&lt;&gt;""),H183&lt;&gt;"",I183&lt;&gt;"",J183&lt;&gt;"No en catálogo",S183&lt;&gt;"",T183&lt;&gt;"",U183&lt;&gt;"",V183&lt;&gt;"",OR(AR183&lt;&gt;"",AND(W183&lt;&gt;"",X183&lt;&gt;"",AA183&lt;&gt;"",AB183&lt;&gt;"")),OR(AS183&lt;&gt;"",AND(AD183&lt;&gt;"",AE183&lt;&gt;"",AH183&lt;&gt;"",AI183&lt;&gt;"")),AK183&lt;&gt;"",OR(AK183&lt;&gt;"programado",AL183&lt;&gt;""),OR(AM183&lt;&gt;"específica",AN183&lt;&gt;""),OR(AO183&lt;&gt;"específica",AP183&lt;&gt;"")),"OK","Revisar"))</f>
        <v/>
      </c>
    </row>
    <row r="184" ht="15" customHeight="1" spans="1:46" x14ac:dyDescent="0.25">
      <c r="A184" s="15"/>
      <c r="B184" s="15"/>
      <c r="C184" s="15"/>
      <c r="D184" s="15"/>
      <c r="E184" s="15"/>
      <c r="F184" s="15"/>
      <c r="G184" s="15"/>
      <c r="H184" s="15"/>
      <c r="I184" s="15"/>
      <c r="J184" s="19">
        <f>IF(OR(H184="",I184=""),"",IFERROR(INDEX(Catalogo_Vehiculos!$C$2:$C$1325,MATCH(TRUE(),INDEX(Catalogo_Vehiculos!$G$2:$G$1325=H184&amp;"|"&amp;I184,0),0)),"No en catálogo"))</f>
      </c>
      <c r="K184" s="19">
        <f>IF(OR(H184="",I184=""),"",IFERROR(INDEX(Catalogo_Vehiculos!$D$2:$D$1325,MATCH(TRUE(),INDEX(Catalogo_Vehiculos!$G$2:$G$1325=H184&amp;"|"&amp;I184,0),0)),"No en catálogo"))</f>
      </c>
      <c r="L184" s="19">
        <f>IF(OR(H184="",I184=""),"",IFERROR(INDEX(Catalogo_Vehiculos!$E$2:$E$1325,MATCH(TRUE(),INDEX(Catalogo_Vehiculos!$G$2:$G$1325=H184&amp;"|"&amp;I184,0),0)),"No en catálogo"))</f>
      </c>
      <c r="M184" s="19">
        <f>IF(OR(H184="",I184=""),"",IFERROR(INDEX(Catalogo_Vehiculos!$F$2:$F$1325,MATCH(TRUE(),INDEX(Catalogo_Vehiculos!$G$2:$G$1325=H184&amp;"|"&amp;I184,0),0)),"No en catálogo"))</f>
      </c>
      <c r="N184" s="20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9"/>
      <c r="Z184" s="19"/>
      <c r="AA184" s="15"/>
      <c r="AB184" s="15"/>
      <c r="AC184" s="15"/>
      <c r="AD184" s="15"/>
      <c r="AE184" s="15"/>
      <c r="AF184" s="19"/>
      <c r="AG184" s="19"/>
      <c r="AH184" s="15"/>
      <c r="AI184" s="15"/>
      <c r="AJ184" s="15"/>
      <c r="AK184" s="15"/>
      <c r="AL184" s="21"/>
      <c r="AM184" s="15"/>
      <c r="AN184" s="15"/>
      <c r="AO184" s="15"/>
      <c r="AP184" s="15"/>
      <c r="AQ184" s="15"/>
      <c r="AR184" s="15"/>
      <c r="AS184" s="15"/>
      <c r="AT184" s="19" t="str">
        <f>IF(COUNTA(A184:I184)+COUNTA(N184:X184)+COUNTA(AA184:AE184)+COUNTA(AH184:AS184)=0,"",IF(AND(A184&lt;&gt;"",E184&lt;&gt;"",OR(F184&lt;&gt;"",G184&lt;&gt;""),H184&lt;&gt;"",I184&lt;&gt;"",J184&lt;&gt;"No en catálogo",S184&lt;&gt;"",T184&lt;&gt;"",U184&lt;&gt;"",V184&lt;&gt;"",OR(AR184&lt;&gt;"",AND(W184&lt;&gt;"",X184&lt;&gt;"",AA184&lt;&gt;"",AB184&lt;&gt;"")),OR(AS184&lt;&gt;"",AND(AD184&lt;&gt;"",AE184&lt;&gt;"",AH184&lt;&gt;"",AI184&lt;&gt;"")),AK184&lt;&gt;"",OR(AK184&lt;&gt;"programado",AL184&lt;&gt;""),OR(AM184&lt;&gt;"específica",AN184&lt;&gt;""),OR(AO184&lt;&gt;"específica",AP184&lt;&gt;"")),"OK","Revisar"))</f>
        <v/>
      </c>
    </row>
    <row r="185" ht="15" customHeight="1" spans="1:46" x14ac:dyDescent="0.25">
      <c r="A185" s="15"/>
      <c r="B185" s="15"/>
      <c r="C185" s="15"/>
      <c r="D185" s="15"/>
      <c r="E185" s="15"/>
      <c r="F185" s="15"/>
      <c r="G185" s="15"/>
      <c r="H185" s="15"/>
      <c r="I185" s="15"/>
      <c r="J185" s="19">
        <f>IF(OR(H185="",I185=""),"",IFERROR(INDEX(Catalogo_Vehiculos!$C$2:$C$1325,MATCH(TRUE(),INDEX(Catalogo_Vehiculos!$G$2:$G$1325=H185&amp;"|"&amp;I185,0),0)),"No en catálogo"))</f>
      </c>
      <c r="K185" s="19">
        <f>IF(OR(H185="",I185=""),"",IFERROR(INDEX(Catalogo_Vehiculos!$D$2:$D$1325,MATCH(TRUE(),INDEX(Catalogo_Vehiculos!$G$2:$G$1325=H185&amp;"|"&amp;I185,0),0)),"No en catálogo"))</f>
      </c>
      <c r="L185" s="19">
        <f>IF(OR(H185="",I185=""),"",IFERROR(INDEX(Catalogo_Vehiculos!$E$2:$E$1325,MATCH(TRUE(),INDEX(Catalogo_Vehiculos!$G$2:$G$1325=H185&amp;"|"&amp;I185,0),0)),"No en catálogo"))</f>
      </c>
      <c r="M185" s="19">
        <f>IF(OR(H185="",I185=""),"",IFERROR(INDEX(Catalogo_Vehiculos!$F$2:$F$1325,MATCH(TRUE(),INDEX(Catalogo_Vehiculos!$G$2:$G$1325=H185&amp;"|"&amp;I185,0),0)),"No en catálogo"))</f>
      </c>
      <c r="N185" s="20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9"/>
      <c r="Z185" s="19"/>
      <c r="AA185" s="15"/>
      <c r="AB185" s="15"/>
      <c r="AC185" s="15"/>
      <c r="AD185" s="15"/>
      <c r="AE185" s="15"/>
      <c r="AF185" s="19"/>
      <c r="AG185" s="19"/>
      <c r="AH185" s="15"/>
      <c r="AI185" s="15"/>
      <c r="AJ185" s="15"/>
      <c r="AK185" s="15"/>
      <c r="AL185" s="21"/>
      <c r="AM185" s="15"/>
      <c r="AN185" s="15"/>
      <c r="AO185" s="15"/>
      <c r="AP185" s="15"/>
      <c r="AQ185" s="15"/>
      <c r="AR185" s="15"/>
      <c r="AS185" s="15"/>
      <c r="AT185" s="19" t="str">
        <f>IF(COUNTA(A185:I185)+COUNTA(N185:X185)+COUNTA(AA185:AE185)+COUNTA(AH185:AS185)=0,"",IF(AND(A185&lt;&gt;"",E185&lt;&gt;"",OR(F185&lt;&gt;"",G185&lt;&gt;""),H185&lt;&gt;"",I185&lt;&gt;"",J185&lt;&gt;"No en catálogo",S185&lt;&gt;"",T185&lt;&gt;"",U185&lt;&gt;"",V185&lt;&gt;"",OR(AR185&lt;&gt;"",AND(W185&lt;&gt;"",X185&lt;&gt;"",AA185&lt;&gt;"",AB185&lt;&gt;"")),OR(AS185&lt;&gt;"",AND(AD185&lt;&gt;"",AE185&lt;&gt;"",AH185&lt;&gt;"",AI185&lt;&gt;"")),AK185&lt;&gt;"",OR(AK185&lt;&gt;"programado",AL185&lt;&gt;""),OR(AM185&lt;&gt;"específica",AN185&lt;&gt;""),OR(AO185&lt;&gt;"específica",AP185&lt;&gt;"")),"OK","Revisar"))</f>
        <v/>
      </c>
    </row>
    <row r="186" ht="15" customHeight="1" spans="1:46" x14ac:dyDescent="0.25">
      <c r="A186" s="15"/>
      <c r="B186" s="15"/>
      <c r="C186" s="15"/>
      <c r="D186" s="15"/>
      <c r="E186" s="15"/>
      <c r="F186" s="15"/>
      <c r="G186" s="15"/>
      <c r="H186" s="15"/>
      <c r="I186" s="15"/>
      <c r="J186" s="19">
        <f>IF(OR(H186="",I186=""),"",IFERROR(INDEX(Catalogo_Vehiculos!$C$2:$C$1325,MATCH(TRUE(),INDEX(Catalogo_Vehiculos!$G$2:$G$1325=H186&amp;"|"&amp;I186,0),0)),"No en catálogo"))</f>
      </c>
      <c r="K186" s="19">
        <f>IF(OR(H186="",I186=""),"",IFERROR(INDEX(Catalogo_Vehiculos!$D$2:$D$1325,MATCH(TRUE(),INDEX(Catalogo_Vehiculos!$G$2:$G$1325=H186&amp;"|"&amp;I186,0),0)),"No en catálogo"))</f>
      </c>
      <c r="L186" s="19">
        <f>IF(OR(H186="",I186=""),"",IFERROR(INDEX(Catalogo_Vehiculos!$E$2:$E$1325,MATCH(TRUE(),INDEX(Catalogo_Vehiculos!$G$2:$G$1325=H186&amp;"|"&amp;I186,0),0)),"No en catálogo"))</f>
      </c>
      <c r="M186" s="19">
        <f>IF(OR(H186="",I186=""),"",IFERROR(INDEX(Catalogo_Vehiculos!$F$2:$F$1325,MATCH(TRUE(),INDEX(Catalogo_Vehiculos!$G$2:$G$1325=H186&amp;"|"&amp;I186,0),0)),"No en catálogo"))</f>
      </c>
      <c r="N186" s="20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9"/>
      <c r="Z186" s="19"/>
      <c r="AA186" s="15"/>
      <c r="AB186" s="15"/>
      <c r="AC186" s="15"/>
      <c r="AD186" s="15"/>
      <c r="AE186" s="15"/>
      <c r="AF186" s="19"/>
      <c r="AG186" s="19"/>
      <c r="AH186" s="15"/>
      <c r="AI186" s="15"/>
      <c r="AJ186" s="15"/>
      <c r="AK186" s="15"/>
      <c r="AL186" s="21"/>
      <c r="AM186" s="15"/>
      <c r="AN186" s="15"/>
      <c r="AO186" s="15"/>
      <c r="AP186" s="15"/>
      <c r="AQ186" s="15"/>
      <c r="AR186" s="15"/>
      <c r="AS186" s="15"/>
      <c r="AT186" s="19" t="str">
        <f>IF(COUNTA(A186:I186)+COUNTA(N186:X186)+COUNTA(AA186:AE186)+COUNTA(AH186:AS186)=0,"",IF(AND(A186&lt;&gt;"",E186&lt;&gt;"",OR(F186&lt;&gt;"",G186&lt;&gt;""),H186&lt;&gt;"",I186&lt;&gt;"",J186&lt;&gt;"No en catálogo",S186&lt;&gt;"",T186&lt;&gt;"",U186&lt;&gt;"",V186&lt;&gt;"",OR(AR186&lt;&gt;"",AND(W186&lt;&gt;"",X186&lt;&gt;"",AA186&lt;&gt;"",AB186&lt;&gt;"")),OR(AS186&lt;&gt;"",AND(AD186&lt;&gt;"",AE186&lt;&gt;"",AH186&lt;&gt;"",AI186&lt;&gt;"")),AK186&lt;&gt;"",OR(AK186&lt;&gt;"programado",AL186&lt;&gt;""),OR(AM186&lt;&gt;"específica",AN186&lt;&gt;""),OR(AO186&lt;&gt;"específica",AP186&lt;&gt;"")),"OK","Revisar"))</f>
        <v/>
      </c>
    </row>
    <row r="187" ht="15" customHeight="1" spans="1:46" x14ac:dyDescent="0.25">
      <c r="A187" s="15"/>
      <c r="B187" s="15"/>
      <c r="C187" s="15"/>
      <c r="D187" s="15"/>
      <c r="E187" s="15"/>
      <c r="F187" s="15"/>
      <c r="G187" s="15"/>
      <c r="H187" s="15"/>
      <c r="I187" s="15"/>
      <c r="J187" s="19">
        <f>IF(OR(H187="",I187=""),"",IFERROR(INDEX(Catalogo_Vehiculos!$C$2:$C$1325,MATCH(TRUE(),INDEX(Catalogo_Vehiculos!$G$2:$G$1325=H187&amp;"|"&amp;I187,0),0)),"No en catálogo"))</f>
      </c>
      <c r="K187" s="19">
        <f>IF(OR(H187="",I187=""),"",IFERROR(INDEX(Catalogo_Vehiculos!$D$2:$D$1325,MATCH(TRUE(),INDEX(Catalogo_Vehiculos!$G$2:$G$1325=H187&amp;"|"&amp;I187,0),0)),"No en catálogo"))</f>
      </c>
      <c r="L187" s="19">
        <f>IF(OR(H187="",I187=""),"",IFERROR(INDEX(Catalogo_Vehiculos!$E$2:$E$1325,MATCH(TRUE(),INDEX(Catalogo_Vehiculos!$G$2:$G$1325=H187&amp;"|"&amp;I187,0),0)),"No en catálogo"))</f>
      </c>
      <c r="M187" s="19">
        <f>IF(OR(H187="",I187=""),"",IFERROR(INDEX(Catalogo_Vehiculos!$F$2:$F$1325,MATCH(TRUE(),INDEX(Catalogo_Vehiculos!$G$2:$G$1325=H187&amp;"|"&amp;I187,0),0)),"No en catálogo"))</f>
      </c>
      <c r="N187" s="20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9"/>
      <c r="Z187" s="19"/>
      <c r="AA187" s="15"/>
      <c r="AB187" s="15"/>
      <c r="AC187" s="15"/>
      <c r="AD187" s="15"/>
      <c r="AE187" s="15"/>
      <c r="AF187" s="19"/>
      <c r="AG187" s="19"/>
      <c r="AH187" s="15"/>
      <c r="AI187" s="15"/>
      <c r="AJ187" s="15"/>
      <c r="AK187" s="15"/>
      <c r="AL187" s="21"/>
      <c r="AM187" s="15"/>
      <c r="AN187" s="15"/>
      <c r="AO187" s="15"/>
      <c r="AP187" s="15"/>
      <c r="AQ187" s="15"/>
      <c r="AR187" s="15"/>
      <c r="AS187" s="15"/>
      <c r="AT187" s="19" t="str">
        <f>IF(COUNTA(A187:I187)+COUNTA(N187:X187)+COUNTA(AA187:AE187)+COUNTA(AH187:AS187)=0,"",IF(AND(A187&lt;&gt;"",E187&lt;&gt;"",OR(F187&lt;&gt;"",G187&lt;&gt;""),H187&lt;&gt;"",I187&lt;&gt;"",J187&lt;&gt;"No en catálogo",S187&lt;&gt;"",T187&lt;&gt;"",U187&lt;&gt;"",V187&lt;&gt;"",OR(AR187&lt;&gt;"",AND(W187&lt;&gt;"",X187&lt;&gt;"",AA187&lt;&gt;"",AB187&lt;&gt;"")),OR(AS187&lt;&gt;"",AND(AD187&lt;&gt;"",AE187&lt;&gt;"",AH187&lt;&gt;"",AI187&lt;&gt;"")),AK187&lt;&gt;"",OR(AK187&lt;&gt;"programado",AL187&lt;&gt;""),OR(AM187&lt;&gt;"específica",AN187&lt;&gt;""),OR(AO187&lt;&gt;"específica",AP187&lt;&gt;"")),"OK","Revisar"))</f>
        <v/>
      </c>
    </row>
    <row r="188" ht="15" customHeight="1" spans="1:46" x14ac:dyDescent="0.25">
      <c r="A188" s="15"/>
      <c r="B188" s="15"/>
      <c r="C188" s="15"/>
      <c r="D188" s="15"/>
      <c r="E188" s="15"/>
      <c r="F188" s="15"/>
      <c r="G188" s="15"/>
      <c r="H188" s="15"/>
      <c r="I188" s="15"/>
      <c r="J188" s="19">
        <f>IF(OR(H188="",I188=""),"",IFERROR(INDEX(Catalogo_Vehiculos!$C$2:$C$1325,MATCH(TRUE(),INDEX(Catalogo_Vehiculos!$G$2:$G$1325=H188&amp;"|"&amp;I188,0),0)),"No en catálogo"))</f>
      </c>
      <c r="K188" s="19">
        <f>IF(OR(H188="",I188=""),"",IFERROR(INDEX(Catalogo_Vehiculos!$D$2:$D$1325,MATCH(TRUE(),INDEX(Catalogo_Vehiculos!$G$2:$G$1325=H188&amp;"|"&amp;I188,0),0)),"No en catálogo"))</f>
      </c>
      <c r="L188" s="19">
        <f>IF(OR(H188="",I188=""),"",IFERROR(INDEX(Catalogo_Vehiculos!$E$2:$E$1325,MATCH(TRUE(),INDEX(Catalogo_Vehiculos!$G$2:$G$1325=H188&amp;"|"&amp;I188,0),0)),"No en catálogo"))</f>
      </c>
      <c r="M188" s="19">
        <f>IF(OR(H188="",I188=""),"",IFERROR(INDEX(Catalogo_Vehiculos!$F$2:$F$1325,MATCH(TRUE(),INDEX(Catalogo_Vehiculos!$G$2:$G$1325=H188&amp;"|"&amp;I188,0),0)),"No en catálogo"))</f>
      </c>
      <c r="N188" s="20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9"/>
      <c r="Z188" s="19"/>
      <c r="AA188" s="15"/>
      <c r="AB188" s="15"/>
      <c r="AC188" s="15"/>
      <c r="AD188" s="15"/>
      <c r="AE188" s="15"/>
      <c r="AF188" s="19"/>
      <c r="AG188" s="19"/>
      <c r="AH188" s="15"/>
      <c r="AI188" s="15"/>
      <c r="AJ188" s="15"/>
      <c r="AK188" s="15"/>
      <c r="AL188" s="21"/>
      <c r="AM188" s="15"/>
      <c r="AN188" s="15"/>
      <c r="AO188" s="15"/>
      <c r="AP188" s="15"/>
      <c r="AQ188" s="15"/>
      <c r="AR188" s="15"/>
      <c r="AS188" s="15"/>
      <c r="AT188" s="19" t="str">
        <f>IF(COUNTA(A188:I188)+COUNTA(N188:X188)+COUNTA(AA188:AE188)+COUNTA(AH188:AS188)=0,"",IF(AND(A188&lt;&gt;"",E188&lt;&gt;"",OR(F188&lt;&gt;"",G188&lt;&gt;""),H188&lt;&gt;"",I188&lt;&gt;"",J188&lt;&gt;"No en catálogo",S188&lt;&gt;"",T188&lt;&gt;"",U188&lt;&gt;"",V188&lt;&gt;"",OR(AR188&lt;&gt;"",AND(W188&lt;&gt;"",X188&lt;&gt;"",AA188&lt;&gt;"",AB188&lt;&gt;"")),OR(AS188&lt;&gt;"",AND(AD188&lt;&gt;"",AE188&lt;&gt;"",AH188&lt;&gt;"",AI188&lt;&gt;"")),AK188&lt;&gt;"",OR(AK188&lt;&gt;"programado",AL188&lt;&gt;""),OR(AM188&lt;&gt;"específica",AN188&lt;&gt;""),OR(AO188&lt;&gt;"específica",AP188&lt;&gt;"")),"OK","Revisar"))</f>
        <v/>
      </c>
    </row>
    <row r="189" ht="15" customHeight="1" spans="1:46" x14ac:dyDescent="0.25">
      <c r="A189" s="15"/>
      <c r="B189" s="15"/>
      <c r="C189" s="15"/>
      <c r="D189" s="15"/>
      <c r="E189" s="15"/>
      <c r="F189" s="15"/>
      <c r="G189" s="15"/>
      <c r="H189" s="15"/>
      <c r="I189" s="15"/>
      <c r="J189" s="19">
        <f>IF(OR(H189="",I189=""),"",IFERROR(INDEX(Catalogo_Vehiculos!$C$2:$C$1325,MATCH(TRUE(),INDEX(Catalogo_Vehiculos!$G$2:$G$1325=H189&amp;"|"&amp;I189,0),0)),"No en catálogo"))</f>
      </c>
      <c r="K189" s="19">
        <f>IF(OR(H189="",I189=""),"",IFERROR(INDEX(Catalogo_Vehiculos!$D$2:$D$1325,MATCH(TRUE(),INDEX(Catalogo_Vehiculos!$G$2:$G$1325=H189&amp;"|"&amp;I189,0),0)),"No en catálogo"))</f>
      </c>
      <c r="L189" s="19">
        <f>IF(OR(H189="",I189=""),"",IFERROR(INDEX(Catalogo_Vehiculos!$E$2:$E$1325,MATCH(TRUE(),INDEX(Catalogo_Vehiculos!$G$2:$G$1325=H189&amp;"|"&amp;I189,0),0)),"No en catálogo"))</f>
      </c>
      <c r="M189" s="19">
        <f>IF(OR(H189="",I189=""),"",IFERROR(INDEX(Catalogo_Vehiculos!$F$2:$F$1325,MATCH(TRUE(),INDEX(Catalogo_Vehiculos!$G$2:$G$1325=H189&amp;"|"&amp;I189,0),0)),"No en catálogo"))</f>
      </c>
      <c r="N189" s="20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9"/>
      <c r="Z189" s="19"/>
      <c r="AA189" s="15"/>
      <c r="AB189" s="15"/>
      <c r="AC189" s="15"/>
      <c r="AD189" s="15"/>
      <c r="AE189" s="15"/>
      <c r="AF189" s="19"/>
      <c r="AG189" s="19"/>
      <c r="AH189" s="15"/>
      <c r="AI189" s="15"/>
      <c r="AJ189" s="15"/>
      <c r="AK189" s="15"/>
      <c r="AL189" s="21"/>
      <c r="AM189" s="15"/>
      <c r="AN189" s="15"/>
      <c r="AO189" s="15"/>
      <c r="AP189" s="15"/>
      <c r="AQ189" s="15"/>
      <c r="AR189" s="15"/>
      <c r="AS189" s="15"/>
      <c r="AT189" s="19" t="str">
        <f>IF(COUNTA(A189:I189)+COUNTA(N189:X189)+COUNTA(AA189:AE189)+COUNTA(AH189:AS189)=0,"",IF(AND(A189&lt;&gt;"",E189&lt;&gt;"",OR(F189&lt;&gt;"",G189&lt;&gt;""),H189&lt;&gt;"",I189&lt;&gt;"",J189&lt;&gt;"No en catálogo",S189&lt;&gt;"",T189&lt;&gt;"",U189&lt;&gt;"",V189&lt;&gt;"",OR(AR189&lt;&gt;"",AND(W189&lt;&gt;"",X189&lt;&gt;"",AA189&lt;&gt;"",AB189&lt;&gt;"")),OR(AS189&lt;&gt;"",AND(AD189&lt;&gt;"",AE189&lt;&gt;"",AH189&lt;&gt;"",AI189&lt;&gt;"")),AK189&lt;&gt;"",OR(AK189&lt;&gt;"programado",AL189&lt;&gt;""),OR(AM189&lt;&gt;"específica",AN189&lt;&gt;""),OR(AO189&lt;&gt;"específica",AP189&lt;&gt;"")),"OK","Revisar"))</f>
        <v/>
      </c>
    </row>
    <row r="190" ht="15" customHeight="1" spans="1:46" x14ac:dyDescent="0.25">
      <c r="A190" s="15"/>
      <c r="B190" s="15"/>
      <c r="C190" s="15"/>
      <c r="D190" s="15"/>
      <c r="E190" s="15"/>
      <c r="F190" s="15"/>
      <c r="G190" s="15"/>
      <c r="H190" s="15"/>
      <c r="I190" s="15"/>
      <c r="J190" s="19">
        <f>IF(OR(H190="",I190=""),"",IFERROR(INDEX(Catalogo_Vehiculos!$C$2:$C$1325,MATCH(TRUE(),INDEX(Catalogo_Vehiculos!$G$2:$G$1325=H190&amp;"|"&amp;I190,0),0)),"No en catálogo"))</f>
      </c>
      <c r="K190" s="19">
        <f>IF(OR(H190="",I190=""),"",IFERROR(INDEX(Catalogo_Vehiculos!$D$2:$D$1325,MATCH(TRUE(),INDEX(Catalogo_Vehiculos!$G$2:$G$1325=H190&amp;"|"&amp;I190,0),0)),"No en catálogo"))</f>
      </c>
      <c r="L190" s="19">
        <f>IF(OR(H190="",I190=""),"",IFERROR(INDEX(Catalogo_Vehiculos!$E$2:$E$1325,MATCH(TRUE(),INDEX(Catalogo_Vehiculos!$G$2:$G$1325=H190&amp;"|"&amp;I190,0),0)),"No en catálogo"))</f>
      </c>
      <c r="M190" s="19">
        <f>IF(OR(H190="",I190=""),"",IFERROR(INDEX(Catalogo_Vehiculos!$F$2:$F$1325,MATCH(TRUE(),INDEX(Catalogo_Vehiculos!$G$2:$G$1325=H190&amp;"|"&amp;I190,0),0)),"No en catálogo"))</f>
      </c>
      <c r="N190" s="20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9"/>
      <c r="Z190" s="19"/>
      <c r="AA190" s="15"/>
      <c r="AB190" s="15"/>
      <c r="AC190" s="15"/>
      <c r="AD190" s="15"/>
      <c r="AE190" s="15"/>
      <c r="AF190" s="19"/>
      <c r="AG190" s="19"/>
      <c r="AH190" s="15"/>
      <c r="AI190" s="15"/>
      <c r="AJ190" s="15"/>
      <c r="AK190" s="15"/>
      <c r="AL190" s="21"/>
      <c r="AM190" s="15"/>
      <c r="AN190" s="15"/>
      <c r="AO190" s="15"/>
      <c r="AP190" s="15"/>
      <c r="AQ190" s="15"/>
      <c r="AR190" s="15"/>
      <c r="AS190" s="15"/>
      <c r="AT190" s="19" t="str">
        <f>IF(COUNTA(A190:I190)+COUNTA(N190:X190)+COUNTA(AA190:AE190)+COUNTA(AH190:AS190)=0,"",IF(AND(A190&lt;&gt;"",E190&lt;&gt;"",OR(F190&lt;&gt;"",G190&lt;&gt;""),H190&lt;&gt;"",I190&lt;&gt;"",J190&lt;&gt;"No en catálogo",S190&lt;&gt;"",T190&lt;&gt;"",U190&lt;&gt;"",V190&lt;&gt;"",OR(AR190&lt;&gt;"",AND(W190&lt;&gt;"",X190&lt;&gt;"",AA190&lt;&gt;"",AB190&lt;&gt;"")),OR(AS190&lt;&gt;"",AND(AD190&lt;&gt;"",AE190&lt;&gt;"",AH190&lt;&gt;"",AI190&lt;&gt;"")),AK190&lt;&gt;"",OR(AK190&lt;&gt;"programado",AL190&lt;&gt;""),OR(AM190&lt;&gt;"específica",AN190&lt;&gt;""),OR(AO190&lt;&gt;"específica",AP190&lt;&gt;"")),"OK","Revisar"))</f>
        <v/>
      </c>
    </row>
    <row r="191" ht="15" customHeight="1" spans="1:46" x14ac:dyDescent="0.25">
      <c r="A191" s="15"/>
      <c r="B191" s="15"/>
      <c r="C191" s="15"/>
      <c r="D191" s="15"/>
      <c r="E191" s="15"/>
      <c r="F191" s="15"/>
      <c r="G191" s="15"/>
      <c r="H191" s="15"/>
      <c r="I191" s="15"/>
      <c r="J191" s="19">
        <f>IF(OR(H191="",I191=""),"",IFERROR(INDEX(Catalogo_Vehiculos!$C$2:$C$1325,MATCH(TRUE(),INDEX(Catalogo_Vehiculos!$G$2:$G$1325=H191&amp;"|"&amp;I191,0),0)),"No en catálogo"))</f>
      </c>
      <c r="K191" s="19">
        <f>IF(OR(H191="",I191=""),"",IFERROR(INDEX(Catalogo_Vehiculos!$D$2:$D$1325,MATCH(TRUE(),INDEX(Catalogo_Vehiculos!$G$2:$G$1325=H191&amp;"|"&amp;I191,0),0)),"No en catálogo"))</f>
      </c>
      <c r="L191" s="19">
        <f>IF(OR(H191="",I191=""),"",IFERROR(INDEX(Catalogo_Vehiculos!$E$2:$E$1325,MATCH(TRUE(),INDEX(Catalogo_Vehiculos!$G$2:$G$1325=H191&amp;"|"&amp;I191,0),0)),"No en catálogo"))</f>
      </c>
      <c r="M191" s="19">
        <f>IF(OR(H191="",I191=""),"",IFERROR(INDEX(Catalogo_Vehiculos!$F$2:$F$1325,MATCH(TRUE(),INDEX(Catalogo_Vehiculos!$G$2:$G$1325=H191&amp;"|"&amp;I191,0),0)),"No en catálogo"))</f>
      </c>
      <c r="N191" s="20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9"/>
      <c r="Z191" s="19"/>
      <c r="AA191" s="15"/>
      <c r="AB191" s="15"/>
      <c r="AC191" s="15"/>
      <c r="AD191" s="15"/>
      <c r="AE191" s="15"/>
      <c r="AF191" s="19"/>
      <c r="AG191" s="19"/>
      <c r="AH191" s="15"/>
      <c r="AI191" s="15"/>
      <c r="AJ191" s="15"/>
      <c r="AK191" s="15"/>
      <c r="AL191" s="21"/>
      <c r="AM191" s="15"/>
      <c r="AN191" s="15"/>
      <c r="AO191" s="15"/>
      <c r="AP191" s="15"/>
      <c r="AQ191" s="15"/>
      <c r="AR191" s="15"/>
      <c r="AS191" s="15"/>
      <c r="AT191" s="19" t="str">
        <f>IF(COUNTA(A191:I191)+COUNTA(N191:X191)+COUNTA(AA191:AE191)+COUNTA(AH191:AS191)=0,"",IF(AND(A191&lt;&gt;"",E191&lt;&gt;"",OR(F191&lt;&gt;"",G191&lt;&gt;""),H191&lt;&gt;"",I191&lt;&gt;"",J191&lt;&gt;"No en catálogo",S191&lt;&gt;"",T191&lt;&gt;"",U191&lt;&gt;"",V191&lt;&gt;"",OR(AR191&lt;&gt;"",AND(W191&lt;&gt;"",X191&lt;&gt;"",AA191&lt;&gt;"",AB191&lt;&gt;"")),OR(AS191&lt;&gt;"",AND(AD191&lt;&gt;"",AE191&lt;&gt;"",AH191&lt;&gt;"",AI191&lt;&gt;"")),AK191&lt;&gt;"",OR(AK191&lt;&gt;"programado",AL191&lt;&gt;""),OR(AM191&lt;&gt;"específica",AN191&lt;&gt;""),OR(AO191&lt;&gt;"específica",AP191&lt;&gt;"")),"OK","Revisar"))</f>
        <v/>
      </c>
    </row>
    <row r="192" ht="15" customHeight="1" spans="1:46" x14ac:dyDescent="0.25">
      <c r="A192" s="15"/>
      <c r="B192" s="15"/>
      <c r="C192" s="15"/>
      <c r="D192" s="15"/>
      <c r="E192" s="15"/>
      <c r="F192" s="15"/>
      <c r="G192" s="15"/>
      <c r="H192" s="15"/>
      <c r="I192" s="15"/>
      <c r="J192" s="19">
        <f>IF(OR(H192="",I192=""),"",IFERROR(INDEX(Catalogo_Vehiculos!$C$2:$C$1325,MATCH(TRUE(),INDEX(Catalogo_Vehiculos!$G$2:$G$1325=H192&amp;"|"&amp;I192,0),0)),"No en catálogo"))</f>
      </c>
      <c r="K192" s="19">
        <f>IF(OR(H192="",I192=""),"",IFERROR(INDEX(Catalogo_Vehiculos!$D$2:$D$1325,MATCH(TRUE(),INDEX(Catalogo_Vehiculos!$G$2:$G$1325=H192&amp;"|"&amp;I192,0),0)),"No en catálogo"))</f>
      </c>
      <c r="L192" s="19">
        <f>IF(OR(H192="",I192=""),"",IFERROR(INDEX(Catalogo_Vehiculos!$E$2:$E$1325,MATCH(TRUE(),INDEX(Catalogo_Vehiculos!$G$2:$G$1325=H192&amp;"|"&amp;I192,0),0)),"No en catálogo"))</f>
      </c>
      <c r="M192" s="19">
        <f>IF(OR(H192="",I192=""),"",IFERROR(INDEX(Catalogo_Vehiculos!$F$2:$F$1325,MATCH(TRUE(),INDEX(Catalogo_Vehiculos!$G$2:$G$1325=H192&amp;"|"&amp;I192,0),0)),"No en catálogo"))</f>
      </c>
      <c r="N192" s="20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9"/>
      <c r="Z192" s="19"/>
      <c r="AA192" s="15"/>
      <c r="AB192" s="15"/>
      <c r="AC192" s="15"/>
      <c r="AD192" s="15"/>
      <c r="AE192" s="15"/>
      <c r="AF192" s="19"/>
      <c r="AG192" s="19"/>
      <c r="AH192" s="15"/>
      <c r="AI192" s="15"/>
      <c r="AJ192" s="15"/>
      <c r="AK192" s="15"/>
      <c r="AL192" s="21"/>
      <c r="AM192" s="15"/>
      <c r="AN192" s="15"/>
      <c r="AO192" s="15"/>
      <c r="AP192" s="15"/>
      <c r="AQ192" s="15"/>
      <c r="AR192" s="15"/>
      <c r="AS192" s="15"/>
      <c r="AT192" s="19" t="str">
        <f>IF(COUNTA(A192:I192)+COUNTA(N192:X192)+COUNTA(AA192:AE192)+COUNTA(AH192:AS192)=0,"",IF(AND(A192&lt;&gt;"",E192&lt;&gt;"",OR(F192&lt;&gt;"",G192&lt;&gt;""),H192&lt;&gt;"",I192&lt;&gt;"",J192&lt;&gt;"No en catálogo",S192&lt;&gt;"",T192&lt;&gt;"",U192&lt;&gt;"",V192&lt;&gt;"",OR(AR192&lt;&gt;"",AND(W192&lt;&gt;"",X192&lt;&gt;"",AA192&lt;&gt;"",AB192&lt;&gt;"")),OR(AS192&lt;&gt;"",AND(AD192&lt;&gt;"",AE192&lt;&gt;"",AH192&lt;&gt;"",AI192&lt;&gt;"")),AK192&lt;&gt;"",OR(AK192&lt;&gt;"programado",AL192&lt;&gt;""),OR(AM192&lt;&gt;"específica",AN192&lt;&gt;""),OR(AO192&lt;&gt;"específica",AP192&lt;&gt;"")),"OK","Revisar"))</f>
        <v/>
      </c>
    </row>
    <row r="193" ht="15" customHeight="1" spans="1:46" x14ac:dyDescent="0.25">
      <c r="A193" s="15"/>
      <c r="B193" s="15"/>
      <c r="C193" s="15"/>
      <c r="D193" s="15"/>
      <c r="E193" s="15"/>
      <c r="F193" s="15"/>
      <c r="G193" s="15"/>
      <c r="H193" s="15"/>
      <c r="I193" s="15"/>
      <c r="J193" s="19">
        <f>IF(OR(H193="",I193=""),"",IFERROR(INDEX(Catalogo_Vehiculos!$C$2:$C$1325,MATCH(TRUE(),INDEX(Catalogo_Vehiculos!$G$2:$G$1325=H193&amp;"|"&amp;I193,0),0)),"No en catálogo"))</f>
      </c>
      <c r="K193" s="19">
        <f>IF(OR(H193="",I193=""),"",IFERROR(INDEX(Catalogo_Vehiculos!$D$2:$D$1325,MATCH(TRUE(),INDEX(Catalogo_Vehiculos!$G$2:$G$1325=H193&amp;"|"&amp;I193,0),0)),"No en catálogo"))</f>
      </c>
      <c r="L193" s="19">
        <f>IF(OR(H193="",I193=""),"",IFERROR(INDEX(Catalogo_Vehiculos!$E$2:$E$1325,MATCH(TRUE(),INDEX(Catalogo_Vehiculos!$G$2:$G$1325=H193&amp;"|"&amp;I193,0),0)),"No en catálogo"))</f>
      </c>
      <c r="M193" s="19">
        <f>IF(OR(H193="",I193=""),"",IFERROR(INDEX(Catalogo_Vehiculos!$F$2:$F$1325,MATCH(TRUE(),INDEX(Catalogo_Vehiculos!$G$2:$G$1325=H193&amp;"|"&amp;I193,0),0)),"No en catálogo"))</f>
      </c>
      <c r="N193" s="20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9"/>
      <c r="Z193" s="19"/>
      <c r="AA193" s="15"/>
      <c r="AB193" s="15"/>
      <c r="AC193" s="15"/>
      <c r="AD193" s="15"/>
      <c r="AE193" s="15"/>
      <c r="AF193" s="19"/>
      <c r="AG193" s="19"/>
      <c r="AH193" s="15"/>
      <c r="AI193" s="15"/>
      <c r="AJ193" s="15"/>
      <c r="AK193" s="15"/>
      <c r="AL193" s="21"/>
      <c r="AM193" s="15"/>
      <c r="AN193" s="15"/>
      <c r="AO193" s="15"/>
      <c r="AP193" s="15"/>
      <c r="AQ193" s="15"/>
      <c r="AR193" s="15"/>
      <c r="AS193" s="15"/>
      <c r="AT193" s="19" t="str">
        <f>IF(COUNTA(A193:I193)+COUNTA(N193:X193)+COUNTA(AA193:AE193)+COUNTA(AH193:AS193)=0,"",IF(AND(A193&lt;&gt;"",E193&lt;&gt;"",OR(F193&lt;&gt;"",G193&lt;&gt;""),H193&lt;&gt;"",I193&lt;&gt;"",J193&lt;&gt;"No en catálogo",S193&lt;&gt;"",T193&lt;&gt;"",U193&lt;&gt;"",V193&lt;&gt;"",OR(AR193&lt;&gt;"",AND(W193&lt;&gt;"",X193&lt;&gt;"",AA193&lt;&gt;"",AB193&lt;&gt;"")),OR(AS193&lt;&gt;"",AND(AD193&lt;&gt;"",AE193&lt;&gt;"",AH193&lt;&gt;"",AI193&lt;&gt;"")),AK193&lt;&gt;"",OR(AK193&lt;&gt;"programado",AL193&lt;&gt;""),OR(AM193&lt;&gt;"específica",AN193&lt;&gt;""),OR(AO193&lt;&gt;"específica",AP193&lt;&gt;"")),"OK","Revisar"))</f>
        <v/>
      </c>
    </row>
    <row r="194" ht="15" customHeight="1" spans="1:46" x14ac:dyDescent="0.25">
      <c r="A194" s="15"/>
      <c r="B194" s="15"/>
      <c r="C194" s="15"/>
      <c r="D194" s="15"/>
      <c r="E194" s="15"/>
      <c r="F194" s="15"/>
      <c r="G194" s="15"/>
      <c r="H194" s="15"/>
      <c r="I194" s="15"/>
      <c r="J194" s="19">
        <f>IF(OR(H194="",I194=""),"",IFERROR(INDEX(Catalogo_Vehiculos!$C$2:$C$1325,MATCH(TRUE(),INDEX(Catalogo_Vehiculos!$G$2:$G$1325=H194&amp;"|"&amp;I194,0),0)),"No en catálogo"))</f>
      </c>
      <c r="K194" s="19">
        <f>IF(OR(H194="",I194=""),"",IFERROR(INDEX(Catalogo_Vehiculos!$D$2:$D$1325,MATCH(TRUE(),INDEX(Catalogo_Vehiculos!$G$2:$G$1325=H194&amp;"|"&amp;I194,0),0)),"No en catálogo"))</f>
      </c>
      <c r="L194" s="19">
        <f>IF(OR(H194="",I194=""),"",IFERROR(INDEX(Catalogo_Vehiculos!$E$2:$E$1325,MATCH(TRUE(),INDEX(Catalogo_Vehiculos!$G$2:$G$1325=H194&amp;"|"&amp;I194,0),0)),"No en catálogo"))</f>
      </c>
      <c r="M194" s="19">
        <f>IF(OR(H194="",I194=""),"",IFERROR(INDEX(Catalogo_Vehiculos!$F$2:$F$1325,MATCH(TRUE(),INDEX(Catalogo_Vehiculos!$G$2:$G$1325=H194&amp;"|"&amp;I194,0),0)),"No en catálogo"))</f>
      </c>
      <c r="N194" s="20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9"/>
      <c r="Z194" s="19"/>
      <c r="AA194" s="15"/>
      <c r="AB194" s="15"/>
      <c r="AC194" s="15"/>
      <c r="AD194" s="15"/>
      <c r="AE194" s="15"/>
      <c r="AF194" s="19"/>
      <c r="AG194" s="19"/>
      <c r="AH194" s="15"/>
      <c r="AI194" s="15"/>
      <c r="AJ194" s="15"/>
      <c r="AK194" s="15"/>
      <c r="AL194" s="21"/>
      <c r="AM194" s="15"/>
      <c r="AN194" s="15"/>
      <c r="AO194" s="15"/>
      <c r="AP194" s="15"/>
      <c r="AQ194" s="15"/>
      <c r="AR194" s="15"/>
      <c r="AS194" s="15"/>
      <c r="AT194" s="19" t="str">
        <f>IF(COUNTA(A194:I194)+COUNTA(N194:X194)+COUNTA(AA194:AE194)+COUNTA(AH194:AS194)=0,"",IF(AND(A194&lt;&gt;"",E194&lt;&gt;"",OR(F194&lt;&gt;"",G194&lt;&gt;""),H194&lt;&gt;"",I194&lt;&gt;"",J194&lt;&gt;"No en catálogo",S194&lt;&gt;"",T194&lt;&gt;"",U194&lt;&gt;"",V194&lt;&gt;"",OR(AR194&lt;&gt;"",AND(W194&lt;&gt;"",X194&lt;&gt;"",AA194&lt;&gt;"",AB194&lt;&gt;"")),OR(AS194&lt;&gt;"",AND(AD194&lt;&gt;"",AE194&lt;&gt;"",AH194&lt;&gt;"",AI194&lt;&gt;"")),AK194&lt;&gt;"",OR(AK194&lt;&gt;"programado",AL194&lt;&gt;""),OR(AM194&lt;&gt;"específica",AN194&lt;&gt;""),OR(AO194&lt;&gt;"específica",AP194&lt;&gt;"")),"OK","Revisar"))</f>
        <v/>
      </c>
    </row>
    <row r="195" ht="15" customHeight="1" spans="1:46" x14ac:dyDescent="0.25">
      <c r="A195" s="15"/>
      <c r="B195" s="15"/>
      <c r="C195" s="15"/>
      <c r="D195" s="15"/>
      <c r="E195" s="15"/>
      <c r="F195" s="15"/>
      <c r="G195" s="15"/>
      <c r="H195" s="15"/>
      <c r="I195" s="15"/>
      <c r="J195" s="19">
        <f>IF(OR(H195="",I195=""),"",IFERROR(INDEX(Catalogo_Vehiculos!$C$2:$C$1325,MATCH(TRUE(),INDEX(Catalogo_Vehiculos!$G$2:$G$1325=H195&amp;"|"&amp;I195,0),0)),"No en catálogo"))</f>
      </c>
      <c r="K195" s="19">
        <f>IF(OR(H195="",I195=""),"",IFERROR(INDEX(Catalogo_Vehiculos!$D$2:$D$1325,MATCH(TRUE(),INDEX(Catalogo_Vehiculos!$G$2:$G$1325=H195&amp;"|"&amp;I195,0),0)),"No en catálogo"))</f>
      </c>
      <c r="L195" s="19">
        <f>IF(OR(H195="",I195=""),"",IFERROR(INDEX(Catalogo_Vehiculos!$E$2:$E$1325,MATCH(TRUE(),INDEX(Catalogo_Vehiculos!$G$2:$G$1325=H195&amp;"|"&amp;I195,0),0)),"No en catálogo"))</f>
      </c>
      <c r="M195" s="19">
        <f>IF(OR(H195="",I195=""),"",IFERROR(INDEX(Catalogo_Vehiculos!$F$2:$F$1325,MATCH(TRUE(),INDEX(Catalogo_Vehiculos!$G$2:$G$1325=H195&amp;"|"&amp;I195,0),0)),"No en catálogo"))</f>
      </c>
      <c r="N195" s="20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9"/>
      <c r="Z195" s="19"/>
      <c r="AA195" s="15"/>
      <c r="AB195" s="15"/>
      <c r="AC195" s="15"/>
      <c r="AD195" s="15"/>
      <c r="AE195" s="15"/>
      <c r="AF195" s="19"/>
      <c r="AG195" s="19"/>
      <c r="AH195" s="15"/>
      <c r="AI195" s="15"/>
      <c r="AJ195" s="15"/>
      <c r="AK195" s="15"/>
      <c r="AL195" s="21"/>
      <c r="AM195" s="15"/>
      <c r="AN195" s="15"/>
      <c r="AO195" s="15"/>
      <c r="AP195" s="15"/>
      <c r="AQ195" s="15"/>
      <c r="AR195" s="15"/>
      <c r="AS195" s="15"/>
      <c r="AT195" s="19" t="str">
        <f>IF(COUNTA(A195:I195)+COUNTA(N195:X195)+COUNTA(AA195:AE195)+COUNTA(AH195:AS195)=0,"",IF(AND(A195&lt;&gt;"",E195&lt;&gt;"",OR(F195&lt;&gt;"",G195&lt;&gt;""),H195&lt;&gt;"",I195&lt;&gt;"",J195&lt;&gt;"No en catálogo",S195&lt;&gt;"",T195&lt;&gt;"",U195&lt;&gt;"",V195&lt;&gt;"",OR(AR195&lt;&gt;"",AND(W195&lt;&gt;"",X195&lt;&gt;"",AA195&lt;&gt;"",AB195&lt;&gt;"")),OR(AS195&lt;&gt;"",AND(AD195&lt;&gt;"",AE195&lt;&gt;"",AH195&lt;&gt;"",AI195&lt;&gt;"")),AK195&lt;&gt;"",OR(AK195&lt;&gt;"programado",AL195&lt;&gt;""),OR(AM195&lt;&gt;"específica",AN195&lt;&gt;""),OR(AO195&lt;&gt;"específica",AP195&lt;&gt;"")),"OK","Revisar"))</f>
        <v/>
      </c>
    </row>
    <row r="196" ht="15" customHeight="1" spans="1:46" x14ac:dyDescent="0.25">
      <c r="A196" s="15"/>
      <c r="B196" s="15"/>
      <c r="C196" s="15"/>
      <c r="D196" s="15"/>
      <c r="E196" s="15"/>
      <c r="F196" s="15"/>
      <c r="G196" s="15"/>
      <c r="H196" s="15"/>
      <c r="I196" s="15"/>
      <c r="J196" s="19">
        <f>IF(OR(H196="",I196=""),"",IFERROR(INDEX(Catalogo_Vehiculos!$C$2:$C$1325,MATCH(TRUE(),INDEX(Catalogo_Vehiculos!$G$2:$G$1325=H196&amp;"|"&amp;I196,0),0)),"No en catálogo"))</f>
      </c>
      <c r="K196" s="19">
        <f>IF(OR(H196="",I196=""),"",IFERROR(INDEX(Catalogo_Vehiculos!$D$2:$D$1325,MATCH(TRUE(),INDEX(Catalogo_Vehiculos!$G$2:$G$1325=H196&amp;"|"&amp;I196,0),0)),"No en catálogo"))</f>
      </c>
      <c r="L196" s="19">
        <f>IF(OR(H196="",I196=""),"",IFERROR(INDEX(Catalogo_Vehiculos!$E$2:$E$1325,MATCH(TRUE(),INDEX(Catalogo_Vehiculos!$G$2:$G$1325=H196&amp;"|"&amp;I196,0),0)),"No en catálogo"))</f>
      </c>
      <c r="M196" s="19">
        <f>IF(OR(H196="",I196=""),"",IFERROR(INDEX(Catalogo_Vehiculos!$F$2:$F$1325,MATCH(TRUE(),INDEX(Catalogo_Vehiculos!$G$2:$G$1325=H196&amp;"|"&amp;I196,0),0)),"No en catálogo"))</f>
      </c>
      <c r="N196" s="20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9"/>
      <c r="Z196" s="19"/>
      <c r="AA196" s="15"/>
      <c r="AB196" s="15"/>
      <c r="AC196" s="15"/>
      <c r="AD196" s="15"/>
      <c r="AE196" s="15"/>
      <c r="AF196" s="19"/>
      <c r="AG196" s="19"/>
      <c r="AH196" s="15"/>
      <c r="AI196" s="15"/>
      <c r="AJ196" s="15"/>
      <c r="AK196" s="15"/>
      <c r="AL196" s="21"/>
      <c r="AM196" s="15"/>
      <c r="AN196" s="15"/>
      <c r="AO196" s="15"/>
      <c r="AP196" s="15"/>
      <c r="AQ196" s="15"/>
      <c r="AR196" s="15"/>
      <c r="AS196" s="15"/>
      <c r="AT196" s="19" t="str">
        <f>IF(COUNTA(A196:I196)+COUNTA(N196:X196)+COUNTA(AA196:AE196)+COUNTA(AH196:AS196)=0,"",IF(AND(A196&lt;&gt;"",E196&lt;&gt;"",OR(F196&lt;&gt;"",G196&lt;&gt;""),H196&lt;&gt;"",I196&lt;&gt;"",J196&lt;&gt;"No en catálogo",S196&lt;&gt;"",T196&lt;&gt;"",U196&lt;&gt;"",V196&lt;&gt;"",OR(AR196&lt;&gt;"",AND(W196&lt;&gt;"",X196&lt;&gt;"",AA196&lt;&gt;"",AB196&lt;&gt;"")),OR(AS196&lt;&gt;"",AND(AD196&lt;&gt;"",AE196&lt;&gt;"",AH196&lt;&gt;"",AI196&lt;&gt;"")),AK196&lt;&gt;"",OR(AK196&lt;&gt;"programado",AL196&lt;&gt;""),OR(AM196&lt;&gt;"específica",AN196&lt;&gt;""),OR(AO196&lt;&gt;"específica",AP196&lt;&gt;"")),"OK","Revisar"))</f>
        <v/>
      </c>
    </row>
    <row r="197" ht="15" customHeight="1" spans="1:46" x14ac:dyDescent="0.25">
      <c r="A197" s="15"/>
      <c r="B197" s="15"/>
      <c r="C197" s="15"/>
      <c r="D197" s="15"/>
      <c r="E197" s="15"/>
      <c r="F197" s="15"/>
      <c r="G197" s="15"/>
      <c r="H197" s="15"/>
      <c r="I197" s="15"/>
      <c r="J197" s="19">
        <f>IF(OR(H197="",I197=""),"",IFERROR(INDEX(Catalogo_Vehiculos!$C$2:$C$1325,MATCH(TRUE(),INDEX(Catalogo_Vehiculos!$G$2:$G$1325=H197&amp;"|"&amp;I197,0),0)),"No en catálogo"))</f>
      </c>
      <c r="K197" s="19">
        <f>IF(OR(H197="",I197=""),"",IFERROR(INDEX(Catalogo_Vehiculos!$D$2:$D$1325,MATCH(TRUE(),INDEX(Catalogo_Vehiculos!$G$2:$G$1325=H197&amp;"|"&amp;I197,0),0)),"No en catálogo"))</f>
      </c>
      <c r="L197" s="19">
        <f>IF(OR(H197="",I197=""),"",IFERROR(INDEX(Catalogo_Vehiculos!$E$2:$E$1325,MATCH(TRUE(),INDEX(Catalogo_Vehiculos!$G$2:$G$1325=H197&amp;"|"&amp;I197,0),0)),"No en catálogo"))</f>
      </c>
      <c r="M197" s="19">
        <f>IF(OR(H197="",I197=""),"",IFERROR(INDEX(Catalogo_Vehiculos!$F$2:$F$1325,MATCH(TRUE(),INDEX(Catalogo_Vehiculos!$G$2:$G$1325=H197&amp;"|"&amp;I197,0),0)),"No en catálogo"))</f>
      </c>
      <c r="N197" s="20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9"/>
      <c r="Z197" s="19"/>
      <c r="AA197" s="15"/>
      <c r="AB197" s="15"/>
      <c r="AC197" s="15"/>
      <c r="AD197" s="15"/>
      <c r="AE197" s="15"/>
      <c r="AF197" s="19"/>
      <c r="AG197" s="19"/>
      <c r="AH197" s="15"/>
      <c r="AI197" s="15"/>
      <c r="AJ197" s="15"/>
      <c r="AK197" s="15"/>
      <c r="AL197" s="21"/>
      <c r="AM197" s="15"/>
      <c r="AN197" s="15"/>
      <c r="AO197" s="15"/>
      <c r="AP197" s="15"/>
      <c r="AQ197" s="15"/>
      <c r="AR197" s="15"/>
      <c r="AS197" s="15"/>
      <c r="AT197" s="19" t="str">
        <f>IF(COUNTA(A197:I197)+COUNTA(N197:X197)+COUNTA(AA197:AE197)+COUNTA(AH197:AS197)=0,"",IF(AND(A197&lt;&gt;"",E197&lt;&gt;"",OR(F197&lt;&gt;"",G197&lt;&gt;""),H197&lt;&gt;"",I197&lt;&gt;"",J197&lt;&gt;"No en catálogo",S197&lt;&gt;"",T197&lt;&gt;"",U197&lt;&gt;"",V197&lt;&gt;"",OR(AR197&lt;&gt;"",AND(W197&lt;&gt;"",X197&lt;&gt;"",AA197&lt;&gt;"",AB197&lt;&gt;"")),OR(AS197&lt;&gt;"",AND(AD197&lt;&gt;"",AE197&lt;&gt;"",AH197&lt;&gt;"",AI197&lt;&gt;"")),AK197&lt;&gt;"",OR(AK197&lt;&gt;"programado",AL197&lt;&gt;""),OR(AM197&lt;&gt;"específica",AN197&lt;&gt;""),OR(AO197&lt;&gt;"específica",AP197&lt;&gt;"")),"OK","Revisar"))</f>
        <v/>
      </c>
    </row>
    <row r="198" ht="15" customHeight="1" spans="1:46" x14ac:dyDescent="0.25">
      <c r="A198" s="15"/>
      <c r="B198" s="15"/>
      <c r="C198" s="15"/>
      <c r="D198" s="15"/>
      <c r="E198" s="15"/>
      <c r="F198" s="15"/>
      <c r="G198" s="15"/>
      <c r="H198" s="15"/>
      <c r="I198" s="15"/>
      <c r="J198" s="19">
        <f>IF(OR(H198="",I198=""),"",IFERROR(INDEX(Catalogo_Vehiculos!$C$2:$C$1325,MATCH(TRUE(),INDEX(Catalogo_Vehiculos!$G$2:$G$1325=H198&amp;"|"&amp;I198,0),0)),"No en catálogo"))</f>
      </c>
      <c r="K198" s="19">
        <f>IF(OR(H198="",I198=""),"",IFERROR(INDEX(Catalogo_Vehiculos!$D$2:$D$1325,MATCH(TRUE(),INDEX(Catalogo_Vehiculos!$G$2:$G$1325=H198&amp;"|"&amp;I198,0),0)),"No en catálogo"))</f>
      </c>
      <c r="L198" s="19">
        <f>IF(OR(H198="",I198=""),"",IFERROR(INDEX(Catalogo_Vehiculos!$E$2:$E$1325,MATCH(TRUE(),INDEX(Catalogo_Vehiculos!$G$2:$G$1325=H198&amp;"|"&amp;I198,0),0)),"No en catálogo"))</f>
      </c>
      <c r="M198" s="19">
        <f>IF(OR(H198="",I198=""),"",IFERROR(INDEX(Catalogo_Vehiculos!$F$2:$F$1325,MATCH(TRUE(),INDEX(Catalogo_Vehiculos!$G$2:$G$1325=H198&amp;"|"&amp;I198,0),0)),"No en catálogo"))</f>
      </c>
      <c r="N198" s="20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9"/>
      <c r="Z198" s="19"/>
      <c r="AA198" s="15"/>
      <c r="AB198" s="15"/>
      <c r="AC198" s="15"/>
      <c r="AD198" s="15"/>
      <c r="AE198" s="15"/>
      <c r="AF198" s="19"/>
      <c r="AG198" s="19"/>
      <c r="AH198" s="15"/>
      <c r="AI198" s="15"/>
      <c r="AJ198" s="15"/>
      <c r="AK198" s="15"/>
      <c r="AL198" s="21"/>
      <c r="AM198" s="15"/>
      <c r="AN198" s="15"/>
      <c r="AO198" s="15"/>
      <c r="AP198" s="15"/>
      <c r="AQ198" s="15"/>
      <c r="AR198" s="15"/>
      <c r="AS198" s="15"/>
      <c r="AT198" s="19" t="str">
        <f>IF(COUNTA(A198:I198)+COUNTA(N198:X198)+COUNTA(AA198:AE198)+COUNTA(AH198:AS198)=0,"",IF(AND(A198&lt;&gt;"",E198&lt;&gt;"",OR(F198&lt;&gt;"",G198&lt;&gt;""),H198&lt;&gt;"",I198&lt;&gt;"",J198&lt;&gt;"No en catálogo",S198&lt;&gt;"",T198&lt;&gt;"",U198&lt;&gt;"",V198&lt;&gt;"",OR(AR198&lt;&gt;"",AND(W198&lt;&gt;"",X198&lt;&gt;"",AA198&lt;&gt;"",AB198&lt;&gt;"")),OR(AS198&lt;&gt;"",AND(AD198&lt;&gt;"",AE198&lt;&gt;"",AH198&lt;&gt;"",AI198&lt;&gt;"")),AK198&lt;&gt;"",OR(AK198&lt;&gt;"programado",AL198&lt;&gt;""),OR(AM198&lt;&gt;"específica",AN198&lt;&gt;""),OR(AO198&lt;&gt;"específica",AP198&lt;&gt;"")),"OK","Revisar"))</f>
        <v/>
      </c>
    </row>
    <row r="199" ht="15" customHeight="1" spans="1:46" x14ac:dyDescent="0.25">
      <c r="A199" s="15"/>
      <c r="B199" s="15"/>
      <c r="C199" s="15"/>
      <c r="D199" s="15"/>
      <c r="E199" s="15"/>
      <c r="F199" s="15"/>
      <c r="G199" s="15"/>
      <c r="H199" s="15"/>
      <c r="I199" s="15"/>
      <c r="J199" s="19">
        <f>IF(OR(H199="",I199=""),"",IFERROR(INDEX(Catalogo_Vehiculos!$C$2:$C$1325,MATCH(TRUE(),INDEX(Catalogo_Vehiculos!$G$2:$G$1325=H199&amp;"|"&amp;I199,0),0)),"No en catálogo"))</f>
      </c>
      <c r="K199" s="19">
        <f>IF(OR(H199="",I199=""),"",IFERROR(INDEX(Catalogo_Vehiculos!$D$2:$D$1325,MATCH(TRUE(),INDEX(Catalogo_Vehiculos!$G$2:$G$1325=H199&amp;"|"&amp;I199,0),0)),"No en catálogo"))</f>
      </c>
      <c r="L199" s="19">
        <f>IF(OR(H199="",I199=""),"",IFERROR(INDEX(Catalogo_Vehiculos!$E$2:$E$1325,MATCH(TRUE(),INDEX(Catalogo_Vehiculos!$G$2:$G$1325=H199&amp;"|"&amp;I199,0),0)),"No en catálogo"))</f>
      </c>
      <c r="M199" s="19">
        <f>IF(OR(H199="",I199=""),"",IFERROR(INDEX(Catalogo_Vehiculos!$F$2:$F$1325,MATCH(TRUE(),INDEX(Catalogo_Vehiculos!$G$2:$G$1325=H199&amp;"|"&amp;I199,0),0)),"No en catálogo"))</f>
      </c>
      <c r="N199" s="20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9"/>
      <c r="Z199" s="19"/>
      <c r="AA199" s="15"/>
      <c r="AB199" s="15"/>
      <c r="AC199" s="15"/>
      <c r="AD199" s="15"/>
      <c r="AE199" s="15"/>
      <c r="AF199" s="19"/>
      <c r="AG199" s="19"/>
      <c r="AH199" s="15"/>
      <c r="AI199" s="15"/>
      <c r="AJ199" s="15"/>
      <c r="AK199" s="15"/>
      <c r="AL199" s="21"/>
      <c r="AM199" s="15"/>
      <c r="AN199" s="15"/>
      <c r="AO199" s="15"/>
      <c r="AP199" s="15"/>
      <c r="AQ199" s="15"/>
      <c r="AR199" s="15"/>
      <c r="AS199" s="15"/>
      <c r="AT199" s="19" t="str">
        <f>IF(COUNTA(A199:I199)+COUNTA(N199:X199)+COUNTA(AA199:AE199)+COUNTA(AH199:AS199)=0,"",IF(AND(A199&lt;&gt;"",E199&lt;&gt;"",OR(F199&lt;&gt;"",G199&lt;&gt;""),H199&lt;&gt;"",I199&lt;&gt;"",J199&lt;&gt;"No en catálogo",S199&lt;&gt;"",T199&lt;&gt;"",U199&lt;&gt;"",V199&lt;&gt;"",OR(AR199&lt;&gt;"",AND(W199&lt;&gt;"",X199&lt;&gt;"",AA199&lt;&gt;"",AB199&lt;&gt;"")),OR(AS199&lt;&gt;"",AND(AD199&lt;&gt;"",AE199&lt;&gt;"",AH199&lt;&gt;"",AI199&lt;&gt;"")),AK199&lt;&gt;"",OR(AK199&lt;&gt;"programado",AL199&lt;&gt;""),OR(AM199&lt;&gt;"específica",AN199&lt;&gt;""),OR(AO199&lt;&gt;"específica",AP199&lt;&gt;"")),"OK","Revisar"))</f>
        <v/>
      </c>
    </row>
    <row r="200" ht="15" customHeight="1" spans="1:46" x14ac:dyDescent="0.25">
      <c r="A200" s="15"/>
      <c r="B200" s="15"/>
      <c r="C200" s="15"/>
      <c r="D200" s="15"/>
      <c r="E200" s="15"/>
      <c r="F200" s="15"/>
      <c r="G200" s="15"/>
      <c r="H200" s="15"/>
      <c r="I200" s="15"/>
      <c r="J200" s="19">
        <f>IF(OR(H200="",I200=""),"",IFERROR(INDEX(Catalogo_Vehiculos!$C$2:$C$1325,MATCH(TRUE(),INDEX(Catalogo_Vehiculos!$G$2:$G$1325=H200&amp;"|"&amp;I200,0),0)),"No en catálogo"))</f>
      </c>
      <c r="K200" s="19">
        <f>IF(OR(H200="",I200=""),"",IFERROR(INDEX(Catalogo_Vehiculos!$D$2:$D$1325,MATCH(TRUE(),INDEX(Catalogo_Vehiculos!$G$2:$G$1325=H200&amp;"|"&amp;I200,0),0)),"No en catálogo"))</f>
      </c>
      <c r="L200" s="19">
        <f>IF(OR(H200="",I200=""),"",IFERROR(INDEX(Catalogo_Vehiculos!$E$2:$E$1325,MATCH(TRUE(),INDEX(Catalogo_Vehiculos!$G$2:$G$1325=H200&amp;"|"&amp;I200,0),0)),"No en catálogo"))</f>
      </c>
      <c r="M200" s="19">
        <f>IF(OR(H200="",I200=""),"",IFERROR(INDEX(Catalogo_Vehiculos!$F$2:$F$1325,MATCH(TRUE(),INDEX(Catalogo_Vehiculos!$G$2:$G$1325=H200&amp;"|"&amp;I200,0),0)),"No en catálogo"))</f>
      </c>
      <c r="N200" s="20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9"/>
      <c r="Z200" s="19"/>
      <c r="AA200" s="15"/>
      <c r="AB200" s="15"/>
      <c r="AC200" s="15"/>
      <c r="AD200" s="15"/>
      <c r="AE200" s="15"/>
      <c r="AF200" s="19"/>
      <c r="AG200" s="19"/>
      <c r="AH200" s="15"/>
      <c r="AI200" s="15"/>
      <c r="AJ200" s="15"/>
      <c r="AK200" s="15"/>
      <c r="AL200" s="21"/>
      <c r="AM200" s="15"/>
      <c r="AN200" s="15"/>
      <c r="AO200" s="15"/>
      <c r="AP200" s="15"/>
      <c r="AQ200" s="15"/>
      <c r="AR200" s="15"/>
      <c r="AS200" s="15"/>
      <c r="AT200" s="19" t="str">
        <f>IF(COUNTA(A200:I200)+COUNTA(N200:X200)+COUNTA(AA200:AE200)+COUNTA(AH200:AS200)=0,"",IF(AND(A200&lt;&gt;"",E200&lt;&gt;"",OR(F200&lt;&gt;"",G200&lt;&gt;""),H200&lt;&gt;"",I200&lt;&gt;"",J200&lt;&gt;"No en catálogo",S200&lt;&gt;"",T200&lt;&gt;"",U200&lt;&gt;"",V200&lt;&gt;"",OR(AR200&lt;&gt;"",AND(W200&lt;&gt;"",X200&lt;&gt;"",AA200&lt;&gt;"",AB200&lt;&gt;"")),OR(AS200&lt;&gt;"",AND(AD200&lt;&gt;"",AE200&lt;&gt;"",AH200&lt;&gt;"",AI200&lt;&gt;"")),AK200&lt;&gt;"",OR(AK200&lt;&gt;"programado",AL200&lt;&gt;""),OR(AM200&lt;&gt;"específica",AN200&lt;&gt;""),OR(AO200&lt;&gt;"específica",AP200&lt;&gt;"")),"OK","Revisar"))</f>
        <v/>
      </c>
    </row>
    <row r="201" ht="15" customHeight="1" spans="1:46" x14ac:dyDescent="0.25">
      <c r="A201" s="15"/>
      <c r="B201" s="15"/>
      <c r="C201" s="15"/>
      <c r="D201" s="15"/>
      <c r="E201" s="15"/>
      <c r="F201" s="15"/>
      <c r="G201" s="15"/>
      <c r="H201" s="15"/>
      <c r="I201" s="15"/>
      <c r="J201" s="19">
        <f>IF(OR(H201="",I201=""),"",IFERROR(INDEX(Catalogo_Vehiculos!$C$2:$C$1325,MATCH(TRUE(),INDEX(Catalogo_Vehiculos!$G$2:$G$1325=H201&amp;"|"&amp;I201,0),0)),"No en catálogo"))</f>
      </c>
      <c r="K201" s="19">
        <f>IF(OR(H201="",I201=""),"",IFERROR(INDEX(Catalogo_Vehiculos!$D$2:$D$1325,MATCH(TRUE(),INDEX(Catalogo_Vehiculos!$G$2:$G$1325=H201&amp;"|"&amp;I201,0),0)),"No en catálogo"))</f>
      </c>
      <c r="L201" s="19">
        <f>IF(OR(H201="",I201=""),"",IFERROR(INDEX(Catalogo_Vehiculos!$E$2:$E$1325,MATCH(TRUE(),INDEX(Catalogo_Vehiculos!$G$2:$G$1325=H201&amp;"|"&amp;I201,0),0)),"No en catálogo"))</f>
      </c>
      <c r="M201" s="19">
        <f>IF(OR(H201="",I201=""),"",IFERROR(INDEX(Catalogo_Vehiculos!$F$2:$F$1325,MATCH(TRUE(),INDEX(Catalogo_Vehiculos!$G$2:$G$1325=H201&amp;"|"&amp;I201,0),0)),"No en catálogo"))</f>
      </c>
      <c r="N201" s="20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9"/>
      <c r="Z201" s="19"/>
      <c r="AA201" s="15"/>
      <c r="AB201" s="15"/>
      <c r="AC201" s="15"/>
      <c r="AD201" s="15"/>
      <c r="AE201" s="15"/>
      <c r="AF201" s="19"/>
      <c r="AG201" s="19"/>
      <c r="AH201" s="15"/>
      <c r="AI201" s="15"/>
      <c r="AJ201" s="15"/>
      <c r="AK201" s="15"/>
      <c r="AL201" s="21"/>
      <c r="AM201" s="15"/>
      <c r="AN201" s="15"/>
      <c r="AO201" s="15"/>
      <c r="AP201" s="15"/>
      <c r="AQ201" s="15"/>
      <c r="AR201" s="15"/>
      <c r="AS201" s="15"/>
      <c r="AT201" s="19" t="str">
        <f>IF(COUNTA(A201:I201)+COUNTA(N201:X201)+COUNTA(AA201:AE201)+COUNTA(AH201:AS201)=0,"",IF(AND(A201&lt;&gt;"",E201&lt;&gt;"",OR(F201&lt;&gt;"",G201&lt;&gt;""),H201&lt;&gt;"",I201&lt;&gt;"",J201&lt;&gt;"No en catálogo",S201&lt;&gt;"",T201&lt;&gt;"",U201&lt;&gt;"",V201&lt;&gt;"",OR(AR201&lt;&gt;"",AND(W201&lt;&gt;"",X201&lt;&gt;"",AA201&lt;&gt;"",AB201&lt;&gt;"")),OR(AS201&lt;&gt;"",AND(AD201&lt;&gt;"",AE201&lt;&gt;"",AH201&lt;&gt;"",AI201&lt;&gt;"")),AK201&lt;&gt;"",OR(AK201&lt;&gt;"programado",AL201&lt;&gt;""),OR(AM201&lt;&gt;"específica",AN201&lt;&gt;""),OR(AO201&lt;&gt;"específica",AP201&lt;&gt;"")),"OK","Revisar"))</f>
        <v/>
      </c>
    </row>
    <row r="202" ht="15" customHeight="1" spans="1:46" x14ac:dyDescent="0.25">
      <c r="A202" s="15"/>
      <c r="B202" s="15"/>
      <c r="C202" s="15"/>
      <c r="D202" s="15"/>
      <c r="E202" s="15"/>
      <c r="F202" s="15"/>
      <c r="G202" s="15"/>
      <c r="H202" s="15"/>
      <c r="I202" s="15"/>
      <c r="J202" s="19">
        <f>IF(OR(H202="",I202=""),"",IFERROR(INDEX(Catalogo_Vehiculos!$C$2:$C$1325,MATCH(TRUE(),INDEX(Catalogo_Vehiculos!$G$2:$G$1325=H202&amp;"|"&amp;I202,0),0)),"No en catálogo"))</f>
      </c>
      <c r="K202" s="19">
        <f>IF(OR(H202="",I202=""),"",IFERROR(INDEX(Catalogo_Vehiculos!$D$2:$D$1325,MATCH(TRUE(),INDEX(Catalogo_Vehiculos!$G$2:$G$1325=H202&amp;"|"&amp;I202,0),0)),"No en catálogo"))</f>
      </c>
      <c r="L202" s="19">
        <f>IF(OR(H202="",I202=""),"",IFERROR(INDEX(Catalogo_Vehiculos!$E$2:$E$1325,MATCH(TRUE(),INDEX(Catalogo_Vehiculos!$G$2:$G$1325=H202&amp;"|"&amp;I202,0),0)),"No en catálogo"))</f>
      </c>
      <c r="M202" s="19">
        <f>IF(OR(H202="",I202=""),"",IFERROR(INDEX(Catalogo_Vehiculos!$F$2:$F$1325,MATCH(TRUE(),INDEX(Catalogo_Vehiculos!$G$2:$G$1325=H202&amp;"|"&amp;I202,0),0)),"No en catálogo"))</f>
      </c>
      <c r="N202" s="20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9"/>
      <c r="Z202" s="19"/>
      <c r="AA202" s="15"/>
      <c r="AB202" s="15"/>
      <c r="AC202" s="15"/>
      <c r="AD202" s="15"/>
      <c r="AE202" s="15"/>
      <c r="AF202" s="19"/>
      <c r="AG202" s="19"/>
      <c r="AH202" s="15"/>
      <c r="AI202" s="15"/>
      <c r="AJ202" s="15"/>
      <c r="AK202" s="15"/>
      <c r="AL202" s="21"/>
      <c r="AM202" s="15"/>
      <c r="AN202" s="15"/>
      <c r="AO202" s="15"/>
      <c r="AP202" s="15"/>
      <c r="AQ202" s="15"/>
      <c r="AR202" s="15"/>
      <c r="AS202" s="15"/>
      <c r="AT202" s="19" t="str">
        <f>IF(COUNTA(A202:I202)+COUNTA(N202:X202)+COUNTA(AA202:AE202)+COUNTA(AH202:AS202)=0,"",IF(AND(A202&lt;&gt;"",E202&lt;&gt;"",OR(F202&lt;&gt;"",G202&lt;&gt;""),H202&lt;&gt;"",I202&lt;&gt;"",J202&lt;&gt;"No en catálogo",S202&lt;&gt;"",T202&lt;&gt;"",U202&lt;&gt;"",V202&lt;&gt;"",OR(AR202&lt;&gt;"",AND(W202&lt;&gt;"",X202&lt;&gt;"",AA202&lt;&gt;"",AB202&lt;&gt;"")),OR(AS202&lt;&gt;"",AND(AD202&lt;&gt;"",AE202&lt;&gt;"",AH202&lt;&gt;"",AI202&lt;&gt;"")),AK202&lt;&gt;"",OR(AK202&lt;&gt;"programado",AL202&lt;&gt;""),OR(AM202&lt;&gt;"específica",AN202&lt;&gt;""),OR(AO202&lt;&gt;"específica",AP202&lt;&gt;"")),"OK","Revisar"))</f>
        <v/>
      </c>
    </row>
    <row r="203" ht="15" customHeight="1" spans="1:46" x14ac:dyDescent="0.25">
      <c r="A203" s="15"/>
      <c r="B203" s="15"/>
      <c r="C203" s="15"/>
      <c r="D203" s="15"/>
      <c r="E203" s="15"/>
      <c r="F203" s="15"/>
      <c r="G203" s="15"/>
      <c r="H203" s="15"/>
      <c r="I203" s="15"/>
      <c r="J203" s="19">
        <f>IF(OR(H203="",I203=""),"",IFERROR(INDEX(Catalogo_Vehiculos!$C$2:$C$1325,MATCH(TRUE(),INDEX(Catalogo_Vehiculos!$G$2:$G$1325=H203&amp;"|"&amp;I203,0),0)),"No en catálogo"))</f>
      </c>
      <c r="K203" s="19">
        <f>IF(OR(H203="",I203=""),"",IFERROR(INDEX(Catalogo_Vehiculos!$D$2:$D$1325,MATCH(TRUE(),INDEX(Catalogo_Vehiculos!$G$2:$G$1325=H203&amp;"|"&amp;I203,0),0)),"No en catálogo"))</f>
      </c>
      <c r="L203" s="19">
        <f>IF(OR(H203="",I203=""),"",IFERROR(INDEX(Catalogo_Vehiculos!$E$2:$E$1325,MATCH(TRUE(),INDEX(Catalogo_Vehiculos!$G$2:$G$1325=H203&amp;"|"&amp;I203,0),0)),"No en catálogo"))</f>
      </c>
      <c r="M203" s="19">
        <f>IF(OR(H203="",I203=""),"",IFERROR(INDEX(Catalogo_Vehiculos!$F$2:$F$1325,MATCH(TRUE(),INDEX(Catalogo_Vehiculos!$G$2:$G$1325=H203&amp;"|"&amp;I203,0),0)),"No en catálogo"))</f>
      </c>
      <c r="N203" s="20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9"/>
      <c r="Z203" s="19"/>
      <c r="AA203" s="15"/>
      <c r="AB203" s="15"/>
      <c r="AC203" s="15"/>
      <c r="AD203" s="15"/>
      <c r="AE203" s="15"/>
      <c r="AF203" s="19"/>
      <c r="AG203" s="19"/>
      <c r="AH203" s="15"/>
      <c r="AI203" s="15"/>
      <c r="AJ203" s="15"/>
      <c r="AK203" s="15"/>
      <c r="AL203" s="21"/>
      <c r="AM203" s="15"/>
      <c r="AN203" s="15"/>
      <c r="AO203" s="15"/>
      <c r="AP203" s="15"/>
      <c r="AQ203" s="15"/>
      <c r="AR203" s="15"/>
      <c r="AS203" s="15"/>
      <c r="AT203" s="19" t="str">
        <f>IF(COUNTA(A203:I203)+COUNTA(N203:X203)+COUNTA(AA203:AE203)+COUNTA(AH203:AS203)=0,"",IF(AND(A203&lt;&gt;"",E203&lt;&gt;"",OR(F203&lt;&gt;"",G203&lt;&gt;""),H203&lt;&gt;"",I203&lt;&gt;"",J203&lt;&gt;"No en catálogo",S203&lt;&gt;"",T203&lt;&gt;"",U203&lt;&gt;"",V203&lt;&gt;"",OR(AR203&lt;&gt;"",AND(W203&lt;&gt;"",X203&lt;&gt;"",AA203&lt;&gt;"",AB203&lt;&gt;"")),OR(AS203&lt;&gt;"",AND(AD203&lt;&gt;"",AE203&lt;&gt;"",AH203&lt;&gt;"",AI203&lt;&gt;"")),AK203&lt;&gt;"",OR(AK203&lt;&gt;"programado",AL203&lt;&gt;""),OR(AM203&lt;&gt;"específica",AN203&lt;&gt;""),OR(AO203&lt;&gt;"específica",AP203&lt;&gt;"")),"OK","Revisar"))</f>
        <v/>
      </c>
    </row>
    <row r="204" ht="15" customHeight="1" spans="1:46" x14ac:dyDescent="0.25">
      <c r="A204" s="15"/>
      <c r="B204" s="15"/>
      <c r="C204" s="15"/>
      <c r="D204" s="15"/>
      <c r="E204" s="15"/>
      <c r="F204" s="15"/>
      <c r="G204" s="15"/>
      <c r="H204" s="15"/>
      <c r="I204" s="15"/>
      <c r="J204" s="19">
        <f>IF(OR(H204="",I204=""),"",IFERROR(INDEX(Catalogo_Vehiculos!$C$2:$C$1325,MATCH(TRUE(),INDEX(Catalogo_Vehiculos!$G$2:$G$1325=H204&amp;"|"&amp;I204,0),0)),"No en catálogo"))</f>
      </c>
      <c r="K204" s="19">
        <f>IF(OR(H204="",I204=""),"",IFERROR(INDEX(Catalogo_Vehiculos!$D$2:$D$1325,MATCH(TRUE(),INDEX(Catalogo_Vehiculos!$G$2:$G$1325=H204&amp;"|"&amp;I204,0),0)),"No en catálogo"))</f>
      </c>
      <c r="L204" s="19">
        <f>IF(OR(H204="",I204=""),"",IFERROR(INDEX(Catalogo_Vehiculos!$E$2:$E$1325,MATCH(TRUE(),INDEX(Catalogo_Vehiculos!$G$2:$G$1325=H204&amp;"|"&amp;I204,0),0)),"No en catálogo"))</f>
      </c>
      <c r="M204" s="19">
        <f>IF(OR(H204="",I204=""),"",IFERROR(INDEX(Catalogo_Vehiculos!$F$2:$F$1325,MATCH(TRUE(),INDEX(Catalogo_Vehiculos!$G$2:$G$1325=H204&amp;"|"&amp;I204,0),0)),"No en catálogo"))</f>
      </c>
      <c r="N204" s="20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9"/>
      <c r="Z204" s="19"/>
      <c r="AA204" s="15"/>
      <c r="AB204" s="15"/>
      <c r="AC204" s="15"/>
      <c r="AD204" s="15"/>
      <c r="AE204" s="15"/>
      <c r="AF204" s="19"/>
      <c r="AG204" s="19"/>
      <c r="AH204" s="15"/>
      <c r="AI204" s="15"/>
      <c r="AJ204" s="15"/>
      <c r="AK204" s="15"/>
      <c r="AL204" s="21"/>
      <c r="AM204" s="15"/>
      <c r="AN204" s="15"/>
      <c r="AO204" s="15"/>
      <c r="AP204" s="15"/>
      <c r="AQ204" s="15"/>
      <c r="AR204" s="15"/>
      <c r="AS204" s="15"/>
      <c r="AT204" s="19" t="str">
        <f>IF(COUNTA(A204:I204)+COUNTA(N204:X204)+COUNTA(AA204:AE204)+COUNTA(AH204:AS204)=0,"",IF(AND(A204&lt;&gt;"",E204&lt;&gt;"",OR(F204&lt;&gt;"",G204&lt;&gt;""),H204&lt;&gt;"",I204&lt;&gt;"",J204&lt;&gt;"No en catálogo",S204&lt;&gt;"",T204&lt;&gt;"",U204&lt;&gt;"",V204&lt;&gt;"",OR(AR204&lt;&gt;"",AND(W204&lt;&gt;"",X204&lt;&gt;"",AA204&lt;&gt;"",AB204&lt;&gt;"")),OR(AS204&lt;&gt;"",AND(AD204&lt;&gt;"",AE204&lt;&gt;"",AH204&lt;&gt;"",AI204&lt;&gt;"")),AK204&lt;&gt;"",OR(AK204&lt;&gt;"programado",AL204&lt;&gt;""),OR(AM204&lt;&gt;"específica",AN204&lt;&gt;""),OR(AO204&lt;&gt;"específica",AP204&lt;&gt;"")),"OK","Revisar"))</f>
        <v/>
      </c>
    </row>
    <row r="205" ht="15" customHeight="1" spans="1:46" x14ac:dyDescent="0.25">
      <c r="A205" s="15"/>
      <c r="B205" s="15"/>
      <c r="C205" s="15"/>
      <c r="D205" s="15"/>
      <c r="E205" s="15"/>
      <c r="F205" s="15"/>
      <c r="G205" s="15"/>
      <c r="H205" s="15"/>
      <c r="I205" s="15"/>
      <c r="J205" s="19">
        <f>IF(OR(H205="",I205=""),"",IFERROR(INDEX(Catalogo_Vehiculos!$C$2:$C$1325,MATCH(TRUE(),INDEX(Catalogo_Vehiculos!$G$2:$G$1325=H205&amp;"|"&amp;I205,0),0)),"No en catálogo"))</f>
      </c>
      <c r="K205" s="19">
        <f>IF(OR(H205="",I205=""),"",IFERROR(INDEX(Catalogo_Vehiculos!$D$2:$D$1325,MATCH(TRUE(),INDEX(Catalogo_Vehiculos!$G$2:$G$1325=H205&amp;"|"&amp;I205,0),0)),"No en catálogo"))</f>
      </c>
      <c r="L205" s="19">
        <f>IF(OR(H205="",I205=""),"",IFERROR(INDEX(Catalogo_Vehiculos!$E$2:$E$1325,MATCH(TRUE(),INDEX(Catalogo_Vehiculos!$G$2:$G$1325=H205&amp;"|"&amp;I205,0),0)),"No en catálogo"))</f>
      </c>
      <c r="M205" s="19">
        <f>IF(OR(H205="",I205=""),"",IFERROR(INDEX(Catalogo_Vehiculos!$F$2:$F$1325,MATCH(TRUE(),INDEX(Catalogo_Vehiculos!$G$2:$G$1325=H205&amp;"|"&amp;I205,0),0)),"No en catálogo"))</f>
      </c>
      <c r="N205" s="20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9"/>
      <c r="Z205" s="19"/>
      <c r="AA205" s="15"/>
      <c r="AB205" s="15"/>
      <c r="AC205" s="15"/>
      <c r="AD205" s="15"/>
      <c r="AE205" s="15"/>
      <c r="AF205" s="19"/>
      <c r="AG205" s="19"/>
      <c r="AH205" s="15"/>
      <c r="AI205" s="15"/>
      <c r="AJ205" s="15"/>
      <c r="AK205" s="15"/>
      <c r="AL205" s="21"/>
      <c r="AM205" s="15"/>
      <c r="AN205" s="15"/>
      <c r="AO205" s="15"/>
      <c r="AP205" s="15"/>
      <c r="AQ205" s="15"/>
      <c r="AR205" s="15"/>
      <c r="AS205" s="15"/>
      <c r="AT205" s="19" t="str">
        <f>IF(COUNTA(A205:I205)+COUNTA(N205:X205)+COUNTA(AA205:AE205)+COUNTA(AH205:AS205)=0,"",IF(AND(A205&lt;&gt;"",E205&lt;&gt;"",OR(F205&lt;&gt;"",G205&lt;&gt;""),H205&lt;&gt;"",I205&lt;&gt;"",J205&lt;&gt;"No en catálogo",S205&lt;&gt;"",T205&lt;&gt;"",U205&lt;&gt;"",V205&lt;&gt;"",OR(AR205&lt;&gt;"",AND(W205&lt;&gt;"",X205&lt;&gt;"",AA205&lt;&gt;"",AB205&lt;&gt;"")),OR(AS205&lt;&gt;"",AND(AD205&lt;&gt;"",AE205&lt;&gt;"",AH205&lt;&gt;"",AI205&lt;&gt;"")),AK205&lt;&gt;"",OR(AK205&lt;&gt;"programado",AL205&lt;&gt;""),OR(AM205&lt;&gt;"específica",AN205&lt;&gt;""),OR(AO205&lt;&gt;"específica",AP205&lt;&gt;"")),"OK","Revisar"))</f>
        <v/>
      </c>
    </row>
    <row r="206" ht="15" customHeight="1" spans="1:46" x14ac:dyDescent="0.25">
      <c r="A206" s="15"/>
      <c r="B206" s="15"/>
      <c r="C206" s="15"/>
      <c r="D206" s="15"/>
      <c r="E206" s="15"/>
      <c r="F206" s="15"/>
      <c r="G206" s="15"/>
      <c r="H206" s="15"/>
      <c r="I206" s="15"/>
      <c r="J206" s="19">
        <f>IF(OR(H206="",I206=""),"",IFERROR(INDEX(Catalogo_Vehiculos!$C$2:$C$1325,MATCH(TRUE(),INDEX(Catalogo_Vehiculos!$G$2:$G$1325=H206&amp;"|"&amp;I206,0),0)),"No en catálogo"))</f>
      </c>
      <c r="K206" s="19">
        <f>IF(OR(H206="",I206=""),"",IFERROR(INDEX(Catalogo_Vehiculos!$D$2:$D$1325,MATCH(TRUE(),INDEX(Catalogo_Vehiculos!$G$2:$G$1325=H206&amp;"|"&amp;I206,0),0)),"No en catálogo"))</f>
      </c>
      <c r="L206" s="19">
        <f>IF(OR(H206="",I206=""),"",IFERROR(INDEX(Catalogo_Vehiculos!$E$2:$E$1325,MATCH(TRUE(),INDEX(Catalogo_Vehiculos!$G$2:$G$1325=H206&amp;"|"&amp;I206,0),0)),"No en catálogo"))</f>
      </c>
      <c r="M206" s="19">
        <f>IF(OR(H206="",I206=""),"",IFERROR(INDEX(Catalogo_Vehiculos!$F$2:$F$1325,MATCH(TRUE(),INDEX(Catalogo_Vehiculos!$G$2:$G$1325=H206&amp;"|"&amp;I206,0),0)),"No en catálogo"))</f>
      </c>
      <c r="N206" s="20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9"/>
      <c r="Z206" s="19"/>
      <c r="AA206" s="15"/>
      <c r="AB206" s="15"/>
      <c r="AC206" s="15"/>
      <c r="AD206" s="15"/>
      <c r="AE206" s="15"/>
      <c r="AF206" s="19"/>
      <c r="AG206" s="19"/>
      <c r="AH206" s="15"/>
      <c r="AI206" s="15"/>
      <c r="AJ206" s="15"/>
      <c r="AK206" s="15"/>
      <c r="AL206" s="21"/>
      <c r="AM206" s="15"/>
      <c r="AN206" s="15"/>
      <c r="AO206" s="15"/>
      <c r="AP206" s="15"/>
      <c r="AQ206" s="15"/>
      <c r="AR206" s="15"/>
      <c r="AS206" s="15"/>
      <c r="AT206" s="19" t="str">
        <f>IF(COUNTA(A206:I206)+COUNTA(N206:X206)+COUNTA(AA206:AE206)+COUNTA(AH206:AS206)=0,"",IF(AND(A206&lt;&gt;"",E206&lt;&gt;"",OR(F206&lt;&gt;"",G206&lt;&gt;""),H206&lt;&gt;"",I206&lt;&gt;"",J206&lt;&gt;"No en catálogo",S206&lt;&gt;"",T206&lt;&gt;"",U206&lt;&gt;"",V206&lt;&gt;"",OR(AR206&lt;&gt;"",AND(W206&lt;&gt;"",X206&lt;&gt;"",AA206&lt;&gt;"",AB206&lt;&gt;"")),OR(AS206&lt;&gt;"",AND(AD206&lt;&gt;"",AE206&lt;&gt;"",AH206&lt;&gt;"",AI206&lt;&gt;"")),AK206&lt;&gt;"",OR(AK206&lt;&gt;"programado",AL206&lt;&gt;""),OR(AM206&lt;&gt;"específica",AN206&lt;&gt;""),OR(AO206&lt;&gt;"específica",AP206&lt;&gt;"")),"OK","Revisar"))</f>
        <v/>
      </c>
    </row>
    <row r="207" ht="15" customHeight="1" spans="1:46" x14ac:dyDescent="0.25">
      <c r="A207" s="15"/>
      <c r="B207" s="15"/>
      <c r="C207" s="15"/>
      <c r="D207" s="15"/>
      <c r="E207" s="15"/>
      <c r="F207" s="15"/>
      <c r="G207" s="15"/>
      <c r="H207" s="15"/>
      <c r="I207" s="15"/>
      <c r="J207" s="19">
        <f>IF(OR(H207="",I207=""),"",IFERROR(INDEX(Catalogo_Vehiculos!$C$2:$C$1325,MATCH(TRUE(),INDEX(Catalogo_Vehiculos!$G$2:$G$1325=H207&amp;"|"&amp;I207,0),0)),"No en catálogo"))</f>
      </c>
      <c r="K207" s="19">
        <f>IF(OR(H207="",I207=""),"",IFERROR(INDEX(Catalogo_Vehiculos!$D$2:$D$1325,MATCH(TRUE(),INDEX(Catalogo_Vehiculos!$G$2:$G$1325=H207&amp;"|"&amp;I207,0),0)),"No en catálogo"))</f>
      </c>
      <c r="L207" s="19">
        <f>IF(OR(H207="",I207=""),"",IFERROR(INDEX(Catalogo_Vehiculos!$E$2:$E$1325,MATCH(TRUE(),INDEX(Catalogo_Vehiculos!$G$2:$G$1325=H207&amp;"|"&amp;I207,0),0)),"No en catálogo"))</f>
      </c>
      <c r="M207" s="19">
        <f>IF(OR(H207="",I207=""),"",IFERROR(INDEX(Catalogo_Vehiculos!$F$2:$F$1325,MATCH(TRUE(),INDEX(Catalogo_Vehiculos!$G$2:$G$1325=H207&amp;"|"&amp;I207,0),0)),"No en catálogo"))</f>
      </c>
      <c r="N207" s="20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9"/>
      <c r="Z207" s="19"/>
      <c r="AA207" s="15"/>
      <c r="AB207" s="15"/>
      <c r="AC207" s="15"/>
      <c r="AD207" s="15"/>
      <c r="AE207" s="15"/>
      <c r="AF207" s="19"/>
      <c r="AG207" s="19"/>
      <c r="AH207" s="15"/>
      <c r="AI207" s="15"/>
      <c r="AJ207" s="15"/>
      <c r="AK207" s="15"/>
      <c r="AL207" s="21"/>
      <c r="AM207" s="15"/>
      <c r="AN207" s="15"/>
      <c r="AO207" s="15"/>
      <c r="AP207" s="15"/>
      <c r="AQ207" s="15"/>
      <c r="AR207" s="15"/>
      <c r="AS207" s="15"/>
      <c r="AT207" s="19" t="str">
        <f>IF(COUNTA(A207:I207)+COUNTA(N207:X207)+COUNTA(AA207:AE207)+COUNTA(AH207:AS207)=0,"",IF(AND(A207&lt;&gt;"",E207&lt;&gt;"",OR(F207&lt;&gt;"",G207&lt;&gt;""),H207&lt;&gt;"",I207&lt;&gt;"",J207&lt;&gt;"No en catálogo",S207&lt;&gt;"",T207&lt;&gt;"",U207&lt;&gt;"",V207&lt;&gt;"",OR(AR207&lt;&gt;"",AND(W207&lt;&gt;"",X207&lt;&gt;"",AA207&lt;&gt;"",AB207&lt;&gt;"")),OR(AS207&lt;&gt;"",AND(AD207&lt;&gt;"",AE207&lt;&gt;"",AH207&lt;&gt;"",AI207&lt;&gt;"")),AK207&lt;&gt;"",OR(AK207&lt;&gt;"programado",AL207&lt;&gt;""),OR(AM207&lt;&gt;"específica",AN207&lt;&gt;""),OR(AO207&lt;&gt;"específica",AP207&lt;&gt;"")),"OK","Revisar"))</f>
        <v/>
      </c>
    </row>
    <row r="208" ht="15" customHeight="1" spans="1:46" x14ac:dyDescent="0.25">
      <c r="A208" s="15"/>
      <c r="B208" s="15"/>
      <c r="C208" s="15"/>
      <c r="D208" s="15"/>
      <c r="E208" s="15"/>
      <c r="F208" s="15"/>
      <c r="G208" s="15"/>
      <c r="H208" s="15"/>
      <c r="I208" s="15"/>
      <c r="J208" s="19">
        <f>IF(OR(H208="",I208=""),"",IFERROR(INDEX(Catalogo_Vehiculos!$C$2:$C$1325,MATCH(TRUE(),INDEX(Catalogo_Vehiculos!$G$2:$G$1325=H208&amp;"|"&amp;I208,0),0)),"No en catálogo"))</f>
      </c>
      <c r="K208" s="19">
        <f>IF(OR(H208="",I208=""),"",IFERROR(INDEX(Catalogo_Vehiculos!$D$2:$D$1325,MATCH(TRUE(),INDEX(Catalogo_Vehiculos!$G$2:$G$1325=H208&amp;"|"&amp;I208,0),0)),"No en catálogo"))</f>
      </c>
      <c r="L208" s="19">
        <f>IF(OR(H208="",I208=""),"",IFERROR(INDEX(Catalogo_Vehiculos!$E$2:$E$1325,MATCH(TRUE(),INDEX(Catalogo_Vehiculos!$G$2:$G$1325=H208&amp;"|"&amp;I208,0),0)),"No en catálogo"))</f>
      </c>
      <c r="M208" s="19">
        <f>IF(OR(H208="",I208=""),"",IFERROR(INDEX(Catalogo_Vehiculos!$F$2:$F$1325,MATCH(TRUE(),INDEX(Catalogo_Vehiculos!$G$2:$G$1325=H208&amp;"|"&amp;I208,0),0)),"No en catálogo"))</f>
      </c>
      <c r="N208" s="20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9"/>
      <c r="Z208" s="19"/>
      <c r="AA208" s="15"/>
      <c r="AB208" s="15"/>
      <c r="AC208" s="15"/>
      <c r="AD208" s="15"/>
      <c r="AE208" s="15"/>
      <c r="AF208" s="19"/>
      <c r="AG208" s="19"/>
      <c r="AH208" s="15"/>
      <c r="AI208" s="15"/>
      <c r="AJ208" s="15"/>
      <c r="AK208" s="15"/>
      <c r="AL208" s="21"/>
      <c r="AM208" s="15"/>
      <c r="AN208" s="15"/>
      <c r="AO208" s="15"/>
      <c r="AP208" s="15"/>
      <c r="AQ208" s="15"/>
      <c r="AR208" s="15"/>
      <c r="AS208" s="15"/>
      <c r="AT208" s="19" t="str">
        <f>IF(COUNTA(A208:I208)+COUNTA(N208:X208)+COUNTA(AA208:AE208)+COUNTA(AH208:AS208)=0,"",IF(AND(A208&lt;&gt;"",E208&lt;&gt;"",OR(F208&lt;&gt;"",G208&lt;&gt;""),H208&lt;&gt;"",I208&lt;&gt;"",J208&lt;&gt;"No en catálogo",S208&lt;&gt;"",T208&lt;&gt;"",U208&lt;&gt;"",V208&lt;&gt;"",OR(AR208&lt;&gt;"",AND(W208&lt;&gt;"",X208&lt;&gt;"",AA208&lt;&gt;"",AB208&lt;&gt;"")),OR(AS208&lt;&gt;"",AND(AD208&lt;&gt;"",AE208&lt;&gt;"",AH208&lt;&gt;"",AI208&lt;&gt;"")),AK208&lt;&gt;"",OR(AK208&lt;&gt;"programado",AL208&lt;&gt;""),OR(AM208&lt;&gt;"específica",AN208&lt;&gt;""),OR(AO208&lt;&gt;"específica",AP208&lt;&gt;"")),"OK","Revisar"))</f>
        <v/>
      </c>
    </row>
    <row r="209" ht="15" customHeight="1" spans="1:46" x14ac:dyDescent="0.25">
      <c r="A209" s="15"/>
      <c r="B209" s="15"/>
      <c r="C209" s="15"/>
      <c r="D209" s="15"/>
      <c r="E209" s="15"/>
      <c r="F209" s="15"/>
      <c r="G209" s="15"/>
      <c r="H209" s="15"/>
      <c r="I209" s="15"/>
      <c r="J209" s="19">
        <f>IF(OR(H209="",I209=""),"",IFERROR(INDEX(Catalogo_Vehiculos!$C$2:$C$1325,MATCH(TRUE(),INDEX(Catalogo_Vehiculos!$G$2:$G$1325=H209&amp;"|"&amp;I209,0),0)),"No en catálogo"))</f>
      </c>
      <c r="K209" s="19">
        <f>IF(OR(H209="",I209=""),"",IFERROR(INDEX(Catalogo_Vehiculos!$D$2:$D$1325,MATCH(TRUE(),INDEX(Catalogo_Vehiculos!$G$2:$G$1325=H209&amp;"|"&amp;I209,0),0)),"No en catálogo"))</f>
      </c>
      <c r="L209" s="19">
        <f>IF(OR(H209="",I209=""),"",IFERROR(INDEX(Catalogo_Vehiculos!$E$2:$E$1325,MATCH(TRUE(),INDEX(Catalogo_Vehiculos!$G$2:$G$1325=H209&amp;"|"&amp;I209,0),0)),"No en catálogo"))</f>
      </c>
      <c r="M209" s="19">
        <f>IF(OR(H209="",I209=""),"",IFERROR(INDEX(Catalogo_Vehiculos!$F$2:$F$1325,MATCH(TRUE(),INDEX(Catalogo_Vehiculos!$G$2:$G$1325=H209&amp;"|"&amp;I209,0),0)),"No en catálogo"))</f>
      </c>
      <c r="N209" s="20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9"/>
      <c r="Z209" s="19"/>
      <c r="AA209" s="15"/>
      <c r="AB209" s="15"/>
      <c r="AC209" s="15"/>
      <c r="AD209" s="15"/>
      <c r="AE209" s="15"/>
      <c r="AF209" s="19"/>
      <c r="AG209" s="19"/>
      <c r="AH209" s="15"/>
      <c r="AI209" s="15"/>
      <c r="AJ209" s="15"/>
      <c r="AK209" s="15"/>
      <c r="AL209" s="21"/>
      <c r="AM209" s="15"/>
      <c r="AN209" s="15"/>
      <c r="AO209" s="15"/>
      <c r="AP209" s="15"/>
      <c r="AQ209" s="15"/>
      <c r="AR209" s="15"/>
      <c r="AS209" s="15"/>
      <c r="AT209" s="19" t="str">
        <f>IF(COUNTA(A209:I209)+COUNTA(N209:X209)+COUNTA(AA209:AE209)+COUNTA(AH209:AS209)=0,"",IF(AND(A209&lt;&gt;"",E209&lt;&gt;"",OR(F209&lt;&gt;"",G209&lt;&gt;""),H209&lt;&gt;"",I209&lt;&gt;"",J209&lt;&gt;"No en catálogo",S209&lt;&gt;"",T209&lt;&gt;"",U209&lt;&gt;"",V209&lt;&gt;"",OR(AR209&lt;&gt;"",AND(W209&lt;&gt;"",X209&lt;&gt;"",AA209&lt;&gt;"",AB209&lt;&gt;"")),OR(AS209&lt;&gt;"",AND(AD209&lt;&gt;"",AE209&lt;&gt;"",AH209&lt;&gt;"",AI209&lt;&gt;"")),AK209&lt;&gt;"",OR(AK209&lt;&gt;"programado",AL209&lt;&gt;""),OR(AM209&lt;&gt;"específica",AN209&lt;&gt;""),OR(AO209&lt;&gt;"específica",AP209&lt;&gt;"")),"OK","Revisar"))</f>
        <v/>
      </c>
    </row>
    <row r="210" ht="15" customHeight="1" spans="1:46" x14ac:dyDescent="0.25">
      <c r="A210" s="15"/>
      <c r="B210" s="15"/>
      <c r="C210" s="15"/>
      <c r="D210" s="15"/>
      <c r="E210" s="15"/>
      <c r="F210" s="15"/>
      <c r="G210" s="15"/>
      <c r="H210" s="15"/>
      <c r="I210" s="15"/>
      <c r="J210" s="19">
        <f>IF(OR(H210="",I210=""),"",IFERROR(INDEX(Catalogo_Vehiculos!$C$2:$C$1325,MATCH(TRUE(),INDEX(Catalogo_Vehiculos!$G$2:$G$1325=H210&amp;"|"&amp;I210,0),0)),"No en catálogo"))</f>
      </c>
      <c r="K210" s="19">
        <f>IF(OR(H210="",I210=""),"",IFERROR(INDEX(Catalogo_Vehiculos!$D$2:$D$1325,MATCH(TRUE(),INDEX(Catalogo_Vehiculos!$G$2:$G$1325=H210&amp;"|"&amp;I210,0),0)),"No en catálogo"))</f>
      </c>
      <c r="L210" s="19">
        <f>IF(OR(H210="",I210=""),"",IFERROR(INDEX(Catalogo_Vehiculos!$E$2:$E$1325,MATCH(TRUE(),INDEX(Catalogo_Vehiculos!$G$2:$G$1325=H210&amp;"|"&amp;I210,0),0)),"No en catálogo"))</f>
      </c>
      <c r="M210" s="19">
        <f>IF(OR(H210="",I210=""),"",IFERROR(INDEX(Catalogo_Vehiculos!$F$2:$F$1325,MATCH(TRUE(),INDEX(Catalogo_Vehiculos!$G$2:$G$1325=H210&amp;"|"&amp;I210,0),0)),"No en catálogo"))</f>
      </c>
      <c r="N210" s="20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9"/>
      <c r="Z210" s="19"/>
      <c r="AA210" s="15"/>
      <c r="AB210" s="15"/>
      <c r="AC210" s="15"/>
      <c r="AD210" s="15"/>
      <c r="AE210" s="15"/>
      <c r="AF210" s="19"/>
      <c r="AG210" s="19"/>
      <c r="AH210" s="15"/>
      <c r="AI210" s="15"/>
      <c r="AJ210" s="15"/>
      <c r="AK210" s="15"/>
      <c r="AL210" s="21"/>
      <c r="AM210" s="15"/>
      <c r="AN210" s="15"/>
      <c r="AO210" s="15"/>
      <c r="AP210" s="15"/>
      <c r="AQ210" s="15"/>
      <c r="AR210" s="15"/>
      <c r="AS210" s="15"/>
      <c r="AT210" s="19" t="str">
        <f>IF(COUNTA(A210:I210)+COUNTA(N210:X210)+COUNTA(AA210:AE210)+COUNTA(AH210:AS210)=0,"",IF(AND(A210&lt;&gt;"",E210&lt;&gt;"",OR(F210&lt;&gt;"",G210&lt;&gt;""),H210&lt;&gt;"",I210&lt;&gt;"",J210&lt;&gt;"No en catálogo",S210&lt;&gt;"",T210&lt;&gt;"",U210&lt;&gt;"",V210&lt;&gt;"",OR(AR210&lt;&gt;"",AND(W210&lt;&gt;"",X210&lt;&gt;"",AA210&lt;&gt;"",AB210&lt;&gt;"")),OR(AS210&lt;&gt;"",AND(AD210&lt;&gt;"",AE210&lt;&gt;"",AH210&lt;&gt;"",AI210&lt;&gt;"")),AK210&lt;&gt;"",OR(AK210&lt;&gt;"programado",AL210&lt;&gt;""),OR(AM210&lt;&gt;"específica",AN210&lt;&gt;""),OR(AO210&lt;&gt;"específica",AP210&lt;&gt;"")),"OK","Revisar"))</f>
        <v/>
      </c>
    </row>
    <row r="211" ht="15" customHeight="1" spans="1:46" x14ac:dyDescent="0.25">
      <c r="A211" s="15"/>
      <c r="B211" s="15"/>
      <c r="C211" s="15"/>
      <c r="D211" s="15"/>
      <c r="E211" s="15"/>
      <c r="F211" s="15"/>
      <c r="G211" s="15"/>
      <c r="H211" s="15"/>
      <c r="I211" s="15"/>
      <c r="J211" s="19">
        <f>IF(OR(H211="",I211=""),"",IFERROR(INDEX(Catalogo_Vehiculos!$C$2:$C$1325,MATCH(TRUE(),INDEX(Catalogo_Vehiculos!$G$2:$G$1325=H211&amp;"|"&amp;I211,0),0)),"No en catálogo"))</f>
      </c>
      <c r="K211" s="19">
        <f>IF(OR(H211="",I211=""),"",IFERROR(INDEX(Catalogo_Vehiculos!$D$2:$D$1325,MATCH(TRUE(),INDEX(Catalogo_Vehiculos!$G$2:$G$1325=H211&amp;"|"&amp;I211,0),0)),"No en catálogo"))</f>
      </c>
      <c r="L211" s="19">
        <f>IF(OR(H211="",I211=""),"",IFERROR(INDEX(Catalogo_Vehiculos!$E$2:$E$1325,MATCH(TRUE(),INDEX(Catalogo_Vehiculos!$G$2:$G$1325=H211&amp;"|"&amp;I211,0),0)),"No en catálogo"))</f>
      </c>
      <c r="M211" s="19">
        <f>IF(OR(H211="",I211=""),"",IFERROR(INDEX(Catalogo_Vehiculos!$F$2:$F$1325,MATCH(TRUE(),INDEX(Catalogo_Vehiculos!$G$2:$G$1325=H211&amp;"|"&amp;I211,0),0)),"No en catálogo"))</f>
      </c>
      <c r="N211" s="20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9"/>
      <c r="Z211" s="19"/>
      <c r="AA211" s="15"/>
      <c r="AB211" s="15"/>
      <c r="AC211" s="15"/>
      <c r="AD211" s="15"/>
      <c r="AE211" s="15"/>
      <c r="AF211" s="19"/>
      <c r="AG211" s="19"/>
      <c r="AH211" s="15"/>
      <c r="AI211" s="15"/>
      <c r="AJ211" s="15"/>
      <c r="AK211" s="15"/>
      <c r="AL211" s="21"/>
      <c r="AM211" s="15"/>
      <c r="AN211" s="15"/>
      <c r="AO211" s="15"/>
      <c r="AP211" s="15"/>
      <c r="AQ211" s="15"/>
      <c r="AR211" s="15"/>
      <c r="AS211" s="15"/>
      <c r="AT211" s="19" t="str">
        <f>IF(COUNTA(A211:I211)+COUNTA(N211:X211)+COUNTA(AA211:AE211)+COUNTA(AH211:AS211)=0,"",IF(AND(A211&lt;&gt;"",E211&lt;&gt;"",OR(F211&lt;&gt;"",G211&lt;&gt;""),H211&lt;&gt;"",I211&lt;&gt;"",J211&lt;&gt;"No en catálogo",S211&lt;&gt;"",T211&lt;&gt;"",U211&lt;&gt;"",V211&lt;&gt;"",OR(AR211&lt;&gt;"",AND(W211&lt;&gt;"",X211&lt;&gt;"",AA211&lt;&gt;"",AB211&lt;&gt;"")),OR(AS211&lt;&gt;"",AND(AD211&lt;&gt;"",AE211&lt;&gt;"",AH211&lt;&gt;"",AI211&lt;&gt;"")),AK211&lt;&gt;"",OR(AK211&lt;&gt;"programado",AL211&lt;&gt;""),OR(AM211&lt;&gt;"específica",AN211&lt;&gt;""),OR(AO211&lt;&gt;"específica",AP211&lt;&gt;"")),"OK","Revisar"))</f>
        <v/>
      </c>
    </row>
    <row r="212" ht="15" customHeight="1" spans="1:46" x14ac:dyDescent="0.25">
      <c r="A212" s="15"/>
      <c r="B212" s="15"/>
      <c r="C212" s="15"/>
      <c r="D212" s="15"/>
      <c r="E212" s="15"/>
      <c r="F212" s="15"/>
      <c r="G212" s="15"/>
      <c r="H212" s="15"/>
      <c r="I212" s="15"/>
      <c r="J212" s="19">
        <f>IF(OR(H212="",I212=""),"",IFERROR(INDEX(Catalogo_Vehiculos!$C$2:$C$1325,MATCH(TRUE(),INDEX(Catalogo_Vehiculos!$G$2:$G$1325=H212&amp;"|"&amp;I212,0),0)),"No en catálogo"))</f>
      </c>
      <c r="K212" s="19">
        <f>IF(OR(H212="",I212=""),"",IFERROR(INDEX(Catalogo_Vehiculos!$D$2:$D$1325,MATCH(TRUE(),INDEX(Catalogo_Vehiculos!$G$2:$G$1325=H212&amp;"|"&amp;I212,0),0)),"No en catálogo"))</f>
      </c>
      <c r="L212" s="19">
        <f>IF(OR(H212="",I212=""),"",IFERROR(INDEX(Catalogo_Vehiculos!$E$2:$E$1325,MATCH(TRUE(),INDEX(Catalogo_Vehiculos!$G$2:$G$1325=H212&amp;"|"&amp;I212,0),0)),"No en catálogo"))</f>
      </c>
      <c r="M212" s="19">
        <f>IF(OR(H212="",I212=""),"",IFERROR(INDEX(Catalogo_Vehiculos!$F$2:$F$1325,MATCH(TRUE(),INDEX(Catalogo_Vehiculos!$G$2:$G$1325=H212&amp;"|"&amp;I212,0),0)),"No en catálogo"))</f>
      </c>
      <c r="N212" s="20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9"/>
      <c r="Z212" s="19"/>
      <c r="AA212" s="15"/>
      <c r="AB212" s="15"/>
      <c r="AC212" s="15"/>
      <c r="AD212" s="15"/>
      <c r="AE212" s="15"/>
      <c r="AF212" s="19"/>
      <c r="AG212" s="19"/>
      <c r="AH212" s="15"/>
      <c r="AI212" s="15"/>
      <c r="AJ212" s="15"/>
      <c r="AK212" s="15"/>
      <c r="AL212" s="21"/>
      <c r="AM212" s="15"/>
      <c r="AN212" s="15"/>
      <c r="AO212" s="15"/>
      <c r="AP212" s="15"/>
      <c r="AQ212" s="15"/>
      <c r="AR212" s="15"/>
      <c r="AS212" s="15"/>
      <c r="AT212" s="19" t="str">
        <f>IF(COUNTA(A212:I212)+COUNTA(N212:X212)+COUNTA(AA212:AE212)+COUNTA(AH212:AS212)=0,"",IF(AND(A212&lt;&gt;"",E212&lt;&gt;"",OR(F212&lt;&gt;"",G212&lt;&gt;""),H212&lt;&gt;"",I212&lt;&gt;"",J212&lt;&gt;"No en catálogo",S212&lt;&gt;"",T212&lt;&gt;"",U212&lt;&gt;"",V212&lt;&gt;"",OR(AR212&lt;&gt;"",AND(W212&lt;&gt;"",X212&lt;&gt;"",AA212&lt;&gt;"",AB212&lt;&gt;"")),OR(AS212&lt;&gt;"",AND(AD212&lt;&gt;"",AE212&lt;&gt;"",AH212&lt;&gt;"",AI212&lt;&gt;"")),AK212&lt;&gt;"",OR(AK212&lt;&gt;"programado",AL212&lt;&gt;""),OR(AM212&lt;&gt;"específica",AN212&lt;&gt;""),OR(AO212&lt;&gt;"específica",AP212&lt;&gt;"")),"OK","Revisar"))</f>
        <v/>
      </c>
    </row>
    <row r="213" ht="15" customHeight="1" spans="1:46" x14ac:dyDescent="0.25">
      <c r="A213" s="15"/>
      <c r="B213" s="15"/>
      <c r="C213" s="15"/>
      <c r="D213" s="15"/>
      <c r="E213" s="15"/>
      <c r="F213" s="15"/>
      <c r="G213" s="15"/>
      <c r="H213" s="15"/>
      <c r="I213" s="15"/>
      <c r="J213" s="19">
        <f>IF(OR(H213="",I213=""),"",IFERROR(INDEX(Catalogo_Vehiculos!$C$2:$C$1325,MATCH(TRUE(),INDEX(Catalogo_Vehiculos!$G$2:$G$1325=H213&amp;"|"&amp;I213,0),0)),"No en catálogo"))</f>
      </c>
      <c r="K213" s="19">
        <f>IF(OR(H213="",I213=""),"",IFERROR(INDEX(Catalogo_Vehiculos!$D$2:$D$1325,MATCH(TRUE(),INDEX(Catalogo_Vehiculos!$G$2:$G$1325=H213&amp;"|"&amp;I213,0),0)),"No en catálogo"))</f>
      </c>
      <c r="L213" s="19">
        <f>IF(OR(H213="",I213=""),"",IFERROR(INDEX(Catalogo_Vehiculos!$E$2:$E$1325,MATCH(TRUE(),INDEX(Catalogo_Vehiculos!$G$2:$G$1325=H213&amp;"|"&amp;I213,0),0)),"No en catálogo"))</f>
      </c>
      <c r="M213" s="19">
        <f>IF(OR(H213="",I213=""),"",IFERROR(INDEX(Catalogo_Vehiculos!$F$2:$F$1325,MATCH(TRUE(),INDEX(Catalogo_Vehiculos!$G$2:$G$1325=H213&amp;"|"&amp;I213,0),0)),"No en catálogo"))</f>
      </c>
      <c r="N213" s="20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9"/>
      <c r="Z213" s="19"/>
      <c r="AA213" s="15"/>
      <c r="AB213" s="15"/>
      <c r="AC213" s="15"/>
      <c r="AD213" s="15"/>
      <c r="AE213" s="15"/>
      <c r="AF213" s="19"/>
      <c r="AG213" s="19"/>
      <c r="AH213" s="15"/>
      <c r="AI213" s="15"/>
      <c r="AJ213" s="15"/>
      <c r="AK213" s="15"/>
      <c r="AL213" s="21"/>
      <c r="AM213" s="15"/>
      <c r="AN213" s="15"/>
      <c r="AO213" s="15"/>
      <c r="AP213" s="15"/>
      <c r="AQ213" s="15"/>
      <c r="AR213" s="15"/>
      <c r="AS213" s="15"/>
      <c r="AT213" s="19" t="str">
        <f>IF(COUNTA(A213:I213)+COUNTA(N213:X213)+COUNTA(AA213:AE213)+COUNTA(AH213:AS213)=0,"",IF(AND(A213&lt;&gt;"",E213&lt;&gt;"",OR(F213&lt;&gt;"",G213&lt;&gt;""),H213&lt;&gt;"",I213&lt;&gt;"",J213&lt;&gt;"No en catálogo",S213&lt;&gt;"",T213&lt;&gt;"",U213&lt;&gt;"",V213&lt;&gt;"",OR(AR213&lt;&gt;"",AND(W213&lt;&gt;"",X213&lt;&gt;"",AA213&lt;&gt;"",AB213&lt;&gt;"")),OR(AS213&lt;&gt;"",AND(AD213&lt;&gt;"",AE213&lt;&gt;"",AH213&lt;&gt;"",AI213&lt;&gt;"")),AK213&lt;&gt;"",OR(AK213&lt;&gt;"programado",AL213&lt;&gt;""),OR(AM213&lt;&gt;"específica",AN213&lt;&gt;""),OR(AO213&lt;&gt;"específica",AP213&lt;&gt;"")),"OK","Revisar"))</f>
        <v/>
      </c>
    </row>
    <row r="214" ht="15" customHeight="1" spans="1:46" x14ac:dyDescent="0.25">
      <c r="A214" s="15"/>
      <c r="B214" s="15"/>
      <c r="C214" s="15"/>
      <c r="D214" s="15"/>
      <c r="E214" s="15"/>
      <c r="F214" s="15"/>
      <c r="G214" s="15"/>
      <c r="H214" s="15"/>
      <c r="I214" s="15"/>
      <c r="J214" s="19">
        <f>IF(OR(H214="",I214=""),"",IFERROR(INDEX(Catalogo_Vehiculos!$C$2:$C$1325,MATCH(TRUE(),INDEX(Catalogo_Vehiculos!$G$2:$G$1325=H214&amp;"|"&amp;I214,0),0)),"No en catálogo"))</f>
      </c>
      <c r="K214" s="19">
        <f>IF(OR(H214="",I214=""),"",IFERROR(INDEX(Catalogo_Vehiculos!$D$2:$D$1325,MATCH(TRUE(),INDEX(Catalogo_Vehiculos!$G$2:$G$1325=H214&amp;"|"&amp;I214,0),0)),"No en catálogo"))</f>
      </c>
      <c r="L214" s="19">
        <f>IF(OR(H214="",I214=""),"",IFERROR(INDEX(Catalogo_Vehiculos!$E$2:$E$1325,MATCH(TRUE(),INDEX(Catalogo_Vehiculos!$G$2:$G$1325=H214&amp;"|"&amp;I214,0),0)),"No en catálogo"))</f>
      </c>
      <c r="M214" s="19">
        <f>IF(OR(H214="",I214=""),"",IFERROR(INDEX(Catalogo_Vehiculos!$F$2:$F$1325,MATCH(TRUE(),INDEX(Catalogo_Vehiculos!$G$2:$G$1325=H214&amp;"|"&amp;I214,0),0)),"No en catálogo"))</f>
      </c>
      <c r="N214" s="20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9"/>
      <c r="Z214" s="19"/>
      <c r="AA214" s="15"/>
      <c r="AB214" s="15"/>
      <c r="AC214" s="15"/>
      <c r="AD214" s="15"/>
      <c r="AE214" s="15"/>
      <c r="AF214" s="19"/>
      <c r="AG214" s="19"/>
      <c r="AH214" s="15"/>
      <c r="AI214" s="15"/>
      <c r="AJ214" s="15"/>
      <c r="AK214" s="15"/>
      <c r="AL214" s="21"/>
      <c r="AM214" s="15"/>
      <c r="AN214" s="15"/>
      <c r="AO214" s="15"/>
      <c r="AP214" s="15"/>
      <c r="AQ214" s="15"/>
      <c r="AR214" s="15"/>
      <c r="AS214" s="15"/>
      <c r="AT214" s="19" t="str">
        <f>IF(COUNTA(A214:I214)+COUNTA(N214:X214)+COUNTA(AA214:AE214)+COUNTA(AH214:AS214)=0,"",IF(AND(A214&lt;&gt;"",E214&lt;&gt;"",OR(F214&lt;&gt;"",G214&lt;&gt;""),H214&lt;&gt;"",I214&lt;&gt;"",J214&lt;&gt;"No en catálogo",S214&lt;&gt;"",T214&lt;&gt;"",U214&lt;&gt;"",V214&lt;&gt;"",OR(AR214&lt;&gt;"",AND(W214&lt;&gt;"",X214&lt;&gt;"",AA214&lt;&gt;"",AB214&lt;&gt;"")),OR(AS214&lt;&gt;"",AND(AD214&lt;&gt;"",AE214&lt;&gt;"",AH214&lt;&gt;"",AI214&lt;&gt;"")),AK214&lt;&gt;"",OR(AK214&lt;&gt;"programado",AL214&lt;&gt;""),OR(AM214&lt;&gt;"específica",AN214&lt;&gt;""),OR(AO214&lt;&gt;"específica",AP214&lt;&gt;"")),"OK","Revisar"))</f>
        <v/>
      </c>
    </row>
    <row r="215" ht="15" customHeight="1" spans="1:46" x14ac:dyDescent="0.25">
      <c r="A215" s="15"/>
      <c r="B215" s="15"/>
      <c r="C215" s="15"/>
      <c r="D215" s="15"/>
      <c r="E215" s="15"/>
      <c r="F215" s="15"/>
      <c r="G215" s="15"/>
      <c r="H215" s="15"/>
      <c r="I215" s="15"/>
      <c r="J215" s="19">
        <f>IF(OR(H215="",I215=""),"",IFERROR(INDEX(Catalogo_Vehiculos!$C$2:$C$1325,MATCH(TRUE(),INDEX(Catalogo_Vehiculos!$G$2:$G$1325=H215&amp;"|"&amp;I215,0),0)),"No en catálogo"))</f>
      </c>
      <c r="K215" s="19">
        <f>IF(OR(H215="",I215=""),"",IFERROR(INDEX(Catalogo_Vehiculos!$D$2:$D$1325,MATCH(TRUE(),INDEX(Catalogo_Vehiculos!$G$2:$G$1325=H215&amp;"|"&amp;I215,0),0)),"No en catálogo"))</f>
      </c>
      <c r="L215" s="19">
        <f>IF(OR(H215="",I215=""),"",IFERROR(INDEX(Catalogo_Vehiculos!$E$2:$E$1325,MATCH(TRUE(),INDEX(Catalogo_Vehiculos!$G$2:$G$1325=H215&amp;"|"&amp;I215,0),0)),"No en catálogo"))</f>
      </c>
      <c r="M215" s="19">
        <f>IF(OR(H215="",I215=""),"",IFERROR(INDEX(Catalogo_Vehiculos!$F$2:$F$1325,MATCH(TRUE(),INDEX(Catalogo_Vehiculos!$G$2:$G$1325=H215&amp;"|"&amp;I215,0),0)),"No en catálogo"))</f>
      </c>
      <c r="N215" s="20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9"/>
      <c r="Z215" s="19"/>
      <c r="AA215" s="15"/>
      <c r="AB215" s="15"/>
      <c r="AC215" s="15"/>
      <c r="AD215" s="15"/>
      <c r="AE215" s="15"/>
      <c r="AF215" s="19"/>
      <c r="AG215" s="19"/>
      <c r="AH215" s="15"/>
      <c r="AI215" s="15"/>
      <c r="AJ215" s="15"/>
      <c r="AK215" s="15"/>
      <c r="AL215" s="21"/>
      <c r="AM215" s="15"/>
      <c r="AN215" s="15"/>
      <c r="AO215" s="15"/>
      <c r="AP215" s="15"/>
      <c r="AQ215" s="15"/>
      <c r="AR215" s="15"/>
      <c r="AS215" s="15"/>
      <c r="AT215" s="19" t="str">
        <f>IF(COUNTA(A215:I215)+COUNTA(N215:X215)+COUNTA(AA215:AE215)+COUNTA(AH215:AS215)=0,"",IF(AND(A215&lt;&gt;"",E215&lt;&gt;"",OR(F215&lt;&gt;"",G215&lt;&gt;""),H215&lt;&gt;"",I215&lt;&gt;"",J215&lt;&gt;"No en catálogo",S215&lt;&gt;"",T215&lt;&gt;"",U215&lt;&gt;"",V215&lt;&gt;"",OR(AR215&lt;&gt;"",AND(W215&lt;&gt;"",X215&lt;&gt;"",AA215&lt;&gt;"",AB215&lt;&gt;"")),OR(AS215&lt;&gt;"",AND(AD215&lt;&gt;"",AE215&lt;&gt;"",AH215&lt;&gt;"",AI215&lt;&gt;"")),AK215&lt;&gt;"",OR(AK215&lt;&gt;"programado",AL215&lt;&gt;""),OR(AM215&lt;&gt;"específica",AN215&lt;&gt;""),OR(AO215&lt;&gt;"específica",AP215&lt;&gt;"")),"OK","Revisar"))</f>
        <v/>
      </c>
    </row>
    <row r="216" ht="15" customHeight="1" spans="1:46" x14ac:dyDescent="0.25">
      <c r="A216" s="15"/>
      <c r="B216" s="15"/>
      <c r="C216" s="15"/>
      <c r="D216" s="15"/>
      <c r="E216" s="15"/>
      <c r="F216" s="15"/>
      <c r="G216" s="15"/>
      <c r="H216" s="15"/>
      <c r="I216" s="15"/>
      <c r="J216" s="19">
        <f>IF(OR(H216="",I216=""),"",IFERROR(INDEX(Catalogo_Vehiculos!$C$2:$C$1325,MATCH(TRUE(),INDEX(Catalogo_Vehiculos!$G$2:$G$1325=H216&amp;"|"&amp;I216,0),0)),"No en catálogo"))</f>
      </c>
      <c r="K216" s="19">
        <f>IF(OR(H216="",I216=""),"",IFERROR(INDEX(Catalogo_Vehiculos!$D$2:$D$1325,MATCH(TRUE(),INDEX(Catalogo_Vehiculos!$G$2:$G$1325=H216&amp;"|"&amp;I216,0),0)),"No en catálogo"))</f>
      </c>
      <c r="L216" s="19">
        <f>IF(OR(H216="",I216=""),"",IFERROR(INDEX(Catalogo_Vehiculos!$E$2:$E$1325,MATCH(TRUE(),INDEX(Catalogo_Vehiculos!$G$2:$G$1325=H216&amp;"|"&amp;I216,0),0)),"No en catálogo"))</f>
      </c>
      <c r="M216" s="19">
        <f>IF(OR(H216="",I216=""),"",IFERROR(INDEX(Catalogo_Vehiculos!$F$2:$F$1325,MATCH(TRUE(),INDEX(Catalogo_Vehiculos!$G$2:$G$1325=H216&amp;"|"&amp;I216,0),0)),"No en catálogo"))</f>
      </c>
      <c r="N216" s="20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9"/>
      <c r="Z216" s="19"/>
      <c r="AA216" s="15"/>
      <c r="AB216" s="15"/>
      <c r="AC216" s="15"/>
      <c r="AD216" s="15"/>
      <c r="AE216" s="15"/>
      <c r="AF216" s="19"/>
      <c r="AG216" s="19"/>
      <c r="AH216" s="15"/>
      <c r="AI216" s="15"/>
      <c r="AJ216" s="15"/>
      <c r="AK216" s="15"/>
      <c r="AL216" s="21"/>
      <c r="AM216" s="15"/>
      <c r="AN216" s="15"/>
      <c r="AO216" s="15"/>
      <c r="AP216" s="15"/>
      <c r="AQ216" s="15"/>
      <c r="AR216" s="15"/>
      <c r="AS216" s="15"/>
      <c r="AT216" s="19" t="str">
        <f>IF(COUNTA(A216:I216)+COUNTA(N216:X216)+COUNTA(AA216:AE216)+COUNTA(AH216:AS216)=0,"",IF(AND(A216&lt;&gt;"",E216&lt;&gt;"",OR(F216&lt;&gt;"",G216&lt;&gt;""),H216&lt;&gt;"",I216&lt;&gt;"",J216&lt;&gt;"No en catálogo",S216&lt;&gt;"",T216&lt;&gt;"",U216&lt;&gt;"",V216&lt;&gt;"",OR(AR216&lt;&gt;"",AND(W216&lt;&gt;"",X216&lt;&gt;"",AA216&lt;&gt;"",AB216&lt;&gt;"")),OR(AS216&lt;&gt;"",AND(AD216&lt;&gt;"",AE216&lt;&gt;"",AH216&lt;&gt;"",AI216&lt;&gt;"")),AK216&lt;&gt;"",OR(AK216&lt;&gt;"programado",AL216&lt;&gt;""),OR(AM216&lt;&gt;"específica",AN216&lt;&gt;""),OR(AO216&lt;&gt;"específica",AP216&lt;&gt;"")),"OK","Revisar"))</f>
        <v/>
      </c>
    </row>
    <row r="217" ht="15" customHeight="1" spans="1:46" x14ac:dyDescent="0.25">
      <c r="A217" s="15"/>
      <c r="B217" s="15"/>
      <c r="C217" s="15"/>
      <c r="D217" s="15"/>
      <c r="E217" s="15"/>
      <c r="F217" s="15"/>
      <c r="G217" s="15"/>
      <c r="H217" s="15"/>
      <c r="I217" s="15"/>
      <c r="J217" s="19">
        <f>IF(OR(H217="",I217=""),"",IFERROR(INDEX(Catalogo_Vehiculos!$C$2:$C$1325,MATCH(TRUE(),INDEX(Catalogo_Vehiculos!$G$2:$G$1325=H217&amp;"|"&amp;I217,0),0)),"No en catálogo"))</f>
      </c>
      <c r="K217" s="19">
        <f>IF(OR(H217="",I217=""),"",IFERROR(INDEX(Catalogo_Vehiculos!$D$2:$D$1325,MATCH(TRUE(),INDEX(Catalogo_Vehiculos!$G$2:$G$1325=H217&amp;"|"&amp;I217,0),0)),"No en catálogo"))</f>
      </c>
      <c r="L217" s="19">
        <f>IF(OR(H217="",I217=""),"",IFERROR(INDEX(Catalogo_Vehiculos!$E$2:$E$1325,MATCH(TRUE(),INDEX(Catalogo_Vehiculos!$G$2:$G$1325=H217&amp;"|"&amp;I217,0),0)),"No en catálogo"))</f>
      </c>
      <c r="M217" s="19">
        <f>IF(OR(H217="",I217=""),"",IFERROR(INDEX(Catalogo_Vehiculos!$F$2:$F$1325,MATCH(TRUE(),INDEX(Catalogo_Vehiculos!$G$2:$G$1325=H217&amp;"|"&amp;I217,0),0)),"No en catálogo"))</f>
      </c>
      <c r="N217" s="20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9"/>
      <c r="Z217" s="19"/>
      <c r="AA217" s="15"/>
      <c r="AB217" s="15"/>
      <c r="AC217" s="15"/>
      <c r="AD217" s="15"/>
      <c r="AE217" s="15"/>
      <c r="AF217" s="19"/>
      <c r="AG217" s="19"/>
      <c r="AH217" s="15"/>
      <c r="AI217" s="15"/>
      <c r="AJ217" s="15"/>
      <c r="AK217" s="15"/>
      <c r="AL217" s="21"/>
      <c r="AM217" s="15"/>
      <c r="AN217" s="15"/>
      <c r="AO217" s="15"/>
      <c r="AP217" s="15"/>
      <c r="AQ217" s="15"/>
      <c r="AR217" s="15"/>
      <c r="AS217" s="15"/>
      <c r="AT217" s="19" t="str">
        <f>IF(COUNTA(A217:I217)+COUNTA(N217:X217)+COUNTA(AA217:AE217)+COUNTA(AH217:AS217)=0,"",IF(AND(A217&lt;&gt;"",E217&lt;&gt;"",OR(F217&lt;&gt;"",G217&lt;&gt;""),H217&lt;&gt;"",I217&lt;&gt;"",J217&lt;&gt;"No en catálogo",S217&lt;&gt;"",T217&lt;&gt;"",U217&lt;&gt;"",V217&lt;&gt;"",OR(AR217&lt;&gt;"",AND(W217&lt;&gt;"",X217&lt;&gt;"",AA217&lt;&gt;"",AB217&lt;&gt;"")),OR(AS217&lt;&gt;"",AND(AD217&lt;&gt;"",AE217&lt;&gt;"",AH217&lt;&gt;"",AI217&lt;&gt;"")),AK217&lt;&gt;"",OR(AK217&lt;&gt;"programado",AL217&lt;&gt;""),OR(AM217&lt;&gt;"específica",AN217&lt;&gt;""),OR(AO217&lt;&gt;"específica",AP217&lt;&gt;"")),"OK","Revisar"))</f>
        <v/>
      </c>
    </row>
    <row r="218" ht="15" customHeight="1" spans="1:46" x14ac:dyDescent="0.25">
      <c r="A218" s="15"/>
      <c r="B218" s="15"/>
      <c r="C218" s="15"/>
      <c r="D218" s="15"/>
      <c r="E218" s="15"/>
      <c r="F218" s="15"/>
      <c r="G218" s="15"/>
      <c r="H218" s="15"/>
      <c r="I218" s="15"/>
      <c r="J218" s="19">
        <f>IF(OR(H218="",I218=""),"",IFERROR(INDEX(Catalogo_Vehiculos!$C$2:$C$1325,MATCH(TRUE(),INDEX(Catalogo_Vehiculos!$G$2:$G$1325=H218&amp;"|"&amp;I218,0),0)),"No en catálogo"))</f>
      </c>
      <c r="K218" s="19">
        <f>IF(OR(H218="",I218=""),"",IFERROR(INDEX(Catalogo_Vehiculos!$D$2:$D$1325,MATCH(TRUE(),INDEX(Catalogo_Vehiculos!$G$2:$G$1325=H218&amp;"|"&amp;I218,0),0)),"No en catálogo"))</f>
      </c>
      <c r="L218" s="19">
        <f>IF(OR(H218="",I218=""),"",IFERROR(INDEX(Catalogo_Vehiculos!$E$2:$E$1325,MATCH(TRUE(),INDEX(Catalogo_Vehiculos!$G$2:$G$1325=H218&amp;"|"&amp;I218,0),0)),"No en catálogo"))</f>
      </c>
      <c r="M218" s="19">
        <f>IF(OR(H218="",I218=""),"",IFERROR(INDEX(Catalogo_Vehiculos!$F$2:$F$1325,MATCH(TRUE(),INDEX(Catalogo_Vehiculos!$G$2:$G$1325=H218&amp;"|"&amp;I218,0),0)),"No en catálogo"))</f>
      </c>
      <c r="N218" s="20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9"/>
      <c r="Z218" s="19"/>
      <c r="AA218" s="15"/>
      <c r="AB218" s="15"/>
      <c r="AC218" s="15"/>
      <c r="AD218" s="15"/>
      <c r="AE218" s="15"/>
      <c r="AF218" s="19"/>
      <c r="AG218" s="19"/>
      <c r="AH218" s="15"/>
      <c r="AI218" s="15"/>
      <c r="AJ218" s="15"/>
      <c r="AK218" s="15"/>
      <c r="AL218" s="21"/>
      <c r="AM218" s="15"/>
      <c r="AN218" s="15"/>
      <c r="AO218" s="15"/>
      <c r="AP218" s="15"/>
      <c r="AQ218" s="15"/>
      <c r="AR218" s="15"/>
      <c r="AS218" s="15"/>
      <c r="AT218" s="19" t="str">
        <f>IF(COUNTA(A218:I218)+COUNTA(N218:X218)+COUNTA(AA218:AE218)+COUNTA(AH218:AS218)=0,"",IF(AND(A218&lt;&gt;"",E218&lt;&gt;"",OR(F218&lt;&gt;"",G218&lt;&gt;""),H218&lt;&gt;"",I218&lt;&gt;"",J218&lt;&gt;"No en catálogo",S218&lt;&gt;"",T218&lt;&gt;"",U218&lt;&gt;"",V218&lt;&gt;"",OR(AR218&lt;&gt;"",AND(W218&lt;&gt;"",X218&lt;&gt;"",AA218&lt;&gt;"",AB218&lt;&gt;"")),OR(AS218&lt;&gt;"",AND(AD218&lt;&gt;"",AE218&lt;&gt;"",AH218&lt;&gt;"",AI218&lt;&gt;"")),AK218&lt;&gt;"",OR(AK218&lt;&gt;"programado",AL218&lt;&gt;""),OR(AM218&lt;&gt;"específica",AN218&lt;&gt;""),OR(AO218&lt;&gt;"específica",AP218&lt;&gt;"")),"OK","Revisar"))</f>
        <v/>
      </c>
    </row>
    <row r="219" ht="15" customHeight="1" spans="1:46" x14ac:dyDescent="0.25">
      <c r="A219" s="15"/>
      <c r="B219" s="15"/>
      <c r="C219" s="15"/>
      <c r="D219" s="15"/>
      <c r="E219" s="15"/>
      <c r="F219" s="15"/>
      <c r="G219" s="15"/>
      <c r="H219" s="15"/>
      <c r="I219" s="15"/>
      <c r="J219" s="19">
        <f>IF(OR(H219="",I219=""),"",IFERROR(INDEX(Catalogo_Vehiculos!$C$2:$C$1325,MATCH(TRUE(),INDEX(Catalogo_Vehiculos!$G$2:$G$1325=H219&amp;"|"&amp;I219,0),0)),"No en catálogo"))</f>
      </c>
      <c r="K219" s="19">
        <f>IF(OR(H219="",I219=""),"",IFERROR(INDEX(Catalogo_Vehiculos!$D$2:$D$1325,MATCH(TRUE(),INDEX(Catalogo_Vehiculos!$G$2:$G$1325=H219&amp;"|"&amp;I219,0),0)),"No en catálogo"))</f>
      </c>
      <c r="L219" s="19">
        <f>IF(OR(H219="",I219=""),"",IFERROR(INDEX(Catalogo_Vehiculos!$E$2:$E$1325,MATCH(TRUE(),INDEX(Catalogo_Vehiculos!$G$2:$G$1325=H219&amp;"|"&amp;I219,0),0)),"No en catálogo"))</f>
      </c>
      <c r="M219" s="19">
        <f>IF(OR(H219="",I219=""),"",IFERROR(INDEX(Catalogo_Vehiculos!$F$2:$F$1325,MATCH(TRUE(),INDEX(Catalogo_Vehiculos!$G$2:$G$1325=H219&amp;"|"&amp;I219,0),0)),"No en catálogo"))</f>
      </c>
      <c r="N219" s="20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9"/>
      <c r="Z219" s="19"/>
      <c r="AA219" s="15"/>
      <c r="AB219" s="15"/>
      <c r="AC219" s="15"/>
      <c r="AD219" s="15"/>
      <c r="AE219" s="15"/>
      <c r="AF219" s="19"/>
      <c r="AG219" s="19"/>
      <c r="AH219" s="15"/>
      <c r="AI219" s="15"/>
      <c r="AJ219" s="15"/>
      <c r="AK219" s="15"/>
      <c r="AL219" s="21"/>
      <c r="AM219" s="15"/>
      <c r="AN219" s="15"/>
      <c r="AO219" s="15"/>
      <c r="AP219" s="15"/>
      <c r="AQ219" s="15"/>
      <c r="AR219" s="15"/>
      <c r="AS219" s="15"/>
      <c r="AT219" s="19" t="str">
        <f>IF(COUNTA(A219:I219)+COUNTA(N219:X219)+COUNTA(AA219:AE219)+COUNTA(AH219:AS219)=0,"",IF(AND(A219&lt;&gt;"",E219&lt;&gt;"",OR(F219&lt;&gt;"",G219&lt;&gt;""),H219&lt;&gt;"",I219&lt;&gt;"",J219&lt;&gt;"No en catálogo",S219&lt;&gt;"",T219&lt;&gt;"",U219&lt;&gt;"",V219&lt;&gt;"",OR(AR219&lt;&gt;"",AND(W219&lt;&gt;"",X219&lt;&gt;"",AA219&lt;&gt;"",AB219&lt;&gt;"")),OR(AS219&lt;&gt;"",AND(AD219&lt;&gt;"",AE219&lt;&gt;"",AH219&lt;&gt;"",AI219&lt;&gt;"")),AK219&lt;&gt;"",OR(AK219&lt;&gt;"programado",AL219&lt;&gt;""),OR(AM219&lt;&gt;"específica",AN219&lt;&gt;""),OR(AO219&lt;&gt;"específica",AP219&lt;&gt;"")),"OK","Revisar"))</f>
        <v/>
      </c>
    </row>
    <row r="220" ht="15" customHeight="1" spans="1:46" x14ac:dyDescent="0.25">
      <c r="A220" s="15"/>
      <c r="B220" s="15"/>
      <c r="C220" s="15"/>
      <c r="D220" s="15"/>
      <c r="E220" s="15"/>
      <c r="F220" s="15"/>
      <c r="G220" s="15"/>
      <c r="H220" s="15"/>
      <c r="I220" s="15"/>
      <c r="J220" s="19">
        <f>IF(OR(H220="",I220=""),"",IFERROR(INDEX(Catalogo_Vehiculos!$C$2:$C$1325,MATCH(TRUE(),INDEX(Catalogo_Vehiculos!$G$2:$G$1325=H220&amp;"|"&amp;I220,0),0)),"No en catálogo"))</f>
      </c>
      <c r="K220" s="19">
        <f>IF(OR(H220="",I220=""),"",IFERROR(INDEX(Catalogo_Vehiculos!$D$2:$D$1325,MATCH(TRUE(),INDEX(Catalogo_Vehiculos!$G$2:$G$1325=H220&amp;"|"&amp;I220,0),0)),"No en catálogo"))</f>
      </c>
      <c r="L220" s="19">
        <f>IF(OR(H220="",I220=""),"",IFERROR(INDEX(Catalogo_Vehiculos!$E$2:$E$1325,MATCH(TRUE(),INDEX(Catalogo_Vehiculos!$G$2:$G$1325=H220&amp;"|"&amp;I220,0),0)),"No en catálogo"))</f>
      </c>
      <c r="M220" s="19">
        <f>IF(OR(H220="",I220=""),"",IFERROR(INDEX(Catalogo_Vehiculos!$F$2:$F$1325,MATCH(TRUE(),INDEX(Catalogo_Vehiculos!$G$2:$G$1325=H220&amp;"|"&amp;I220,0),0)),"No en catálogo"))</f>
      </c>
      <c r="N220" s="20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9"/>
      <c r="Z220" s="19"/>
      <c r="AA220" s="15"/>
      <c r="AB220" s="15"/>
      <c r="AC220" s="15"/>
      <c r="AD220" s="15"/>
      <c r="AE220" s="15"/>
      <c r="AF220" s="19"/>
      <c r="AG220" s="19"/>
      <c r="AH220" s="15"/>
      <c r="AI220" s="15"/>
      <c r="AJ220" s="15"/>
      <c r="AK220" s="15"/>
      <c r="AL220" s="21"/>
      <c r="AM220" s="15"/>
      <c r="AN220" s="15"/>
      <c r="AO220" s="15"/>
      <c r="AP220" s="15"/>
      <c r="AQ220" s="15"/>
      <c r="AR220" s="15"/>
      <c r="AS220" s="15"/>
      <c r="AT220" s="19" t="str">
        <f>IF(COUNTA(A220:I220)+COUNTA(N220:X220)+COUNTA(AA220:AE220)+COUNTA(AH220:AS220)=0,"",IF(AND(A220&lt;&gt;"",E220&lt;&gt;"",OR(F220&lt;&gt;"",G220&lt;&gt;""),H220&lt;&gt;"",I220&lt;&gt;"",J220&lt;&gt;"No en catálogo",S220&lt;&gt;"",T220&lt;&gt;"",U220&lt;&gt;"",V220&lt;&gt;"",OR(AR220&lt;&gt;"",AND(W220&lt;&gt;"",X220&lt;&gt;"",AA220&lt;&gt;"",AB220&lt;&gt;"")),OR(AS220&lt;&gt;"",AND(AD220&lt;&gt;"",AE220&lt;&gt;"",AH220&lt;&gt;"",AI220&lt;&gt;"")),AK220&lt;&gt;"",OR(AK220&lt;&gt;"programado",AL220&lt;&gt;""),OR(AM220&lt;&gt;"específica",AN220&lt;&gt;""),OR(AO220&lt;&gt;"específica",AP220&lt;&gt;"")),"OK","Revisar"))</f>
        <v/>
      </c>
    </row>
    <row r="221" ht="15" customHeight="1" spans="1:46" x14ac:dyDescent="0.25">
      <c r="A221" s="15"/>
      <c r="B221" s="15"/>
      <c r="C221" s="15"/>
      <c r="D221" s="15"/>
      <c r="E221" s="15"/>
      <c r="F221" s="15"/>
      <c r="G221" s="15"/>
      <c r="H221" s="15"/>
      <c r="I221" s="15"/>
      <c r="J221" s="19">
        <f>IF(OR(H221="",I221=""),"",IFERROR(INDEX(Catalogo_Vehiculos!$C$2:$C$1325,MATCH(TRUE(),INDEX(Catalogo_Vehiculos!$G$2:$G$1325=H221&amp;"|"&amp;I221,0),0)),"No en catálogo"))</f>
      </c>
      <c r="K221" s="19">
        <f>IF(OR(H221="",I221=""),"",IFERROR(INDEX(Catalogo_Vehiculos!$D$2:$D$1325,MATCH(TRUE(),INDEX(Catalogo_Vehiculos!$G$2:$G$1325=H221&amp;"|"&amp;I221,0),0)),"No en catálogo"))</f>
      </c>
      <c r="L221" s="19">
        <f>IF(OR(H221="",I221=""),"",IFERROR(INDEX(Catalogo_Vehiculos!$E$2:$E$1325,MATCH(TRUE(),INDEX(Catalogo_Vehiculos!$G$2:$G$1325=H221&amp;"|"&amp;I221,0),0)),"No en catálogo"))</f>
      </c>
      <c r="M221" s="19">
        <f>IF(OR(H221="",I221=""),"",IFERROR(INDEX(Catalogo_Vehiculos!$F$2:$F$1325,MATCH(TRUE(),INDEX(Catalogo_Vehiculos!$G$2:$G$1325=H221&amp;"|"&amp;I221,0),0)),"No en catálogo"))</f>
      </c>
      <c r="N221" s="20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9"/>
      <c r="Z221" s="19"/>
      <c r="AA221" s="15"/>
      <c r="AB221" s="15"/>
      <c r="AC221" s="15"/>
      <c r="AD221" s="15"/>
      <c r="AE221" s="15"/>
      <c r="AF221" s="19"/>
      <c r="AG221" s="19"/>
      <c r="AH221" s="15"/>
      <c r="AI221" s="15"/>
      <c r="AJ221" s="15"/>
      <c r="AK221" s="15"/>
      <c r="AL221" s="21"/>
      <c r="AM221" s="15"/>
      <c r="AN221" s="15"/>
      <c r="AO221" s="15"/>
      <c r="AP221" s="15"/>
      <c r="AQ221" s="15"/>
      <c r="AR221" s="15"/>
      <c r="AS221" s="15"/>
      <c r="AT221" s="19" t="str">
        <f>IF(COUNTA(A221:I221)+COUNTA(N221:X221)+COUNTA(AA221:AE221)+COUNTA(AH221:AS221)=0,"",IF(AND(A221&lt;&gt;"",E221&lt;&gt;"",OR(F221&lt;&gt;"",G221&lt;&gt;""),H221&lt;&gt;"",I221&lt;&gt;"",J221&lt;&gt;"No en catálogo",S221&lt;&gt;"",T221&lt;&gt;"",U221&lt;&gt;"",V221&lt;&gt;"",OR(AR221&lt;&gt;"",AND(W221&lt;&gt;"",X221&lt;&gt;"",AA221&lt;&gt;"",AB221&lt;&gt;"")),OR(AS221&lt;&gt;"",AND(AD221&lt;&gt;"",AE221&lt;&gt;"",AH221&lt;&gt;"",AI221&lt;&gt;"")),AK221&lt;&gt;"",OR(AK221&lt;&gt;"programado",AL221&lt;&gt;""),OR(AM221&lt;&gt;"específica",AN221&lt;&gt;""),OR(AO221&lt;&gt;"específica",AP221&lt;&gt;"")),"OK","Revisar"))</f>
        <v/>
      </c>
    </row>
    <row r="222" ht="15" customHeight="1" spans="1:46" x14ac:dyDescent="0.25">
      <c r="A222" s="15"/>
      <c r="B222" s="15"/>
      <c r="C222" s="15"/>
      <c r="D222" s="15"/>
      <c r="E222" s="15"/>
      <c r="F222" s="15"/>
      <c r="G222" s="15"/>
      <c r="H222" s="15"/>
      <c r="I222" s="15"/>
      <c r="J222" s="19">
        <f>IF(OR(H222="",I222=""),"",IFERROR(INDEX(Catalogo_Vehiculos!$C$2:$C$1325,MATCH(TRUE(),INDEX(Catalogo_Vehiculos!$G$2:$G$1325=H222&amp;"|"&amp;I222,0),0)),"No en catálogo"))</f>
      </c>
      <c r="K222" s="19">
        <f>IF(OR(H222="",I222=""),"",IFERROR(INDEX(Catalogo_Vehiculos!$D$2:$D$1325,MATCH(TRUE(),INDEX(Catalogo_Vehiculos!$G$2:$G$1325=H222&amp;"|"&amp;I222,0),0)),"No en catálogo"))</f>
      </c>
      <c r="L222" s="19">
        <f>IF(OR(H222="",I222=""),"",IFERROR(INDEX(Catalogo_Vehiculos!$E$2:$E$1325,MATCH(TRUE(),INDEX(Catalogo_Vehiculos!$G$2:$G$1325=H222&amp;"|"&amp;I222,0),0)),"No en catálogo"))</f>
      </c>
      <c r="M222" s="19">
        <f>IF(OR(H222="",I222=""),"",IFERROR(INDEX(Catalogo_Vehiculos!$F$2:$F$1325,MATCH(TRUE(),INDEX(Catalogo_Vehiculos!$G$2:$G$1325=H222&amp;"|"&amp;I222,0),0)),"No en catálogo"))</f>
      </c>
      <c r="N222" s="20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9"/>
      <c r="Z222" s="19"/>
      <c r="AA222" s="15"/>
      <c r="AB222" s="15"/>
      <c r="AC222" s="15"/>
      <c r="AD222" s="15"/>
      <c r="AE222" s="15"/>
      <c r="AF222" s="19"/>
      <c r="AG222" s="19"/>
      <c r="AH222" s="15"/>
      <c r="AI222" s="15"/>
      <c r="AJ222" s="15"/>
      <c r="AK222" s="15"/>
      <c r="AL222" s="21"/>
      <c r="AM222" s="15"/>
      <c r="AN222" s="15"/>
      <c r="AO222" s="15"/>
      <c r="AP222" s="15"/>
      <c r="AQ222" s="15"/>
      <c r="AR222" s="15"/>
      <c r="AS222" s="15"/>
      <c r="AT222" s="19" t="str">
        <f>IF(COUNTA(A222:I222)+COUNTA(N222:X222)+COUNTA(AA222:AE222)+COUNTA(AH222:AS222)=0,"",IF(AND(A222&lt;&gt;"",E222&lt;&gt;"",OR(F222&lt;&gt;"",G222&lt;&gt;""),H222&lt;&gt;"",I222&lt;&gt;"",J222&lt;&gt;"No en catálogo",S222&lt;&gt;"",T222&lt;&gt;"",U222&lt;&gt;"",V222&lt;&gt;"",OR(AR222&lt;&gt;"",AND(W222&lt;&gt;"",X222&lt;&gt;"",AA222&lt;&gt;"",AB222&lt;&gt;"")),OR(AS222&lt;&gt;"",AND(AD222&lt;&gt;"",AE222&lt;&gt;"",AH222&lt;&gt;"",AI222&lt;&gt;"")),AK222&lt;&gt;"",OR(AK222&lt;&gt;"programado",AL222&lt;&gt;""),OR(AM222&lt;&gt;"específica",AN222&lt;&gt;""),OR(AO222&lt;&gt;"específica",AP222&lt;&gt;"")),"OK","Revisar"))</f>
        <v/>
      </c>
    </row>
    <row r="223" ht="15" customHeight="1" spans="1:46" x14ac:dyDescent="0.25">
      <c r="A223" s="15"/>
      <c r="B223" s="15"/>
      <c r="C223" s="15"/>
      <c r="D223" s="15"/>
      <c r="E223" s="15"/>
      <c r="F223" s="15"/>
      <c r="G223" s="15"/>
      <c r="H223" s="15"/>
      <c r="I223" s="15"/>
      <c r="J223" s="19">
        <f>IF(OR(H223="",I223=""),"",IFERROR(INDEX(Catalogo_Vehiculos!$C$2:$C$1325,MATCH(TRUE(),INDEX(Catalogo_Vehiculos!$G$2:$G$1325=H223&amp;"|"&amp;I223,0),0)),"No en catálogo"))</f>
      </c>
      <c r="K223" s="19">
        <f>IF(OR(H223="",I223=""),"",IFERROR(INDEX(Catalogo_Vehiculos!$D$2:$D$1325,MATCH(TRUE(),INDEX(Catalogo_Vehiculos!$G$2:$G$1325=H223&amp;"|"&amp;I223,0),0)),"No en catálogo"))</f>
      </c>
      <c r="L223" s="19">
        <f>IF(OR(H223="",I223=""),"",IFERROR(INDEX(Catalogo_Vehiculos!$E$2:$E$1325,MATCH(TRUE(),INDEX(Catalogo_Vehiculos!$G$2:$G$1325=H223&amp;"|"&amp;I223,0),0)),"No en catálogo"))</f>
      </c>
      <c r="M223" s="19">
        <f>IF(OR(H223="",I223=""),"",IFERROR(INDEX(Catalogo_Vehiculos!$F$2:$F$1325,MATCH(TRUE(),INDEX(Catalogo_Vehiculos!$G$2:$G$1325=H223&amp;"|"&amp;I223,0),0)),"No en catálogo"))</f>
      </c>
      <c r="N223" s="20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9"/>
      <c r="Z223" s="19"/>
      <c r="AA223" s="15"/>
      <c r="AB223" s="15"/>
      <c r="AC223" s="15"/>
      <c r="AD223" s="15"/>
      <c r="AE223" s="15"/>
      <c r="AF223" s="19"/>
      <c r="AG223" s="19"/>
      <c r="AH223" s="15"/>
      <c r="AI223" s="15"/>
      <c r="AJ223" s="15"/>
      <c r="AK223" s="15"/>
      <c r="AL223" s="21"/>
      <c r="AM223" s="15"/>
      <c r="AN223" s="15"/>
      <c r="AO223" s="15"/>
      <c r="AP223" s="15"/>
      <c r="AQ223" s="15"/>
      <c r="AR223" s="15"/>
      <c r="AS223" s="15"/>
      <c r="AT223" s="19" t="str">
        <f>IF(COUNTA(A223:I223)+COUNTA(N223:X223)+COUNTA(AA223:AE223)+COUNTA(AH223:AS223)=0,"",IF(AND(A223&lt;&gt;"",E223&lt;&gt;"",OR(F223&lt;&gt;"",G223&lt;&gt;""),H223&lt;&gt;"",I223&lt;&gt;"",J223&lt;&gt;"No en catálogo",S223&lt;&gt;"",T223&lt;&gt;"",U223&lt;&gt;"",V223&lt;&gt;"",OR(AR223&lt;&gt;"",AND(W223&lt;&gt;"",X223&lt;&gt;"",AA223&lt;&gt;"",AB223&lt;&gt;"")),OR(AS223&lt;&gt;"",AND(AD223&lt;&gt;"",AE223&lt;&gt;"",AH223&lt;&gt;"",AI223&lt;&gt;"")),AK223&lt;&gt;"",OR(AK223&lt;&gt;"programado",AL223&lt;&gt;""),OR(AM223&lt;&gt;"específica",AN223&lt;&gt;""),OR(AO223&lt;&gt;"específica",AP223&lt;&gt;"")),"OK","Revisar"))</f>
        <v/>
      </c>
    </row>
    <row r="224" ht="15" customHeight="1" spans="1:46" x14ac:dyDescent="0.25">
      <c r="A224" s="15"/>
      <c r="B224" s="15"/>
      <c r="C224" s="15"/>
      <c r="D224" s="15"/>
      <c r="E224" s="15"/>
      <c r="F224" s="15"/>
      <c r="G224" s="15"/>
      <c r="H224" s="15"/>
      <c r="I224" s="15"/>
      <c r="J224" s="19">
        <f>IF(OR(H224="",I224=""),"",IFERROR(INDEX(Catalogo_Vehiculos!$C$2:$C$1325,MATCH(TRUE(),INDEX(Catalogo_Vehiculos!$G$2:$G$1325=H224&amp;"|"&amp;I224,0),0)),"No en catálogo"))</f>
      </c>
      <c r="K224" s="19">
        <f>IF(OR(H224="",I224=""),"",IFERROR(INDEX(Catalogo_Vehiculos!$D$2:$D$1325,MATCH(TRUE(),INDEX(Catalogo_Vehiculos!$G$2:$G$1325=H224&amp;"|"&amp;I224,0),0)),"No en catálogo"))</f>
      </c>
      <c r="L224" s="19">
        <f>IF(OR(H224="",I224=""),"",IFERROR(INDEX(Catalogo_Vehiculos!$E$2:$E$1325,MATCH(TRUE(),INDEX(Catalogo_Vehiculos!$G$2:$G$1325=H224&amp;"|"&amp;I224,0),0)),"No en catálogo"))</f>
      </c>
      <c r="M224" s="19">
        <f>IF(OR(H224="",I224=""),"",IFERROR(INDEX(Catalogo_Vehiculos!$F$2:$F$1325,MATCH(TRUE(),INDEX(Catalogo_Vehiculos!$G$2:$G$1325=H224&amp;"|"&amp;I224,0),0)),"No en catálogo"))</f>
      </c>
      <c r="N224" s="20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9"/>
      <c r="Z224" s="19"/>
      <c r="AA224" s="15"/>
      <c r="AB224" s="15"/>
      <c r="AC224" s="15"/>
      <c r="AD224" s="15"/>
      <c r="AE224" s="15"/>
      <c r="AF224" s="19"/>
      <c r="AG224" s="19"/>
      <c r="AH224" s="15"/>
      <c r="AI224" s="15"/>
      <c r="AJ224" s="15"/>
      <c r="AK224" s="15"/>
      <c r="AL224" s="21"/>
      <c r="AM224" s="15"/>
      <c r="AN224" s="15"/>
      <c r="AO224" s="15"/>
      <c r="AP224" s="15"/>
      <c r="AQ224" s="15"/>
      <c r="AR224" s="15"/>
      <c r="AS224" s="15"/>
      <c r="AT224" s="19" t="str">
        <f>IF(COUNTA(A224:I224)+COUNTA(N224:X224)+COUNTA(AA224:AE224)+COUNTA(AH224:AS224)=0,"",IF(AND(A224&lt;&gt;"",E224&lt;&gt;"",OR(F224&lt;&gt;"",G224&lt;&gt;""),H224&lt;&gt;"",I224&lt;&gt;"",J224&lt;&gt;"No en catálogo",S224&lt;&gt;"",T224&lt;&gt;"",U224&lt;&gt;"",V224&lt;&gt;"",OR(AR224&lt;&gt;"",AND(W224&lt;&gt;"",X224&lt;&gt;"",AA224&lt;&gt;"",AB224&lt;&gt;"")),OR(AS224&lt;&gt;"",AND(AD224&lt;&gt;"",AE224&lt;&gt;"",AH224&lt;&gt;"",AI224&lt;&gt;"")),AK224&lt;&gt;"",OR(AK224&lt;&gt;"programado",AL224&lt;&gt;""),OR(AM224&lt;&gt;"específica",AN224&lt;&gt;""),OR(AO224&lt;&gt;"específica",AP224&lt;&gt;"")),"OK","Revisar"))</f>
        <v/>
      </c>
    </row>
    <row r="225" ht="15" customHeight="1" spans="1:46" x14ac:dyDescent="0.25">
      <c r="A225" s="15"/>
      <c r="B225" s="15"/>
      <c r="C225" s="15"/>
      <c r="D225" s="15"/>
      <c r="E225" s="15"/>
      <c r="F225" s="15"/>
      <c r="G225" s="15"/>
      <c r="H225" s="15"/>
      <c r="I225" s="15"/>
      <c r="J225" s="19">
        <f>IF(OR(H225="",I225=""),"",IFERROR(INDEX(Catalogo_Vehiculos!$C$2:$C$1325,MATCH(TRUE(),INDEX(Catalogo_Vehiculos!$G$2:$G$1325=H225&amp;"|"&amp;I225,0),0)),"No en catálogo"))</f>
      </c>
      <c r="K225" s="19">
        <f>IF(OR(H225="",I225=""),"",IFERROR(INDEX(Catalogo_Vehiculos!$D$2:$D$1325,MATCH(TRUE(),INDEX(Catalogo_Vehiculos!$G$2:$G$1325=H225&amp;"|"&amp;I225,0),0)),"No en catálogo"))</f>
      </c>
      <c r="L225" s="19">
        <f>IF(OR(H225="",I225=""),"",IFERROR(INDEX(Catalogo_Vehiculos!$E$2:$E$1325,MATCH(TRUE(),INDEX(Catalogo_Vehiculos!$G$2:$G$1325=H225&amp;"|"&amp;I225,0),0)),"No en catálogo"))</f>
      </c>
      <c r="M225" s="19">
        <f>IF(OR(H225="",I225=""),"",IFERROR(INDEX(Catalogo_Vehiculos!$F$2:$F$1325,MATCH(TRUE(),INDEX(Catalogo_Vehiculos!$G$2:$G$1325=H225&amp;"|"&amp;I225,0),0)),"No en catálogo"))</f>
      </c>
      <c r="N225" s="20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9"/>
      <c r="Z225" s="19"/>
      <c r="AA225" s="15"/>
      <c r="AB225" s="15"/>
      <c r="AC225" s="15"/>
      <c r="AD225" s="15"/>
      <c r="AE225" s="15"/>
      <c r="AF225" s="19"/>
      <c r="AG225" s="19"/>
      <c r="AH225" s="15"/>
      <c r="AI225" s="15"/>
      <c r="AJ225" s="15"/>
      <c r="AK225" s="15"/>
      <c r="AL225" s="21"/>
      <c r="AM225" s="15"/>
      <c r="AN225" s="15"/>
      <c r="AO225" s="15"/>
      <c r="AP225" s="15"/>
      <c r="AQ225" s="15"/>
      <c r="AR225" s="15"/>
      <c r="AS225" s="15"/>
      <c r="AT225" s="19" t="str">
        <f>IF(COUNTA(A225:I225)+COUNTA(N225:X225)+COUNTA(AA225:AE225)+COUNTA(AH225:AS225)=0,"",IF(AND(A225&lt;&gt;"",E225&lt;&gt;"",OR(F225&lt;&gt;"",G225&lt;&gt;""),H225&lt;&gt;"",I225&lt;&gt;"",J225&lt;&gt;"No en catálogo",S225&lt;&gt;"",T225&lt;&gt;"",U225&lt;&gt;"",V225&lt;&gt;"",OR(AR225&lt;&gt;"",AND(W225&lt;&gt;"",X225&lt;&gt;"",AA225&lt;&gt;"",AB225&lt;&gt;"")),OR(AS225&lt;&gt;"",AND(AD225&lt;&gt;"",AE225&lt;&gt;"",AH225&lt;&gt;"",AI225&lt;&gt;"")),AK225&lt;&gt;"",OR(AK225&lt;&gt;"programado",AL225&lt;&gt;""),OR(AM225&lt;&gt;"específica",AN225&lt;&gt;""),OR(AO225&lt;&gt;"específica",AP225&lt;&gt;"")),"OK","Revisar"))</f>
        <v/>
      </c>
    </row>
    <row r="226" ht="15" customHeight="1" spans="1:46" x14ac:dyDescent="0.25">
      <c r="A226" s="15"/>
      <c r="B226" s="15"/>
      <c r="C226" s="15"/>
      <c r="D226" s="15"/>
      <c r="E226" s="15"/>
      <c r="F226" s="15"/>
      <c r="G226" s="15"/>
      <c r="H226" s="15"/>
      <c r="I226" s="15"/>
      <c r="J226" s="19">
        <f>IF(OR(H226="",I226=""),"",IFERROR(INDEX(Catalogo_Vehiculos!$C$2:$C$1325,MATCH(TRUE(),INDEX(Catalogo_Vehiculos!$G$2:$G$1325=H226&amp;"|"&amp;I226,0),0)),"No en catálogo"))</f>
      </c>
      <c r="K226" s="19">
        <f>IF(OR(H226="",I226=""),"",IFERROR(INDEX(Catalogo_Vehiculos!$D$2:$D$1325,MATCH(TRUE(),INDEX(Catalogo_Vehiculos!$G$2:$G$1325=H226&amp;"|"&amp;I226,0),0)),"No en catálogo"))</f>
      </c>
      <c r="L226" s="19">
        <f>IF(OR(H226="",I226=""),"",IFERROR(INDEX(Catalogo_Vehiculos!$E$2:$E$1325,MATCH(TRUE(),INDEX(Catalogo_Vehiculos!$G$2:$G$1325=H226&amp;"|"&amp;I226,0),0)),"No en catálogo"))</f>
      </c>
      <c r="M226" s="19">
        <f>IF(OR(H226="",I226=""),"",IFERROR(INDEX(Catalogo_Vehiculos!$F$2:$F$1325,MATCH(TRUE(),INDEX(Catalogo_Vehiculos!$G$2:$G$1325=H226&amp;"|"&amp;I226,0),0)),"No en catálogo"))</f>
      </c>
      <c r="N226" s="20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9"/>
      <c r="Z226" s="19"/>
      <c r="AA226" s="15"/>
      <c r="AB226" s="15"/>
      <c r="AC226" s="15"/>
      <c r="AD226" s="15"/>
      <c r="AE226" s="15"/>
      <c r="AF226" s="19"/>
      <c r="AG226" s="19"/>
      <c r="AH226" s="15"/>
      <c r="AI226" s="15"/>
      <c r="AJ226" s="15"/>
      <c r="AK226" s="15"/>
      <c r="AL226" s="21"/>
      <c r="AM226" s="15"/>
      <c r="AN226" s="15"/>
      <c r="AO226" s="15"/>
      <c r="AP226" s="15"/>
      <c r="AQ226" s="15"/>
      <c r="AR226" s="15"/>
      <c r="AS226" s="15"/>
      <c r="AT226" s="19" t="str">
        <f>IF(COUNTA(A226:I226)+COUNTA(N226:X226)+COUNTA(AA226:AE226)+COUNTA(AH226:AS226)=0,"",IF(AND(A226&lt;&gt;"",E226&lt;&gt;"",OR(F226&lt;&gt;"",G226&lt;&gt;""),H226&lt;&gt;"",I226&lt;&gt;"",J226&lt;&gt;"No en catálogo",S226&lt;&gt;"",T226&lt;&gt;"",U226&lt;&gt;"",V226&lt;&gt;"",OR(AR226&lt;&gt;"",AND(W226&lt;&gt;"",X226&lt;&gt;"",AA226&lt;&gt;"",AB226&lt;&gt;"")),OR(AS226&lt;&gt;"",AND(AD226&lt;&gt;"",AE226&lt;&gt;"",AH226&lt;&gt;"",AI226&lt;&gt;"")),AK226&lt;&gt;"",OR(AK226&lt;&gt;"programado",AL226&lt;&gt;""),OR(AM226&lt;&gt;"específica",AN226&lt;&gt;""),OR(AO226&lt;&gt;"específica",AP226&lt;&gt;"")),"OK","Revisar"))</f>
        <v/>
      </c>
    </row>
    <row r="227" ht="15" customHeight="1" spans="1:46" x14ac:dyDescent="0.25">
      <c r="A227" s="15"/>
      <c r="B227" s="15"/>
      <c r="C227" s="15"/>
      <c r="D227" s="15"/>
      <c r="E227" s="15"/>
      <c r="F227" s="15"/>
      <c r="G227" s="15"/>
      <c r="H227" s="15"/>
      <c r="I227" s="15"/>
      <c r="J227" s="19">
        <f>IF(OR(H227="",I227=""),"",IFERROR(INDEX(Catalogo_Vehiculos!$C$2:$C$1325,MATCH(TRUE(),INDEX(Catalogo_Vehiculos!$G$2:$G$1325=H227&amp;"|"&amp;I227,0),0)),"No en catálogo"))</f>
      </c>
      <c r="K227" s="19">
        <f>IF(OR(H227="",I227=""),"",IFERROR(INDEX(Catalogo_Vehiculos!$D$2:$D$1325,MATCH(TRUE(),INDEX(Catalogo_Vehiculos!$G$2:$G$1325=H227&amp;"|"&amp;I227,0),0)),"No en catálogo"))</f>
      </c>
      <c r="L227" s="19">
        <f>IF(OR(H227="",I227=""),"",IFERROR(INDEX(Catalogo_Vehiculos!$E$2:$E$1325,MATCH(TRUE(),INDEX(Catalogo_Vehiculos!$G$2:$G$1325=H227&amp;"|"&amp;I227,0),0)),"No en catálogo"))</f>
      </c>
      <c r="M227" s="19">
        <f>IF(OR(H227="",I227=""),"",IFERROR(INDEX(Catalogo_Vehiculos!$F$2:$F$1325,MATCH(TRUE(),INDEX(Catalogo_Vehiculos!$G$2:$G$1325=H227&amp;"|"&amp;I227,0),0)),"No en catálogo"))</f>
      </c>
      <c r="N227" s="20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9"/>
      <c r="Z227" s="19"/>
      <c r="AA227" s="15"/>
      <c r="AB227" s="15"/>
      <c r="AC227" s="15"/>
      <c r="AD227" s="15"/>
      <c r="AE227" s="15"/>
      <c r="AF227" s="19"/>
      <c r="AG227" s="19"/>
      <c r="AH227" s="15"/>
      <c r="AI227" s="15"/>
      <c r="AJ227" s="15"/>
      <c r="AK227" s="15"/>
      <c r="AL227" s="21"/>
      <c r="AM227" s="15"/>
      <c r="AN227" s="15"/>
      <c r="AO227" s="15"/>
      <c r="AP227" s="15"/>
      <c r="AQ227" s="15"/>
      <c r="AR227" s="15"/>
      <c r="AS227" s="15"/>
      <c r="AT227" s="19" t="str">
        <f>IF(COUNTA(A227:I227)+COUNTA(N227:X227)+COUNTA(AA227:AE227)+COUNTA(AH227:AS227)=0,"",IF(AND(A227&lt;&gt;"",E227&lt;&gt;"",OR(F227&lt;&gt;"",G227&lt;&gt;""),H227&lt;&gt;"",I227&lt;&gt;"",J227&lt;&gt;"No en catálogo",S227&lt;&gt;"",T227&lt;&gt;"",U227&lt;&gt;"",V227&lt;&gt;"",OR(AR227&lt;&gt;"",AND(W227&lt;&gt;"",X227&lt;&gt;"",AA227&lt;&gt;"",AB227&lt;&gt;"")),OR(AS227&lt;&gt;"",AND(AD227&lt;&gt;"",AE227&lt;&gt;"",AH227&lt;&gt;"",AI227&lt;&gt;"")),AK227&lt;&gt;"",OR(AK227&lt;&gt;"programado",AL227&lt;&gt;""),OR(AM227&lt;&gt;"específica",AN227&lt;&gt;""),OR(AO227&lt;&gt;"específica",AP227&lt;&gt;"")),"OK","Revisar"))</f>
        <v/>
      </c>
    </row>
    <row r="228" ht="15" customHeight="1" spans="1:46" x14ac:dyDescent="0.25">
      <c r="A228" s="15"/>
      <c r="B228" s="15"/>
      <c r="C228" s="15"/>
      <c r="D228" s="15"/>
      <c r="E228" s="15"/>
      <c r="F228" s="15"/>
      <c r="G228" s="15"/>
      <c r="H228" s="15"/>
      <c r="I228" s="15"/>
      <c r="J228" s="19">
        <f>IF(OR(H228="",I228=""),"",IFERROR(INDEX(Catalogo_Vehiculos!$C$2:$C$1325,MATCH(TRUE(),INDEX(Catalogo_Vehiculos!$G$2:$G$1325=H228&amp;"|"&amp;I228,0),0)),"No en catálogo"))</f>
      </c>
      <c r="K228" s="19">
        <f>IF(OR(H228="",I228=""),"",IFERROR(INDEX(Catalogo_Vehiculos!$D$2:$D$1325,MATCH(TRUE(),INDEX(Catalogo_Vehiculos!$G$2:$G$1325=H228&amp;"|"&amp;I228,0),0)),"No en catálogo"))</f>
      </c>
      <c r="L228" s="19">
        <f>IF(OR(H228="",I228=""),"",IFERROR(INDEX(Catalogo_Vehiculos!$E$2:$E$1325,MATCH(TRUE(),INDEX(Catalogo_Vehiculos!$G$2:$G$1325=H228&amp;"|"&amp;I228,0),0)),"No en catálogo"))</f>
      </c>
      <c r="M228" s="19">
        <f>IF(OR(H228="",I228=""),"",IFERROR(INDEX(Catalogo_Vehiculos!$F$2:$F$1325,MATCH(TRUE(),INDEX(Catalogo_Vehiculos!$G$2:$G$1325=H228&amp;"|"&amp;I228,0),0)),"No en catálogo"))</f>
      </c>
      <c r="N228" s="20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9"/>
      <c r="Z228" s="19"/>
      <c r="AA228" s="15"/>
      <c r="AB228" s="15"/>
      <c r="AC228" s="15"/>
      <c r="AD228" s="15"/>
      <c r="AE228" s="15"/>
      <c r="AF228" s="19"/>
      <c r="AG228" s="19"/>
      <c r="AH228" s="15"/>
      <c r="AI228" s="15"/>
      <c r="AJ228" s="15"/>
      <c r="AK228" s="15"/>
      <c r="AL228" s="21"/>
      <c r="AM228" s="15"/>
      <c r="AN228" s="15"/>
      <c r="AO228" s="15"/>
      <c r="AP228" s="15"/>
      <c r="AQ228" s="15"/>
      <c r="AR228" s="15"/>
      <c r="AS228" s="15"/>
      <c r="AT228" s="19" t="str">
        <f>IF(COUNTA(A228:I228)+COUNTA(N228:X228)+COUNTA(AA228:AE228)+COUNTA(AH228:AS228)=0,"",IF(AND(A228&lt;&gt;"",E228&lt;&gt;"",OR(F228&lt;&gt;"",G228&lt;&gt;""),H228&lt;&gt;"",I228&lt;&gt;"",J228&lt;&gt;"No en catálogo",S228&lt;&gt;"",T228&lt;&gt;"",U228&lt;&gt;"",V228&lt;&gt;"",OR(AR228&lt;&gt;"",AND(W228&lt;&gt;"",X228&lt;&gt;"",AA228&lt;&gt;"",AB228&lt;&gt;"")),OR(AS228&lt;&gt;"",AND(AD228&lt;&gt;"",AE228&lt;&gt;"",AH228&lt;&gt;"",AI228&lt;&gt;"")),AK228&lt;&gt;"",OR(AK228&lt;&gt;"programado",AL228&lt;&gt;""),OR(AM228&lt;&gt;"específica",AN228&lt;&gt;""),OR(AO228&lt;&gt;"específica",AP228&lt;&gt;"")),"OK","Revisar"))</f>
        <v/>
      </c>
    </row>
    <row r="229" ht="15" customHeight="1" spans="1:46" x14ac:dyDescent="0.25">
      <c r="A229" s="15"/>
      <c r="B229" s="15"/>
      <c r="C229" s="15"/>
      <c r="D229" s="15"/>
      <c r="E229" s="15"/>
      <c r="F229" s="15"/>
      <c r="G229" s="15"/>
      <c r="H229" s="15"/>
      <c r="I229" s="15"/>
      <c r="J229" s="19">
        <f>IF(OR(H229="",I229=""),"",IFERROR(INDEX(Catalogo_Vehiculos!$C$2:$C$1325,MATCH(TRUE(),INDEX(Catalogo_Vehiculos!$G$2:$G$1325=H229&amp;"|"&amp;I229,0),0)),"No en catálogo"))</f>
      </c>
      <c r="K229" s="19">
        <f>IF(OR(H229="",I229=""),"",IFERROR(INDEX(Catalogo_Vehiculos!$D$2:$D$1325,MATCH(TRUE(),INDEX(Catalogo_Vehiculos!$G$2:$G$1325=H229&amp;"|"&amp;I229,0),0)),"No en catálogo"))</f>
      </c>
      <c r="L229" s="19">
        <f>IF(OR(H229="",I229=""),"",IFERROR(INDEX(Catalogo_Vehiculos!$E$2:$E$1325,MATCH(TRUE(),INDEX(Catalogo_Vehiculos!$G$2:$G$1325=H229&amp;"|"&amp;I229,0),0)),"No en catálogo"))</f>
      </c>
      <c r="M229" s="19">
        <f>IF(OR(H229="",I229=""),"",IFERROR(INDEX(Catalogo_Vehiculos!$F$2:$F$1325,MATCH(TRUE(),INDEX(Catalogo_Vehiculos!$G$2:$G$1325=H229&amp;"|"&amp;I229,0),0)),"No en catálogo"))</f>
      </c>
      <c r="N229" s="20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9"/>
      <c r="Z229" s="19"/>
      <c r="AA229" s="15"/>
      <c r="AB229" s="15"/>
      <c r="AC229" s="15"/>
      <c r="AD229" s="15"/>
      <c r="AE229" s="15"/>
      <c r="AF229" s="19"/>
      <c r="AG229" s="19"/>
      <c r="AH229" s="15"/>
      <c r="AI229" s="15"/>
      <c r="AJ229" s="15"/>
      <c r="AK229" s="15"/>
      <c r="AL229" s="21"/>
      <c r="AM229" s="15"/>
      <c r="AN229" s="15"/>
      <c r="AO229" s="15"/>
      <c r="AP229" s="15"/>
      <c r="AQ229" s="15"/>
      <c r="AR229" s="15"/>
      <c r="AS229" s="15"/>
      <c r="AT229" s="19" t="str">
        <f>IF(COUNTA(A229:I229)+COUNTA(N229:X229)+COUNTA(AA229:AE229)+COUNTA(AH229:AS229)=0,"",IF(AND(A229&lt;&gt;"",E229&lt;&gt;"",OR(F229&lt;&gt;"",G229&lt;&gt;""),H229&lt;&gt;"",I229&lt;&gt;"",J229&lt;&gt;"No en catálogo",S229&lt;&gt;"",T229&lt;&gt;"",U229&lt;&gt;"",V229&lt;&gt;"",OR(AR229&lt;&gt;"",AND(W229&lt;&gt;"",X229&lt;&gt;"",AA229&lt;&gt;"",AB229&lt;&gt;"")),OR(AS229&lt;&gt;"",AND(AD229&lt;&gt;"",AE229&lt;&gt;"",AH229&lt;&gt;"",AI229&lt;&gt;"")),AK229&lt;&gt;"",OR(AK229&lt;&gt;"programado",AL229&lt;&gt;""),OR(AM229&lt;&gt;"específica",AN229&lt;&gt;""),OR(AO229&lt;&gt;"específica",AP229&lt;&gt;"")),"OK","Revisar"))</f>
        <v/>
      </c>
    </row>
    <row r="230" ht="15" customHeight="1" spans="1:46" x14ac:dyDescent="0.25">
      <c r="A230" s="15"/>
      <c r="B230" s="15"/>
      <c r="C230" s="15"/>
      <c r="D230" s="15"/>
      <c r="E230" s="15"/>
      <c r="F230" s="15"/>
      <c r="G230" s="15"/>
      <c r="H230" s="15"/>
      <c r="I230" s="15"/>
      <c r="J230" s="19">
        <f>IF(OR(H230="",I230=""),"",IFERROR(INDEX(Catalogo_Vehiculos!$C$2:$C$1325,MATCH(TRUE(),INDEX(Catalogo_Vehiculos!$G$2:$G$1325=H230&amp;"|"&amp;I230,0),0)),"No en catálogo"))</f>
      </c>
      <c r="K230" s="19">
        <f>IF(OR(H230="",I230=""),"",IFERROR(INDEX(Catalogo_Vehiculos!$D$2:$D$1325,MATCH(TRUE(),INDEX(Catalogo_Vehiculos!$G$2:$G$1325=H230&amp;"|"&amp;I230,0),0)),"No en catálogo"))</f>
      </c>
      <c r="L230" s="19">
        <f>IF(OR(H230="",I230=""),"",IFERROR(INDEX(Catalogo_Vehiculos!$E$2:$E$1325,MATCH(TRUE(),INDEX(Catalogo_Vehiculos!$G$2:$G$1325=H230&amp;"|"&amp;I230,0),0)),"No en catálogo"))</f>
      </c>
      <c r="M230" s="19">
        <f>IF(OR(H230="",I230=""),"",IFERROR(INDEX(Catalogo_Vehiculos!$F$2:$F$1325,MATCH(TRUE(),INDEX(Catalogo_Vehiculos!$G$2:$G$1325=H230&amp;"|"&amp;I230,0),0)),"No en catálogo"))</f>
      </c>
      <c r="N230" s="20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9"/>
      <c r="Z230" s="19"/>
      <c r="AA230" s="15"/>
      <c r="AB230" s="15"/>
      <c r="AC230" s="15"/>
      <c r="AD230" s="15"/>
      <c r="AE230" s="15"/>
      <c r="AF230" s="19"/>
      <c r="AG230" s="19"/>
      <c r="AH230" s="15"/>
      <c r="AI230" s="15"/>
      <c r="AJ230" s="15"/>
      <c r="AK230" s="15"/>
      <c r="AL230" s="21"/>
      <c r="AM230" s="15"/>
      <c r="AN230" s="15"/>
      <c r="AO230" s="15"/>
      <c r="AP230" s="15"/>
      <c r="AQ230" s="15"/>
      <c r="AR230" s="15"/>
      <c r="AS230" s="15"/>
      <c r="AT230" s="19" t="str">
        <f>IF(COUNTA(A230:I230)+COUNTA(N230:X230)+COUNTA(AA230:AE230)+COUNTA(AH230:AS230)=0,"",IF(AND(A230&lt;&gt;"",E230&lt;&gt;"",OR(F230&lt;&gt;"",G230&lt;&gt;""),H230&lt;&gt;"",I230&lt;&gt;"",J230&lt;&gt;"No en catálogo",S230&lt;&gt;"",T230&lt;&gt;"",U230&lt;&gt;"",V230&lt;&gt;"",OR(AR230&lt;&gt;"",AND(W230&lt;&gt;"",X230&lt;&gt;"",AA230&lt;&gt;"",AB230&lt;&gt;"")),OR(AS230&lt;&gt;"",AND(AD230&lt;&gt;"",AE230&lt;&gt;"",AH230&lt;&gt;"",AI230&lt;&gt;"")),AK230&lt;&gt;"",OR(AK230&lt;&gt;"programado",AL230&lt;&gt;""),OR(AM230&lt;&gt;"específica",AN230&lt;&gt;""),OR(AO230&lt;&gt;"específica",AP230&lt;&gt;"")),"OK","Revisar"))</f>
        <v/>
      </c>
    </row>
    <row r="231" ht="15" customHeight="1" spans="1:46" x14ac:dyDescent="0.25">
      <c r="A231" s="15"/>
      <c r="B231" s="15"/>
      <c r="C231" s="15"/>
      <c r="D231" s="15"/>
      <c r="E231" s="15"/>
      <c r="F231" s="15"/>
      <c r="G231" s="15"/>
      <c r="H231" s="15"/>
      <c r="I231" s="15"/>
      <c r="J231" s="19">
        <f>IF(OR(H231="",I231=""),"",IFERROR(INDEX(Catalogo_Vehiculos!$C$2:$C$1325,MATCH(TRUE(),INDEX(Catalogo_Vehiculos!$G$2:$G$1325=H231&amp;"|"&amp;I231,0),0)),"No en catálogo"))</f>
      </c>
      <c r="K231" s="19">
        <f>IF(OR(H231="",I231=""),"",IFERROR(INDEX(Catalogo_Vehiculos!$D$2:$D$1325,MATCH(TRUE(),INDEX(Catalogo_Vehiculos!$G$2:$G$1325=H231&amp;"|"&amp;I231,0),0)),"No en catálogo"))</f>
      </c>
      <c r="L231" s="19">
        <f>IF(OR(H231="",I231=""),"",IFERROR(INDEX(Catalogo_Vehiculos!$E$2:$E$1325,MATCH(TRUE(),INDEX(Catalogo_Vehiculos!$G$2:$G$1325=H231&amp;"|"&amp;I231,0),0)),"No en catálogo"))</f>
      </c>
      <c r="M231" s="19">
        <f>IF(OR(H231="",I231=""),"",IFERROR(INDEX(Catalogo_Vehiculos!$F$2:$F$1325,MATCH(TRUE(),INDEX(Catalogo_Vehiculos!$G$2:$G$1325=H231&amp;"|"&amp;I231,0),0)),"No en catálogo"))</f>
      </c>
      <c r="N231" s="20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9"/>
      <c r="Z231" s="19"/>
      <c r="AA231" s="15"/>
      <c r="AB231" s="15"/>
      <c r="AC231" s="15"/>
      <c r="AD231" s="15"/>
      <c r="AE231" s="15"/>
      <c r="AF231" s="19"/>
      <c r="AG231" s="19"/>
      <c r="AH231" s="15"/>
      <c r="AI231" s="15"/>
      <c r="AJ231" s="15"/>
      <c r="AK231" s="15"/>
      <c r="AL231" s="21"/>
      <c r="AM231" s="15"/>
      <c r="AN231" s="15"/>
      <c r="AO231" s="15"/>
      <c r="AP231" s="15"/>
      <c r="AQ231" s="15"/>
      <c r="AR231" s="15"/>
      <c r="AS231" s="15"/>
      <c r="AT231" s="19" t="str">
        <f>IF(COUNTA(A231:I231)+COUNTA(N231:X231)+COUNTA(AA231:AE231)+COUNTA(AH231:AS231)=0,"",IF(AND(A231&lt;&gt;"",E231&lt;&gt;"",OR(F231&lt;&gt;"",G231&lt;&gt;""),H231&lt;&gt;"",I231&lt;&gt;"",J231&lt;&gt;"No en catálogo",S231&lt;&gt;"",T231&lt;&gt;"",U231&lt;&gt;"",V231&lt;&gt;"",OR(AR231&lt;&gt;"",AND(W231&lt;&gt;"",X231&lt;&gt;"",AA231&lt;&gt;"",AB231&lt;&gt;"")),OR(AS231&lt;&gt;"",AND(AD231&lt;&gt;"",AE231&lt;&gt;"",AH231&lt;&gt;"",AI231&lt;&gt;"")),AK231&lt;&gt;"",OR(AK231&lt;&gt;"programado",AL231&lt;&gt;""),OR(AM231&lt;&gt;"específica",AN231&lt;&gt;""),OR(AO231&lt;&gt;"específica",AP231&lt;&gt;"")),"OK","Revisar"))</f>
        <v/>
      </c>
    </row>
    <row r="232" ht="15" customHeight="1" spans="1:46" x14ac:dyDescent="0.25">
      <c r="A232" s="15"/>
      <c r="B232" s="15"/>
      <c r="C232" s="15"/>
      <c r="D232" s="15"/>
      <c r="E232" s="15"/>
      <c r="F232" s="15"/>
      <c r="G232" s="15"/>
      <c r="H232" s="15"/>
      <c r="I232" s="15"/>
      <c r="J232" s="19">
        <f>IF(OR(H232="",I232=""),"",IFERROR(INDEX(Catalogo_Vehiculos!$C$2:$C$1325,MATCH(TRUE(),INDEX(Catalogo_Vehiculos!$G$2:$G$1325=H232&amp;"|"&amp;I232,0),0)),"No en catálogo"))</f>
      </c>
      <c r="K232" s="19">
        <f>IF(OR(H232="",I232=""),"",IFERROR(INDEX(Catalogo_Vehiculos!$D$2:$D$1325,MATCH(TRUE(),INDEX(Catalogo_Vehiculos!$G$2:$G$1325=H232&amp;"|"&amp;I232,0),0)),"No en catálogo"))</f>
      </c>
      <c r="L232" s="19">
        <f>IF(OR(H232="",I232=""),"",IFERROR(INDEX(Catalogo_Vehiculos!$E$2:$E$1325,MATCH(TRUE(),INDEX(Catalogo_Vehiculos!$G$2:$G$1325=H232&amp;"|"&amp;I232,0),0)),"No en catálogo"))</f>
      </c>
      <c r="M232" s="19">
        <f>IF(OR(H232="",I232=""),"",IFERROR(INDEX(Catalogo_Vehiculos!$F$2:$F$1325,MATCH(TRUE(),INDEX(Catalogo_Vehiculos!$G$2:$G$1325=H232&amp;"|"&amp;I232,0),0)),"No en catálogo"))</f>
      </c>
      <c r="N232" s="20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9"/>
      <c r="Z232" s="19"/>
      <c r="AA232" s="15"/>
      <c r="AB232" s="15"/>
      <c r="AC232" s="15"/>
      <c r="AD232" s="15"/>
      <c r="AE232" s="15"/>
      <c r="AF232" s="19"/>
      <c r="AG232" s="19"/>
      <c r="AH232" s="15"/>
      <c r="AI232" s="15"/>
      <c r="AJ232" s="15"/>
      <c r="AK232" s="15"/>
      <c r="AL232" s="21"/>
      <c r="AM232" s="15"/>
      <c r="AN232" s="15"/>
      <c r="AO232" s="15"/>
      <c r="AP232" s="15"/>
      <c r="AQ232" s="15"/>
      <c r="AR232" s="15"/>
      <c r="AS232" s="15"/>
      <c r="AT232" s="19" t="str">
        <f>IF(COUNTA(A232:I232)+COUNTA(N232:X232)+COUNTA(AA232:AE232)+COUNTA(AH232:AS232)=0,"",IF(AND(A232&lt;&gt;"",E232&lt;&gt;"",OR(F232&lt;&gt;"",G232&lt;&gt;""),H232&lt;&gt;"",I232&lt;&gt;"",J232&lt;&gt;"No en catálogo",S232&lt;&gt;"",T232&lt;&gt;"",U232&lt;&gt;"",V232&lt;&gt;"",OR(AR232&lt;&gt;"",AND(W232&lt;&gt;"",X232&lt;&gt;"",AA232&lt;&gt;"",AB232&lt;&gt;"")),OR(AS232&lt;&gt;"",AND(AD232&lt;&gt;"",AE232&lt;&gt;"",AH232&lt;&gt;"",AI232&lt;&gt;"")),AK232&lt;&gt;"",OR(AK232&lt;&gt;"programado",AL232&lt;&gt;""),OR(AM232&lt;&gt;"específica",AN232&lt;&gt;""),OR(AO232&lt;&gt;"específica",AP232&lt;&gt;"")),"OK","Revisar"))</f>
        <v/>
      </c>
    </row>
    <row r="233" ht="15" customHeight="1" spans="1:46" x14ac:dyDescent="0.25">
      <c r="A233" s="15"/>
      <c r="B233" s="15"/>
      <c r="C233" s="15"/>
      <c r="D233" s="15"/>
      <c r="E233" s="15"/>
      <c r="F233" s="15"/>
      <c r="G233" s="15"/>
      <c r="H233" s="15"/>
      <c r="I233" s="15"/>
      <c r="J233" s="19">
        <f>IF(OR(H233="",I233=""),"",IFERROR(INDEX(Catalogo_Vehiculos!$C$2:$C$1325,MATCH(TRUE(),INDEX(Catalogo_Vehiculos!$G$2:$G$1325=H233&amp;"|"&amp;I233,0),0)),"No en catálogo"))</f>
      </c>
      <c r="K233" s="19">
        <f>IF(OR(H233="",I233=""),"",IFERROR(INDEX(Catalogo_Vehiculos!$D$2:$D$1325,MATCH(TRUE(),INDEX(Catalogo_Vehiculos!$G$2:$G$1325=H233&amp;"|"&amp;I233,0),0)),"No en catálogo"))</f>
      </c>
      <c r="L233" s="19">
        <f>IF(OR(H233="",I233=""),"",IFERROR(INDEX(Catalogo_Vehiculos!$E$2:$E$1325,MATCH(TRUE(),INDEX(Catalogo_Vehiculos!$G$2:$G$1325=H233&amp;"|"&amp;I233,0),0)),"No en catálogo"))</f>
      </c>
      <c r="M233" s="19">
        <f>IF(OR(H233="",I233=""),"",IFERROR(INDEX(Catalogo_Vehiculos!$F$2:$F$1325,MATCH(TRUE(),INDEX(Catalogo_Vehiculos!$G$2:$G$1325=H233&amp;"|"&amp;I233,0),0)),"No en catálogo"))</f>
      </c>
      <c r="N233" s="20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9"/>
      <c r="Z233" s="19"/>
      <c r="AA233" s="15"/>
      <c r="AB233" s="15"/>
      <c r="AC233" s="15"/>
      <c r="AD233" s="15"/>
      <c r="AE233" s="15"/>
      <c r="AF233" s="19"/>
      <c r="AG233" s="19"/>
      <c r="AH233" s="15"/>
      <c r="AI233" s="15"/>
      <c r="AJ233" s="15"/>
      <c r="AK233" s="15"/>
      <c r="AL233" s="21"/>
      <c r="AM233" s="15"/>
      <c r="AN233" s="15"/>
      <c r="AO233" s="15"/>
      <c r="AP233" s="15"/>
      <c r="AQ233" s="15"/>
      <c r="AR233" s="15"/>
      <c r="AS233" s="15"/>
      <c r="AT233" s="19" t="str">
        <f>IF(COUNTA(A233:I233)+COUNTA(N233:X233)+COUNTA(AA233:AE233)+COUNTA(AH233:AS233)=0,"",IF(AND(A233&lt;&gt;"",E233&lt;&gt;"",OR(F233&lt;&gt;"",G233&lt;&gt;""),H233&lt;&gt;"",I233&lt;&gt;"",J233&lt;&gt;"No en catálogo",S233&lt;&gt;"",T233&lt;&gt;"",U233&lt;&gt;"",V233&lt;&gt;"",OR(AR233&lt;&gt;"",AND(W233&lt;&gt;"",X233&lt;&gt;"",AA233&lt;&gt;"",AB233&lt;&gt;"")),OR(AS233&lt;&gt;"",AND(AD233&lt;&gt;"",AE233&lt;&gt;"",AH233&lt;&gt;"",AI233&lt;&gt;"")),AK233&lt;&gt;"",OR(AK233&lt;&gt;"programado",AL233&lt;&gt;""),OR(AM233&lt;&gt;"específica",AN233&lt;&gt;""),OR(AO233&lt;&gt;"específica",AP233&lt;&gt;"")),"OK","Revisar"))</f>
        <v/>
      </c>
    </row>
    <row r="234" ht="15" customHeight="1" spans="1:46" x14ac:dyDescent="0.25">
      <c r="A234" s="15"/>
      <c r="B234" s="15"/>
      <c r="C234" s="15"/>
      <c r="D234" s="15"/>
      <c r="E234" s="15"/>
      <c r="F234" s="15"/>
      <c r="G234" s="15"/>
      <c r="H234" s="15"/>
      <c r="I234" s="15"/>
      <c r="J234" s="19">
        <f>IF(OR(H234="",I234=""),"",IFERROR(INDEX(Catalogo_Vehiculos!$C$2:$C$1325,MATCH(TRUE(),INDEX(Catalogo_Vehiculos!$G$2:$G$1325=H234&amp;"|"&amp;I234,0),0)),"No en catálogo"))</f>
      </c>
      <c r="K234" s="19">
        <f>IF(OR(H234="",I234=""),"",IFERROR(INDEX(Catalogo_Vehiculos!$D$2:$D$1325,MATCH(TRUE(),INDEX(Catalogo_Vehiculos!$G$2:$G$1325=H234&amp;"|"&amp;I234,0),0)),"No en catálogo"))</f>
      </c>
      <c r="L234" s="19">
        <f>IF(OR(H234="",I234=""),"",IFERROR(INDEX(Catalogo_Vehiculos!$E$2:$E$1325,MATCH(TRUE(),INDEX(Catalogo_Vehiculos!$G$2:$G$1325=H234&amp;"|"&amp;I234,0),0)),"No en catálogo"))</f>
      </c>
      <c r="M234" s="19">
        <f>IF(OR(H234="",I234=""),"",IFERROR(INDEX(Catalogo_Vehiculos!$F$2:$F$1325,MATCH(TRUE(),INDEX(Catalogo_Vehiculos!$G$2:$G$1325=H234&amp;"|"&amp;I234,0),0)),"No en catálogo"))</f>
      </c>
      <c r="N234" s="20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9"/>
      <c r="Z234" s="19"/>
      <c r="AA234" s="15"/>
      <c r="AB234" s="15"/>
      <c r="AC234" s="15"/>
      <c r="AD234" s="15"/>
      <c r="AE234" s="15"/>
      <c r="AF234" s="19"/>
      <c r="AG234" s="19"/>
      <c r="AH234" s="15"/>
      <c r="AI234" s="15"/>
      <c r="AJ234" s="15"/>
      <c r="AK234" s="15"/>
      <c r="AL234" s="21"/>
      <c r="AM234" s="15"/>
      <c r="AN234" s="15"/>
      <c r="AO234" s="15"/>
      <c r="AP234" s="15"/>
      <c r="AQ234" s="15"/>
      <c r="AR234" s="15"/>
      <c r="AS234" s="15"/>
      <c r="AT234" s="19" t="str">
        <f>IF(COUNTA(A234:I234)+COUNTA(N234:X234)+COUNTA(AA234:AE234)+COUNTA(AH234:AS234)=0,"",IF(AND(A234&lt;&gt;"",E234&lt;&gt;"",OR(F234&lt;&gt;"",G234&lt;&gt;""),H234&lt;&gt;"",I234&lt;&gt;"",J234&lt;&gt;"No en catálogo",S234&lt;&gt;"",T234&lt;&gt;"",U234&lt;&gt;"",V234&lt;&gt;"",OR(AR234&lt;&gt;"",AND(W234&lt;&gt;"",X234&lt;&gt;"",AA234&lt;&gt;"",AB234&lt;&gt;"")),OR(AS234&lt;&gt;"",AND(AD234&lt;&gt;"",AE234&lt;&gt;"",AH234&lt;&gt;"",AI234&lt;&gt;"")),AK234&lt;&gt;"",OR(AK234&lt;&gt;"programado",AL234&lt;&gt;""),OR(AM234&lt;&gt;"específica",AN234&lt;&gt;""),OR(AO234&lt;&gt;"específica",AP234&lt;&gt;"")),"OK","Revisar"))</f>
        <v/>
      </c>
    </row>
    <row r="235" ht="15" customHeight="1" spans="1:46" x14ac:dyDescent="0.25">
      <c r="A235" s="15"/>
      <c r="B235" s="15"/>
      <c r="C235" s="15"/>
      <c r="D235" s="15"/>
      <c r="E235" s="15"/>
      <c r="F235" s="15"/>
      <c r="G235" s="15"/>
      <c r="H235" s="15"/>
      <c r="I235" s="15"/>
      <c r="J235" s="19">
        <f>IF(OR(H235="",I235=""),"",IFERROR(INDEX(Catalogo_Vehiculos!$C$2:$C$1325,MATCH(TRUE(),INDEX(Catalogo_Vehiculos!$G$2:$G$1325=H235&amp;"|"&amp;I235,0),0)),"No en catálogo"))</f>
      </c>
      <c r="K235" s="19">
        <f>IF(OR(H235="",I235=""),"",IFERROR(INDEX(Catalogo_Vehiculos!$D$2:$D$1325,MATCH(TRUE(),INDEX(Catalogo_Vehiculos!$G$2:$G$1325=H235&amp;"|"&amp;I235,0),0)),"No en catálogo"))</f>
      </c>
      <c r="L235" s="19">
        <f>IF(OR(H235="",I235=""),"",IFERROR(INDEX(Catalogo_Vehiculos!$E$2:$E$1325,MATCH(TRUE(),INDEX(Catalogo_Vehiculos!$G$2:$G$1325=H235&amp;"|"&amp;I235,0),0)),"No en catálogo"))</f>
      </c>
      <c r="M235" s="19">
        <f>IF(OR(H235="",I235=""),"",IFERROR(INDEX(Catalogo_Vehiculos!$F$2:$F$1325,MATCH(TRUE(),INDEX(Catalogo_Vehiculos!$G$2:$G$1325=H235&amp;"|"&amp;I235,0),0)),"No en catálogo"))</f>
      </c>
      <c r="N235" s="20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9"/>
      <c r="Z235" s="19"/>
      <c r="AA235" s="15"/>
      <c r="AB235" s="15"/>
      <c r="AC235" s="15"/>
      <c r="AD235" s="15"/>
      <c r="AE235" s="15"/>
      <c r="AF235" s="19"/>
      <c r="AG235" s="19"/>
      <c r="AH235" s="15"/>
      <c r="AI235" s="15"/>
      <c r="AJ235" s="15"/>
      <c r="AK235" s="15"/>
      <c r="AL235" s="21"/>
      <c r="AM235" s="15"/>
      <c r="AN235" s="15"/>
      <c r="AO235" s="15"/>
      <c r="AP235" s="15"/>
      <c r="AQ235" s="15"/>
      <c r="AR235" s="15"/>
      <c r="AS235" s="15"/>
      <c r="AT235" s="19" t="str">
        <f>IF(COUNTA(A235:I235)+COUNTA(N235:X235)+COUNTA(AA235:AE235)+COUNTA(AH235:AS235)=0,"",IF(AND(A235&lt;&gt;"",E235&lt;&gt;"",OR(F235&lt;&gt;"",G235&lt;&gt;""),H235&lt;&gt;"",I235&lt;&gt;"",J235&lt;&gt;"No en catálogo",S235&lt;&gt;"",T235&lt;&gt;"",U235&lt;&gt;"",V235&lt;&gt;"",OR(AR235&lt;&gt;"",AND(W235&lt;&gt;"",X235&lt;&gt;"",AA235&lt;&gt;"",AB235&lt;&gt;"")),OR(AS235&lt;&gt;"",AND(AD235&lt;&gt;"",AE235&lt;&gt;"",AH235&lt;&gt;"",AI235&lt;&gt;"")),AK235&lt;&gt;"",OR(AK235&lt;&gt;"programado",AL235&lt;&gt;""),OR(AM235&lt;&gt;"específica",AN235&lt;&gt;""),OR(AO235&lt;&gt;"específica",AP235&lt;&gt;"")),"OK","Revisar"))</f>
        <v/>
      </c>
    </row>
    <row r="236" ht="15" customHeight="1" spans="1:46" x14ac:dyDescent="0.25">
      <c r="A236" s="15"/>
      <c r="B236" s="15"/>
      <c r="C236" s="15"/>
      <c r="D236" s="15"/>
      <c r="E236" s="15"/>
      <c r="F236" s="15"/>
      <c r="G236" s="15"/>
      <c r="H236" s="15"/>
      <c r="I236" s="15"/>
      <c r="J236" s="19">
        <f>IF(OR(H236="",I236=""),"",IFERROR(INDEX(Catalogo_Vehiculos!$C$2:$C$1325,MATCH(TRUE(),INDEX(Catalogo_Vehiculos!$G$2:$G$1325=H236&amp;"|"&amp;I236,0),0)),"No en catálogo"))</f>
      </c>
      <c r="K236" s="19">
        <f>IF(OR(H236="",I236=""),"",IFERROR(INDEX(Catalogo_Vehiculos!$D$2:$D$1325,MATCH(TRUE(),INDEX(Catalogo_Vehiculos!$G$2:$G$1325=H236&amp;"|"&amp;I236,0),0)),"No en catálogo"))</f>
      </c>
      <c r="L236" s="19">
        <f>IF(OR(H236="",I236=""),"",IFERROR(INDEX(Catalogo_Vehiculos!$E$2:$E$1325,MATCH(TRUE(),INDEX(Catalogo_Vehiculos!$G$2:$G$1325=H236&amp;"|"&amp;I236,0),0)),"No en catálogo"))</f>
      </c>
      <c r="M236" s="19">
        <f>IF(OR(H236="",I236=""),"",IFERROR(INDEX(Catalogo_Vehiculos!$F$2:$F$1325,MATCH(TRUE(),INDEX(Catalogo_Vehiculos!$G$2:$G$1325=H236&amp;"|"&amp;I236,0),0)),"No en catálogo"))</f>
      </c>
      <c r="N236" s="20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9"/>
      <c r="Z236" s="19"/>
      <c r="AA236" s="15"/>
      <c r="AB236" s="15"/>
      <c r="AC236" s="15"/>
      <c r="AD236" s="15"/>
      <c r="AE236" s="15"/>
      <c r="AF236" s="19"/>
      <c r="AG236" s="19"/>
      <c r="AH236" s="15"/>
      <c r="AI236" s="15"/>
      <c r="AJ236" s="15"/>
      <c r="AK236" s="15"/>
      <c r="AL236" s="21"/>
      <c r="AM236" s="15"/>
      <c r="AN236" s="15"/>
      <c r="AO236" s="15"/>
      <c r="AP236" s="15"/>
      <c r="AQ236" s="15"/>
      <c r="AR236" s="15"/>
      <c r="AS236" s="15"/>
      <c r="AT236" s="19" t="str">
        <f>IF(COUNTA(A236:I236)+COUNTA(N236:X236)+COUNTA(AA236:AE236)+COUNTA(AH236:AS236)=0,"",IF(AND(A236&lt;&gt;"",E236&lt;&gt;"",OR(F236&lt;&gt;"",G236&lt;&gt;""),H236&lt;&gt;"",I236&lt;&gt;"",J236&lt;&gt;"No en catálogo",S236&lt;&gt;"",T236&lt;&gt;"",U236&lt;&gt;"",V236&lt;&gt;"",OR(AR236&lt;&gt;"",AND(W236&lt;&gt;"",X236&lt;&gt;"",AA236&lt;&gt;"",AB236&lt;&gt;"")),OR(AS236&lt;&gt;"",AND(AD236&lt;&gt;"",AE236&lt;&gt;"",AH236&lt;&gt;"",AI236&lt;&gt;"")),AK236&lt;&gt;"",OR(AK236&lt;&gt;"programado",AL236&lt;&gt;""),OR(AM236&lt;&gt;"específica",AN236&lt;&gt;""),OR(AO236&lt;&gt;"específica",AP236&lt;&gt;"")),"OK","Revisar"))</f>
        <v/>
      </c>
    </row>
    <row r="237" ht="15" customHeight="1" spans="1:46" x14ac:dyDescent="0.25">
      <c r="A237" s="15"/>
      <c r="B237" s="15"/>
      <c r="C237" s="15"/>
      <c r="D237" s="15"/>
      <c r="E237" s="15"/>
      <c r="F237" s="15"/>
      <c r="G237" s="15"/>
      <c r="H237" s="15"/>
      <c r="I237" s="15"/>
      <c r="J237" s="19">
        <f>IF(OR(H237="",I237=""),"",IFERROR(INDEX(Catalogo_Vehiculos!$C$2:$C$1325,MATCH(TRUE(),INDEX(Catalogo_Vehiculos!$G$2:$G$1325=H237&amp;"|"&amp;I237,0),0)),"No en catálogo"))</f>
      </c>
      <c r="K237" s="19">
        <f>IF(OR(H237="",I237=""),"",IFERROR(INDEX(Catalogo_Vehiculos!$D$2:$D$1325,MATCH(TRUE(),INDEX(Catalogo_Vehiculos!$G$2:$G$1325=H237&amp;"|"&amp;I237,0),0)),"No en catálogo"))</f>
      </c>
      <c r="L237" s="19">
        <f>IF(OR(H237="",I237=""),"",IFERROR(INDEX(Catalogo_Vehiculos!$E$2:$E$1325,MATCH(TRUE(),INDEX(Catalogo_Vehiculos!$G$2:$G$1325=H237&amp;"|"&amp;I237,0),0)),"No en catálogo"))</f>
      </c>
      <c r="M237" s="19">
        <f>IF(OR(H237="",I237=""),"",IFERROR(INDEX(Catalogo_Vehiculos!$F$2:$F$1325,MATCH(TRUE(),INDEX(Catalogo_Vehiculos!$G$2:$G$1325=H237&amp;"|"&amp;I237,0),0)),"No en catálogo"))</f>
      </c>
      <c r="N237" s="20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9"/>
      <c r="Z237" s="19"/>
      <c r="AA237" s="15"/>
      <c r="AB237" s="15"/>
      <c r="AC237" s="15"/>
      <c r="AD237" s="15"/>
      <c r="AE237" s="15"/>
      <c r="AF237" s="19"/>
      <c r="AG237" s="19"/>
      <c r="AH237" s="15"/>
      <c r="AI237" s="15"/>
      <c r="AJ237" s="15"/>
      <c r="AK237" s="15"/>
      <c r="AL237" s="21"/>
      <c r="AM237" s="15"/>
      <c r="AN237" s="15"/>
      <c r="AO237" s="15"/>
      <c r="AP237" s="15"/>
      <c r="AQ237" s="15"/>
      <c r="AR237" s="15"/>
      <c r="AS237" s="15"/>
      <c r="AT237" s="19" t="str">
        <f>IF(COUNTA(A237:I237)+COUNTA(N237:X237)+COUNTA(AA237:AE237)+COUNTA(AH237:AS237)=0,"",IF(AND(A237&lt;&gt;"",E237&lt;&gt;"",OR(F237&lt;&gt;"",G237&lt;&gt;""),H237&lt;&gt;"",I237&lt;&gt;"",J237&lt;&gt;"No en catálogo",S237&lt;&gt;"",T237&lt;&gt;"",U237&lt;&gt;"",V237&lt;&gt;"",OR(AR237&lt;&gt;"",AND(W237&lt;&gt;"",X237&lt;&gt;"",AA237&lt;&gt;"",AB237&lt;&gt;"")),OR(AS237&lt;&gt;"",AND(AD237&lt;&gt;"",AE237&lt;&gt;"",AH237&lt;&gt;"",AI237&lt;&gt;"")),AK237&lt;&gt;"",OR(AK237&lt;&gt;"programado",AL237&lt;&gt;""),OR(AM237&lt;&gt;"específica",AN237&lt;&gt;""),OR(AO237&lt;&gt;"específica",AP237&lt;&gt;"")),"OK","Revisar"))</f>
        <v/>
      </c>
    </row>
    <row r="238" ht="15" customHeight="1" spans="1:46" x14ac:dyDescent="0.25">
      <c r="A238" s="15"/>
      <c r="B238" s="15"/>
      <c r="C238" s="15"/>
      <c r="D238" s="15"/>
      <c r="E238" s="15"/>
      <c r="F238" s="15"/>
      <c r="G238" s="15"/>
      <c r="H238" s="15"/>
      <c r="I238" s="15"/>
      <c r="J238" s="19">
        <f>IF(OR(H238="",I238=""),"",IFERROR(INDEX(Catalogo_Vehiculos!$C$2:$C$1325,MATCH(TRUE(),INDEX(Catalogo_Vehiculos!$G$2:$G$1325=H238&amp;"|"&amp;I238,0),0)),"No en catálogo"))</f>
      </c>
      <c r="K238" s="19">
        <f>IF(OR(H238="",I238=""),"",IFERROR(INDEX(Catalogo_Vehiculos!$D$2:$D$1325,MATCH(TRUE(),INDEX(Catalogo_Vehiculos!$G$2:$G$1325=H238&amp;"|"&amp;I238,0),0)),"No en catálogo"))</f>
      </c>
      <c r="L238" s="19">
        <f>IF(OR(H238="",I238=""),"",IFERROR(INDEX(Catalogo_Vehiculos!$E$2:$E$1325,MATCH(TRUE(),INDEX(Catalogo_Vehiculos!$G$2:$G$1325=H238&amp;"|"&amp;I238,0),0)),"No en catálogo"))</f>
      </c>
      <c r="M238" s="19">
        <f>IF(OR(H238="",I238=""),"",IFERROR(INDEX(Catalogo_Vehiculos!$F$2:$F$1325,MATCH(TRUE(),INDEX(Catalogo_Vehiculos!$G$2:$G$1325=H238&amp;"|"&amp;I238,0),0)),"No en catálogo"))</f>
      </c>
      <c r="N238" s="20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9"/>
      <c r="Z238" s="19"/>
      <c r="AA238" s="15"/>
      <c r="AB238" s="15"/>
      <c r="AC238" s="15"/>
      <c r="AD238" s="15"/>
      <c r="AE238" s="15"/>
      <c r="AF238" s="19"/>
      <c r="AG238" s="19"/>
      <c r="AH238" s="15"/>
      <c r="AI238" s="15"/>
      <c r="AJ238" s="15"/>
      <c r="AK238" s="15"/>
      <c r="AL238" s="21"/>
      <c r="AM238" s="15"/>
      <c r="AN238" s="15"/>
      <c r="AO238" s="15"/>
      <c r="AP238" s="15"/>
      <c r="AQ238" s="15"/>
      <c r="AR238" s="15"/>
      <c r="AS238" s="15"/>
      <c r="AT238" s="19" t="str">
        <f>IF(COUNTA(A238:I238)+COUNTA(N238:X238)+COUNTA(AA238:AE238)+COUNTA(AH238:AS238)=0,"",IF(AND(A238&lt;&gt;"",E238&lt;&gt;"",OR(F238&lt;&gt;"",G238&lt;&gt;""),H238&lt;&gt;"",I238&lt;&gt;"",J238&lt;&gt;"No en catálogo",S238&lt;&gt;"",T238&lt;&gt;"",U238&lt;&gt;"",V238&lt;&gt;"",OR(AR238&lt;&gt;"",AND(W238&lt;&gt;"",X238&lt;&gt;"",AA238&lt;&gt;"",AB238&lt;&gt;"")),OR(AS238&lt;&gt;"",AND(AD238&lt;&gt;"",AE238&lt;&gt;"",AH238&lt;&gt;"",AI238&lt;&gt;"")),AK238&lt;&gt;"",OR(AK238&lt;&gt;"programado",AL238&lt;&gt;""),OR(AM238&lt;&gt;"específica",AN238&lt;&gt;""),OR(AO238&lt;&gt;"específica",AP238&lt;&gt;"")),"OK","Revisar"))</f>
        <v/>
      </c>
    </row>
    <row r="239" ht="15" customHeight="1" spans="1:46" x14ac:dyDescent="0.25">
      <c r="A239" s="15"/>
      <c r="B239" s="15"/>
      <c r="C239" s="15"/>
      <c r="D239" s="15"/>
      <c r="E239" s="15"/>
      <c r="F239" s="15"/>
      <c r="G239" s="15"/>
      <c r="H239" s="15"/>
      <c r="I239" s="15"/>
      <c r="J239" s="19">
        <f>IF(OR(H239="",I239=""),"",IFERROR(INDEX(Catalogo_Vehiculos!$C$2:$C$1325,MATCH(TRUE(),INDEX(Catalogo_Vehiculos!$G$2:$G$1325=H239&amp;"|"&amp;I239,0),0)),"No en catálogo"))</f>
      </c>
      <c r="K239" s="19">
        <f>IF(OR(H239="",I239=""),"",IFERROR(INDEX(Catalogo_Vehiculos!$D$2:$D$1325,MATCH(TRUE(),INDEX(Catalogo_Vehiculos!$G$2:$G$1325=H239&amp;"|"&amp;I239,0),0)),"No en catálogo"))</f>
      </c>
      <c r="L239" s="19">
        <f>IF(OR(H239="",I239=""),"",IFERROR(INDEX(Catalogo_Vehiculos!$E$2:$E$1325,MATCH(TRUE(),INDEX(Catalogo_Vehiculos!$G$2:$G$1325=H239&amp;"|"&amp;I239,0),0)),"No en catálogo"))</f>
      </c>
      <c r="M239" s="19">
        <f>IF(OR(H239="",I239=""),"",IFERROR(INDEX(Catalogo_Vehiculos!$F$2:$F$1325,MATCH(TRUE(),INDEX(Catalogo_Vehiculos!$G$2:$G$1325=H239&amp;"|"&amp;I239,0),0)),"No en catálogo"))</f>
      </c>
      <c r="N239" s="20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9"/>
      <c r="Z239" s="19"/>
      <c r="AA239" s="15"/>
      <c r="AB239" s="15"/>
      <c r="AC239" s="15"/>
      <c r="AD239" s="15"/>
      <c r="AE239" s="15"/>
      <c r="AF239" s="19"/>
      <c r="AG239" s="19"/>
      <c r="AH239" s="15"/>
      <c r="AI239" s="15"/>
      <c r="AJ239" s="15"/>
      <c r="AK239" s="15"/>
      <c r="AL239" s="21"/>
      <c r="AM239" s="15"/>
      <c r="AN239" s="15"/>
      <c r="AO239" s="15"/>
      <c r="AP239" s="15"/>
      <c r="AQ239" s="15"/>
      <c r="AR239" s="15"/>
      <c r="AS239" s="15"/>
      <c r="AT239" s="19" t="str">
        <f>IF(COUNTA(A239:I239)+COUNTA(N239:X239)+COUNTA(AA239:AE239)+COUNTA(AH239:AS239)=0,"",IF(AND(A239&lt;&gt;"",E239&lt;&gt;"",OR(F239&lt;&gt;"",G239&lt;&gt;""),H239&lt;&gt;"",I239&lt;&gt;"",J239&lt;&gt;"No en catálogo",S239&lt;&gt;"",T239&lt;&gt;"",U239&lt;&gt;"",V239&lt;&gt;"",OR(AR239&lt;&gt;"",AND(W239&lt;&gt;"",X239&lt;&gt;"",AA239&lt;&gt;"",AB239&lt;&gt;"")),OR(AS239&lt;&gt;"",AND(AD239&lt;&gt;"",AE239&lt;&gt;"",AH239&lt;&gt;"",AI239&lt;&gt;"")),AK239&lt;&gt;"",OR(AK239&lt;&gt;"programado",AL239&lt;&gt;""),OR(AM239&lt;&gt;"específica",AN239&lt;&gt;""),OR(AO239&lt;&gt;"específica",AP239&lt;&gt;"")),"OK","Revisar"))</f>
        <v/>
      </c>
    </row>
    <row r="240" ht="15" customHeight="1" spans="1:46" x14ac:dyDescent="0.25">
      <c r="A240" s="15"/>
      <c r="B240" s="15"/>
      <c r="C240" s="15"/>
      <c r="D240" s="15"/>
      <c r="E240" s="15"/>
      <c r="F240" s="15"/>
      <c r="G240" s="15"/>
      <c r="H240" s="15"/>
      <c r="I240" s="15"/>
      <c r="J240" s="19">
        <f>IF(OR(H240="",I240=""),"",IFERROR(INDEX(Catalogo_Vehiculos!$C$2:$C$1325,MATCH(TRUE(),INDEX(Catalogo_Vehiculos!$G$2:$G$1325=H240&amp;"|"&amp;I240,0),0)),"No en catálogo"))</f>
      </c>
      <c r="K240" s="19">
        <f>IF(OR(H240="",I240=""),"",IFERROR(INDEX(Catalogo_Vehiculos!$D$2:$D$1325,MATCH(TRUE(),INDEX(Catalogo_Vehiculos!$G$2:$G$1325=H240&amp;"|"&amp;I240,0),0)),"No en catálogo"))</f>
      </c>
      <c r="L240" s="19">
        <f>IF(OR(H240="",I240=""),"",IFERROR(INDEX(Catalogo_Vehiculos!$E$2:$E$1325,MATCH(TRUE(),INDEX(Catalogo_Vehiculos!$G$2:$G$1325=H240&amp;"|"&amp;I240,0),0)),"No en catálogo"))</f>
      </c>
      <c r="M240" s="19">
        <f>IF(OR(H240="",I240=""),"",IFERROR(INDEX(Catalogo_Vehiculos!$F$2:$F$1325,MATCH(TRUE(),INDEX(Catalogo_Vehiculos!$G$2:$G$1325=H240&amp;"|"&amp;I240,0),0)),"No en catálogo"))</f>
      </c>
      <c r="N240" s="20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9"/>
      <c r="Z240" s="19"/>
      <c r="AA240" s="15"/>
      <c r="AB240" s="15"/>
      <c r="AC240" s="15"/>
      <c r="AD240" s="15"/>
      <c r="AE240" s="15"/>
      <c r="AF240" s="19"/>
      <c r="AG240" s="19"/>
      <c r="AH240" s="15"/>
      <c r="AI240" s="15"/>
      <c r="AJ240" s="15"/>
      <c r="AK240" s="15"/>
      <c r="AL240" s="21"/>
      <c r="AM240" s="15"/>
      <c r="AN240" s="15"/>
      <c r="AO240" s="15"/>
      <c r="AP240" s="15"/>
      <c r="AQ240" s="15"/>
      <c r="AR240" s="15"/>
      <c r="AS240" s="15"/>
      <c r="AT240" s="19" t="str">
        <f>IF(COUNTA(A240:I240)+COUNTA(N240:X240)+COUNTA(AA240:AE240)+COUNTA(AH240:AS240)=0,"",IF(AND(A240&lt;&gt;"",E240&lt;&gt;"",OR(F240&lt;&gt;"",G240&lt;&gt;""),H240&lt;&gt;"",I240&lt;&gt;"",J240&lt;&gt;"No en catálogo",S240&lt;&gt;"",T240&lt;&gt;"",U240&lt;&gt;"",V240&lt;&gt;"",OR(AR240&lt;&gt;"",AND(W240&lt;&gt;"",X240&lt;&gt;"",AA240&lt;&gt;"",AB240&lt;&gt;"")),OR(AS240&lt;&gt;"",AND(AD240&lt;&gt;"",AE240&lt;&gt;"",AH240&lt;&gt;"",AI240&lt;&gt;"")),AK240&lt;&gt;"",OR(AK240&lt;&gt;"programado",AL240&lt;&gt;""),OR(AM240&lt;&gt;"específica",AN240&lt;&gt;""),OR(AO240&lt;&gt;"específica",AP240&lt;&gt;"")),"OK","Revisar"))</f>
        <v/>
      </c>
    </row>
    <row r="241" ht="15" customHeight="1" spans="1:46" x14ac:dyDescent="0.25">
      <c r="A241" s="15"/>
      <c r="B241" s="15"/>
      <c r="C241" s="15"/>
      <c r="D241" s="15"/>
      <c r="E241" s="15"/>
      <c r="F241" s="15"/>
      <c r="G241" s="15"/>
      <c r="H241" s="15"/>
      <c r="I241" s="15"/>
      <c r="J241" s="19">
        <f>IF(OR(H241="",I241=""),"",IFERROR(INDEX(Catalogo_Vehiculos!$C$2:$C$1325,MATCH(TRUE(),INDEX(Catalogo_Vehiculos!$G$2:$G$1325=H241&amp;"|"&amp;I241,0),0)),"No en catálogo"))</f>
      </c>
      <c r="K241" s="19">
        <f>IF(OR(H241="",I241=""),"",IFERROR(INDEX(Catalogo_Vehiculos!$D$2:$D$1325,MATCH(TRUE(),INDEX(Catalogo_Vehiculos!$G$2:$G$1325=H241&amp;"|"&amp;I241,0),0)),"No en catálogo"))</f>
      </c>
      <c r="L241" s="19">
        <f>IF(OR(H241="",I241=""),"",IFERROR(INDEX(Catalogo_Vehiculos!$E$2:$E$1325,MATCH(TRUE(),INDEX(Catalogo_Vehiculos!$G$2:$G$1325=H241&amp;"|"&amp;I241,0),0)),"No en catálogo"))</f>
      </c>
      <c r="M241" s="19">
        <f>IF(OR(H241="",I241=""),"",IFERROR(INDEX(Catalogo_Vehiculos!$F$2:$F$1325,MATCH(TRUE(),INDEX(Catalogo_Vehiculos!$G$2:$G$1325=H241&amp;"|"&amp;I241,0),0)),"No en catálogo"))</f>
      </c>
      <c r="N241" s="20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9"/>
      <c r="Z241" s="19"/>
      <c r="AA241" s="15"/>
      <c r="AB241" s="15"/>
      <c r="AC241" s="15"/>
      <c r="AD241" s="15"/>
      <c r="AE241" s="15"/>
      <c r="AF241" s="19"/>
      <c r="AG241" s="19"/>
      <c r="AH241" s="15"/>
      <c r="AI241" s="15"/>
      <c r="AJ241" s="15"/>
      <c r="AK241" s="15"/>
      <c r="AL241" s="21"/>
      <c r="AM241" s="15"/>
      <c r="AN241" s="15"/>
      <c r="AO241" s="15"/>
      <c r="AP241" s="15"/>
      <c r="AQ241" s="15"/>
      <c r="AR241" s="15"/>
      <c r="AS241" s="15"/>
      <c r="AT241" s="19" t="str">
        <f>IF(COUNTA(A241:I241)+COUNTA(N241:X241)+COUNTA(AA241:AE241)+COUNTA(AH241:AS241)=0,"",IF(AND(A241&lt;&gt;"",E241&lt;&gt;"",OR(F241&lt;&gt;"",G241&lt;&gt;""),H241&lt;&gt;"",I241&lt;&gt;"",J241&lt;&gt;"No en catálogo",S241&lt;&gt;"",T241&lt;&gt;"",U241&lt;&gt;"",V241&lt;&gt;"",OR(AR241&lt;&gt;"",AND(W241&lt;&gt;"",X241&lt;&gt;"",AA241&lt;&gt;"",AB241&lt;&gt;"")),OR(AS241&lt;&gt;"",AND(AD241&lt;&gt;"",AE241&lt;&gt;"",AH241&lt;&gt;"",AI241&lt;&gt;"")),AK241&lt;&gt;"",OR(AK241&lt;&gt;"programado",AL241&lt;&gt;""),OR(AM241&lt;&gt;"específica",AN241&lt;&gt;""),OR(AO241&lt;&gt;"específica",AP241&lt;&gt;"")),"OK","Revisar"))</f>
        <v/>
      </c>
    </row>
    <row r="242" ht="15" customHeight="1" spans="1:46" x14ac:dyDescent="0.25">
      <c r="A242" s="15"/>
      <c r="B242" s="15"/>
      <c r="C242" s="15"/>
      <c r="D242" s="15"/>
      <c r="E242" s="15"/>
      <c r="F242" s="15"/>
      <c r="G242" s="15"/>
      <c r="H242" s="15"/>
      <c r="I242" s="15"/>
      <c r="J242" s="19">
        <f>IF(OR(H242="",I242=""),"",IFERROR(INDEX(Catalogo_Vehiculos!$C$2:$C$1325,MATCH(TRUE(),INDEX(Catalogo_Vehiculos!$G$2:$G$1325=H242&amp;"|"&amp;I242,0),0)),"No en catálogo"))</f>
      </c>
      <c r="K242" s="19">
        <f>IF(OR(H242="",I242=""),"",IFERROR(INDEX(Catalogo_Vehiculos!$D$2:$D$1325,MATCH(TRUE(),INDEX(Catalogo_Vehiculos!$G$2:$G$1325=H242&amp;"|"&amp;I242,0),0)),"No en catálogo"))</f>
      </c>
      <c r="L242" s="19">
        <f>IF(OR(H242="",I242=""),"",IFERROR(INDEX(Catalogo_Vehiculos!$E$2:$E$1325,MATCH(TRUE(),INDEX(Catalogo_Vehiculos!$G$2:$G$1325=H242&amp;"|"&amp;I242,0),0)),"No en catálogo"))</f>
      </c>
      <c r="M242" s="19">
        <f>IF(OR(H242="",I242=""),"",IFERROR(INDEX(Catalogo_Vehiculos!$F$2:$F$1325,MATCH(TRUE(),INDEX(Catalogo_Vehiculos!$G$2:$G$1325=H242&amp;"|"&amp;I242,0),0)),"No en catálogo"))</f>
      </c>
      <c r="N242" s="20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9"/>
      <c r="Z242" s="19"/>
      <c r="AA242" s="15"/>
      <c r="AB242" s="15"/>
      <c r="AC242" s="15"/>
      <c r="AD242" s="15"/>
      <c r="AE242" s="15"/>
      <c r="AF242" s="19"/>
      <c r="AG242" s="19"/>
      <c r="AH242" s="15"/>
      <c r="AI242" s="15"/>
      <c r="AJ242" s="15"/>
      <c r="AK242" s="15"/>
      <c r="AL242" s="21"/>
      <c r="AM242" s="15"/>
      <c r="AN242" s="15"/>
      <c r="AO242" s="15"/>
      <c r="AP242" s="15"/>
      <c r="AQ242" s="15"/>
      <c r="AR242" s="15"/>
      <c r="AS242" s="15"/>
      <c r="AT242" s="19" t="str">
        <f>IF(COUNTA(A242:I242)+COUNTA(N242:X242)+COUNTA(AA242:AE242)+COUNTA(AH242:AS242)=0,"",IF(AND(A242&lt;&gt;"",E242&lt;&gt;"",OR(F242&lt;&gt;"",G242&lt;&gt;""),H242&lt;&gt;"",I242&lt;&gt;"",J242&lt;&gt;"No en catálogo",S242&lt;&gt;"",T242&lt;&gt;"",U242&lt;&gt;"",V242&lt;&gt;"",OR(AR242&lt;&gt;"",AND(W242&lt;&gt;"",X242&lt;&gt;"",AA242&lt;&gt;"",AB242&lt;&gt;"")),OR(AS242&lt;&gt;"",AND(AD242&lt;&gt;"",AE242&lt;&gt;"",AH242&lt;&gt;"",AI242&lt;&gt;"")),AK242&lt;&gt;"",OR(AK242&lt;&gt;"programado",AL242&lt;&gt;""),OR(AM242&lt;&gt;"específica",AN242&lt;&gt;""),OR(AO242&lt;&gt;"específica",AP242&lt;&gt;"")),"OK","Revisar"))</f>
        <v/>
      </c>
    </row>
    <row r="243" ht="15" customHeight="1" spans="1:46" x14ac:dyDescent="0.25">
      <c r="A243" s="15"/>
      <c r="B243" s="15"/>
      <c r="C243" s="15"/>
      <c r="D243" s="15"/>
      <c r="E243" s="15"/>
      <c r="F243" s="15"/>
      <c r="G243" s="15"/>
      <c r="H243" s="15"/>
      <c r="I243" s="15"/>
      <c r="J243" s="19">
        <f>IF(OR(H243="",I243=""),"",IFERROR(INDEX(Catalogo_Vehiculos!$C$2:$C$1325,MATCH(TRUE(),INDEX(Catalogo_Vehiculos!$G$2:$G$1325=H243&amp;"|"&amp;I243,0),0)),"No en catálogo"))</f>
      </c>
      <c r="K243" s="19">
        <f>IF(OR(H243="",I243=""),"",IFERROR(INDEX(Catalogo_Vehiculos!$D$2:$D$1325,MATCH(TRUE(),INDEX(Catalogo_Vehiculos!$G$2:$G$1325=H243&amp;"|"&amp;I243,0),0)),"No en catálogo"))</f>
      </c>
      <c r="L243" s="19">
        <f>IF(OR(H243="",I243=""),"",IFERROR(INDEX(Catalogo_Vehiculos!$E$2:$E$1325,MATCH(TRUE(),INDEX(Catalogo_Vehiculos!$G$2:$G$1325=H243&amp;"|"&amp;I243,0),0)),"No en catálogo"))</f>
      </c>
      <c r="M243" s="19">
        <f>IF(OR(H243="",I243=""),"",IFERROR(INDEX(Catalogo_Vehiculos!$F$2:$F$1325,MATCH(TRUE(),INDEX(Catalogo_Vehiculos!$G$2:$G$1325=H243&amp;"|"&amp;I243,0),0)),"No en catálogo"))</f>
      </c>
      <c r="N243" s="20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9"/>
      <c r="Z243" s="19"/>
      <c r="AA243" s="15"/>
      <c r="AB243" s="15"/>
      <c r="AC243" s="15"/>
      <c r="AD243" s="15"/>
      <c r="AE243" s="15"/>
      <c r="AF243" s="19"/>
      <c r="AG243" s="19"/>
      <c r="AH243" s="15"/>
      <c r="AI243" s="15"/>
      <c r="AJ243" s="15"/>
      <c r="AK243" s="15"/>
      <c r="AL243" s="21"/>
      <c r="AM243" s="15"/>
      <c r="AN243" s="15"/>
      <c r="AO243" s="15"/>
      <c r="AP243" s="15"/>
      <c r="AQ243" s="15"/>
      <c r="AR243" s="15"/>
      <c r="AS243" s="15"/>
      <c r="AT243" s="19" t="str">
        <f>IF(COUNTA(A243:I243)+COUNTA(N243:X243)+COUNTA(AA243:AE243)+COUNTA(AH243:AS243)=0,"",IF(AND(A243&lt;&gt;"",E243&lt;&gt;"",OR(F243&lt;&gt;"",G243&lt;&gt;""),H243&lt;&gt;"",I243&lt;&gt;"",J243&lt;&gt;"No en catálogo",S243&lt;&gt;"",T243&lt;&gt;"",U243&lt;&gt;"",V243&lt;&gt;"",OR(AR243&lt;&gt;"",AND(W243&lt;&gt;"",X243&lt;&gt;"",AA243&lt;&gt;"",AB243&lt;&gt;"")),OR(AS243&lt;&gt;"",AND(AD243&lt;&gt;"",AE243&lt;&gt;"",AH243&lt;&gt;"",AI243&lt;&gt;"")),AK243&lt;&gt;"",OR(AK243&lt;&gt;"programado",AL243&lt;&gt;""),OR(AM243&lt;&gt;"específica",AN243&lt;&gt;""),OR(AO243&lt;&gt;"específica",AP243&lt;&gt;"")),"OK","Revisar"))</f>
        <v/>
      </c>
    </row>
    <row r="244" ht="15" customHeight="1" spans="1:46" x14ac:dyDescent="0.25">
      <c r="A244" s="15"/>
      <c r="B244" s="15"/>
      <c r="C244" s="15"/>
      <c r="D244" s="15"/>
      <c r="E244" s="15"/>
      <c r="F244" s="15"/>
      <c r="G244" s="15"/>
      <c r="H244" s="15"/>
      <c r="I244" s="15"/>
      <c r="J244" s="19">
        <f>IF(OR(H244="",I244=""),"",IFERROR(INDEX(Catalogo_Vehiculos!$C$2:$C$1325,MATCH(TRUE(),INDEX(Catalogo_Vehiculos!$G$2:$G$1325=H244&amp;"|"&amp;I244,0),0)),"No en catálogo"))</f>
      </c>
      <c r="K244" s="19">
        <f>IF(OR(H244="",I244=""),"",IFERROR(INDEX(Catalogo_Vehiculos!$D$2:$D$1325,MATCH(TRUE(),INDEX(Catalogo_Vehiculos!$G$2:$G$1325=H244&amp;"|"&amp;I244,0),0)),"No en catálogo"))</f>
      </c>
      <c r="L244" s="19">
        <f>IF(OR(H244="",I244=""),"",IFERROR(INDEX(Catalogo_Vehiculos!$E$2:$E$1325,MATCH(TRUE(),INDEX(Catalogo_Vehiculos!$G$2:$G$1325=H244&amp;"|"&amp;I244,0),0)),"No en catálogo"))</f>
      </c>
      <c r="M244" s="19">
        <f>IF(OR(H244="",I244=""),"",IFERROR(INDEX(Catalogo_Vehiculos!$F$2:$F$1325,MATCH(TRUE(),INDEX(Catalogo_Vehiculos!$G$2:$G$1325=H244&amp;"|"&amp;I244,0),0)),"No en catálogo"))</f>
      </c>
      <c r="N244" s="20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9"/>
      <c r="Z244" s="19"/>
      <c r="AA244" s="15"/>
      <c r="AB244" s="15"/>
      <c r="AC244" s="15"/>
      <c r="AD244" s="15"/>
      <c r="AE244" s="15"/>
      <c r="AF244" s="19"/>
      <c r="AG244" s="19"/>
      <c r="AH244" s="15"/>
      <c r="AI244" s="15"/>
      <c r="AJ244" s="15"/>
      <c r="AK244" s="15"/>
      <c r="AL244" s="21"/>
      <c r="AM244" s="15"/>
      <c r="AN244" s="15"/>
      <c r="AO244" s="15"/>
      <c r="AP244" s="15"/>
      <c r="AQ244" s="15"/>
      <c r="AR244" s="15"/>
      <c r="AS244" s="15"/>
      <c r="AT244" s="19" t="str">
        <f>IF(COUNTA(A244:I244)+COUNTA(N244:X244)+COUNTA(AA244:AE244)+COUNTA(AH244:AS244)=0,"",IF(AND(A244&lt;&gt;"",E244&lt;&gt;"",OR(F244&lt;&gt;"",G244&lt;&gt;""),H244&lt;&gt;"",I244&lt;&gt;"",J244&lt;&gt;"No en catálogo",S244&lt;&gt;"",T244&lt;&gt;"",U244&lt;&gt;"",V244&lt;&gt;"",OR(AR244&lt;&gt;"",AND(W244&lt;&gt;"",X244&lt;&gt;"",AA244&lt;&gt;"",AB244&lt;&gt;"")),OR(AS244&lt;&gt;"",AND(AD244&lt;&gt;"",AE244&lt;&gt;"",AH244&lt;&gt;"",AI244&lt;&gt;"")),AK244&lt;&gt;"",OR(AK244&lt;&gt;"programado",AL244&lt;&gt;""),OR(AM244&lt;&gt;"específica",AN244&lt;&gt;""),OR(AO244&lt;&gt;"específica",AP244&lt;&gt;"")),"OK","Revisar"))</f>
        <v/>
      </c>
    </row>
    <row r="245" ht="15" customHeight="1" spans="1:46" x14ac:dyDescent="0.25">
      <c r="A245" s="15"/>
      <c r="B245" s="15"/>
      <c r="C245" s="15"/>
      <c r="D245" s="15"/>
      <c r="E245" s="15"/>
      <c r="F245" s="15"/>
      <c r="G245" s="15"/>
      <c r="H245" s="15"/>
      <c r="I245" s="15"/>
      <c r="J245" s="19">
        <f>IF(OR(H245="",I245=""),"",IFERROR(INDEX(Catalogo_Vehiculos!$C$2:$C$1325,MATCH(TRUE(),INDEX(Catalogo_Vehiculos!$G$2:$G$1325=H245&amp;"|"&amp;I245,0),0)),"No en catálogo"))</f>
      </c>
      <c r="K245" s="19">
        <f>IF(OR(H245="",I245=""),"",IFERROR(INDEX(Catalogo_Vehiculos!$D$2:$D$1325,MATCH(TRUE(),INDEX(Catalogo_Vehiculos!$G$2:$G$1325=H245&amp;"|"&amp;I245,0),0)),"No en catálogo"))</f>
      </c>
      <c r="L245" s="19">
        <f>IF(OR(H245="",I245=""),"",IFERROR(INDEX(Catalogo_Vehiculos!$E$2:$E$1325,MATCH(TRUE(),INDEX(Catalogo_Vehiculos!$G$2:$G$1325=H245&amp;"|"&amp;I245,0),0)),"No en catálogo"))</f>
      </c>
      <c r="M245" s="19">
        <f>IF(OR(H245="",I245=""),"",IFERROR(INDEX(Catalogo_Vehiculos!$F$2:$F$1325,MATCH(TRUE(),INDEX(Catalogo_Vehiculos!$G$2:$G$1325=H245&amp;"|"&amp;I245,0),0)),"No en catálogo"))</f>
      </c>
      <c r="N245" s="20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9"/>
      <c r="Z245" s="19"/>
      <c r="AA245" s="15"/>
      <c r="AB245" s="15"/>
      <c r="AC245" s="15"/>
      <c r="AD245" s="15"/>
      <c r="AE245" s="15"/>
      <c r="AF245" s="19"/>
      <c r="AG245" s="19"/>
      <c r="AH245" s="15"/>
      <c r="AI245" s="15"/>
      <c r="AJ245" s="15"/>
      <c r="AK245" s="15"/>
      <c r="AL245" s="21"/>
      <c r="AM245" s="15"/>
      <c r="AN245" s="15"/>
      <c r="AO245" s="15"/>
      <c r="AP245" s="15"/>
      <c r="AQ245" s="15"/>
      <c r="AR245" s="15"/>
      <c r="AS245" s="15"/>
      <c r="AT245" s="19" t="str">
        <f>IF(COUNTA(A245:I245)+COUNTA(N245:X245)+COUNTA(AA245:AE245)+COUNTA(AH245:AS245)=0,"",IF(AND(A245&lt;&gt;"",E245&lt;&gt;"",OR(F245&lt;&gt;"",G245&lt;&gt;""),H245&lt;&gt;"",I245&lt;&gt;"",J245&lt;&gt;"No en catálogo",S245&lt;&gt;"",T245&lt;&gt;"",U245&lt;&gt;"",V245&lt;&gt;"",OR(AR245&lt;&gt;"",AND(W245&lt;&gt;"",X245&lt;&gt;"",AA245&lt;&gt;"",AB245&lt;&gt;"")),OR(AS245&lt;&gt;"",AND(AD245&lt;&gt;"",AE245&lt;&gt;"",AH245&lt;&gt;"",AI245&lt;&gt;"")),AK245&lt;&gt;"",OR(AK245&lt;&gt;"programado",AL245&lt;&gt;""),OR(AM245&lt;&gt;"específica",AN245&lt;&gt;""),OR(AO245&lt;&gt;"específica",AP245&lt;&gt;"")),"OK","Revisar"))</f>
        <v/>
      </c>
    </row>
    <row r="246" ht="15" customHeight="1" spans="1:46" x14ac:dyDescent="0.25">
      <c r="A246" s="15"/>
      <c r="B246" s="15"/>
      <c r="C246" s="15"/>
      <c r="D246" s="15"/>
      <c r="E246" s="15"/>
      <c r="F246" s="15"/>
      <c r="G246" s="15"/>
      <c r="H246" s="15"/>
      <c r="I246" s="15"/>
      <c r="J246" s="19">
        <f>IF(OR(H246="",I246=""),"",IFERROR(INDEX(Catalogo_Vehiculos!$C$2:$C$1325,MATCH(TRUE(),INDEX(Catalogo_Vehiculos!$G$2:$G$1325=H246&amp;"|"&amp;I246,0),0)),"No en catálogo"))</f>
      </c>
      <c r="K246" s="19">
        <f>IF(OR(H246="",I246=""),"",IFERROR(INDEX(Catalogo_Vehiculos!$D$2:$D$1325,MATCH(TRUE(),INDEX(Catalogo_Vehiculos!$G$2:$G$1325=H246&amp;"|"&amp;I246,0),0)),"No en catálogo"))</f>
      </c>
      <c r="L246" s="19">
        <f>IF(OR(H246="",I246=""),"",IFERROR(INDEX(Catalogo_Vehiculos!$E$2:$E$1325,MATCH(TRUE(),INDEX(Catalogo_Vehiculos!$G$2:$G$1325=H246&amp;"|"&amp;I246,0),0)),"No en catálogo"))</f>
      </c>
      <c r="M246" s="19">
        <f>IF(OR(H246="",I246=""),"",IFERROR(INDEX(Catalogo_Vehiculos!$F$2:$F$1325,MATCH(TRUE(),INDEX(Catalogo_Vehiculos!$G$2:$G$1325=H246&amp;"|"&amp;I246,0),0)),"No en catálogo"))</f>
      </c>
      <c r="N246" s="20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9"/>
      <c r="Z246" s="19"/>
      <c r="AA246" s="15"/>
      <c r="AB246" s="15"/>
      <c r="AC246" s="15"/>
      <c r="AD246" s="15"/>
      <c r="AE246" s="15"/>
      <c r="AF246" s="19"/>
      <c r="AG246" s="19"/>
      <c r="AH246" s="15"/>
      <c r="AI246" s="15"/>
      <c r="AJ246" s="15"/>
      <c r="AK246" s="15"/>
      <c r="AL246" s="21"/>
      <c r="AM246" s="15"/>
      <c r="AN246" s="15"/>
      <c r="AO246" s="15"/>
      <c r="AP246" s="15"/>
      <c r="AQ246" s="15"/>
      <c r="AR246" s="15"/>
      <c r="AS246" s="15"/>
      <c r="AT246" s="19" t="str">
        <f>IF(COUNTA(A246:I246)+COUNTA(N246:X246)+COUNTA(AA246:AE246)+COUNTA(AH246:AS246)=0,"",IF(AND(A246&lt;&gt;"",E246&lt;&gt;"",OR(F246&lt;&gt;"",G246&lt;&gt;""),H246&lt;&gt;"",I246&lt;&gt;"",J246&lt;&gt;"No en catálogo",S246&lt;&gt;"",T246&lt;&gt;"",U246&lt;&gt;"",V246&lt;&gt;"",OR(AR246&lt;&gt;"",AND(W246&lt;&gt;"",X246&lt;&gt;"",AA246&lt;&gt;"",AB246&lt;&gt;"")),OR(AS246&lt;&gt;"",AND(AD246&lt;&gt;"",AE246&lt;&gt;"",AH246&lt;&gt;"",AI246&lt;&gt;"")),AK246&lt;&gt;"",OR(AK246&lt;&gt;"programado",AL246&lt;&gt;""),OR(AM246&lt;&gt;"específica",AN246&lt;&gt;""),OR(AO246&lt;&gt;"específica",AP246&lt;&gt;"")),"OK","Revisar"))</f>
        <v/>
      </c>
    </row>
    <row r="247" ht="15" customHeight="1" spans="1:46" x14ac:dyDescent="0.25">
      <c r="A247" s="15"/>
      <c r="B247" s="15"/>
      <c r="C247" s="15"/>
      <c r="D247" s="15"/>
      <c r="E247" s="15"/>
      <c r="F247" s="15"/>
      <c r="G247" s="15"/>
      <c r="H247" s="15"/>
      <c r="I247" s="15"/>
      <c r="J247" s="19">
        <f>IF(OR(H247="",I247=""),"",IFERROR(INDEX(Catalogo_Vehiculos!$C$2:$C$1325,MATCH(TRUE(),INDEX(Catalogo_Vehiculos!$G$2:$G$1325=H247&amp;"|"&amp;I247,0),0)),"No en catálogo"))</f>
      </c>
      <c r="K247" s="19">
        <f>IF(OR(H247="",I247=""),"",IFERROR(INDEX(Catalogo_Vehiculos!$D$2:$D$1325,MATCH(TRUE(),INDEX(Catalogo_Vehiculos!$G$2:$G$1325=H247&amp;"|"&amp;I247,0),0)),"No en catálogo"))</f>
      </c>
      <c r="L247" s="19">
        <f>IF(OR(H247="",I247=""),"",IFERROR(INDEX(Catalogo_Vehiculos!$E$2:$E$1325,MATCH(TRUE(),INDEX(Catalogo_Vehiculos!$G$2:$G$1325=H247&amp;"|"&amp;I247,0),0)),"No en catálogo"))</f>
      </c>
      <c r="M247" s="19">
        <f>IF(OR(H247="",I247=""),"",IFERROR(INDEX(Catalogo_Vehiculos!$F$2:$F$1325,MATCH(TRUE(),INDEX(Catalogo_Vehiculos!$G$2:$G$1325=H247&amp;"|"&amp;I247,0),0)),"No en catálogo"))</f>
      </c>
      <c r="N247" s="20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9"/>
      <c r="Z247" s="19"/>
      <c r="AA247" s="15"/>
      <c r="AB247" s="15"/>
      <c r="AC247" s="15"/>
      <c r="AD247" s="15"/>
      <c r="AE247" s="15"/>
      <c r="AF247" s="19"/>
      <c r="AG247" s="19"/>
      <c r="AH247" s="15"/>
      <c r="AI247" s="15"/>
      <c r="AJ247" s="15"/>
      <c r="AK247" s="15"/>
      <c r="AL247" s="21"/>
      <c r="AM247" s="15"/>
      <c r="AN247" s="15"/>
      <c r="AO247" s="15"/>
      <c r="AP247" s="15"/>
      <c r="AQ247" s="15"/>
      <c r="AR247" s="15"/>
      <c r="AS247" s="15"/>
      <c r="AT247" s="19" t="str">
        <f>IF(COUNTA(A247:I247)+COUNTA(N247:X247)+COUNTA(AA247:AE247)+COUNTA(AH247:AS247)=0,"",IF(AND(A247&lt;&gt;"",E247&lt;&gt;"",OR(F247&lt;&gt;"",G247&lt;&gt;""),H247&lt;&gt;"",I247&lt;&gt;"",J247&lt;&gt;"No en catálogo",S247&lt;&gt;"",T247&lt;&gt;"",U247&lt;&gt;"",V247&lt;&gt;"",OR(AR247&lt;&gt;"",AND(W247&lt;&gt;"",X247&lt;&gt;"",AA247&lt;&gt;"",AB247&lt;&gt;"")),OR(AS247&lt;&gt;"",AND(AD247&lt;&gt;"",AE247&lt;&gt;"",AH247&lt;&gt;"",AI247&lt;&gt;"")),AK247&lt;&gt;"",OR(AK247&lt;&gt;"programado",AL247&lt;&gt;""),OR(AM247&lt;&gt;"específica",AN247&lt;&gt;""),OR(AO247&lt;&gt;"específica",AP247&lt;&gt;"")),"OK","Revisar"))</f>
        <v/>
      </c>
    </row>
    <row r="248" ht="15" customHeight="1" spans="1:46" x14ac:dyDescent="0.25">
      <c r="A248" s="15"/>
      <c r="B248" s="15"/>
      <c r="C248" s="15"/>
      <c r="D248" s="15"/>
      <c r="E248" s="15"/>
      <c r="F248" s="15"/>
      <c r="G248" s="15"/>
      <c r="H248" s="15"/>
      <c r="I248" s="15"/>
      <c r="J248" s="19">
        <f>IF(OR(H248="",I248=""),"",IFERROR(INDEX(Catalogo_Vehiculos!$C$2:$C$1325,MATCH(TRUE(),INDEX(Catalogo_Vehiculos!$G$2:$G$1325=H248&amp;"|"&amp;I248,0),0)),"No en catálogo"))</f>
      </c>
      <c r="K248" s="19">
        <f>IF(OR(H248="",I248=""),"",IFERROR(INDEX(Catalogo_Vehiculos!$D$2:$D$1325,MATCH(TRUE(),INDEX(Catalogo_Vehiculos!$G$2:$G$1325=H248&amp;"|"&amp;I248,0),0)),"No en catálogo"))</f>
      </c>
      <c r="L248" s="19">
        <f>IF(OR(H248="",I248=""),"",IFERROR(INDEX(Catalogo_Vehiculos!$E$2:$E$1325,MATCH(TRUE(),INDEX(Catalogo_Vehiculos!$G$2:$G$1325=H248&amp;"|"&amp;I248,0),0)),"No en catálogo"))</f>
      </c>
      <c r="M248" s="19">
        <f>IF(OR(H248="",I248=""),"",IFERROR(INDEX(Catalogo_Vehiculos!$F$2:$F$1325,MATCH(TRUE(),INDEX(Catalogo_Vehiculos!$G$2:$G$1325=H248&amp;"|"&amp;I248,0),0)),"No en catálogo"))</f>
      </c>
      <c r="N248" s="20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9"/>
      <c r="Z248" s="19"/>
      <c r="AA248" s="15"/>
      <c r="AB248" s="15"/>
      <c r="AC248" s="15"/>
      <c r="AD248" s="15"/>
      <c r="AE248" s="15"/>
      <c r="AF248" s="19"/>
      <c r="AG248" s="19"/>
      <c r="AH248" s="15"/>
      <c r="AI248" s="15"/>
      <c r="AJ248" s="15"/>
      <c r="AK248" s="15"/>
      <c r="AL248" s="21"/>
      <c r="AM248" s="15"/>
      <c r="AN248" s="15"/>
      <c r="AO248" s="15"/>
      <c r="AP248" s="15"/>
      <c r="AQ248" s="15"/>
      <c r="AR248" s="15"/>
      <c r="AS248" s="15"/>
      <c r="AT248" s="19" t="str">
        <f>IF(COUNTA(A248:I248)+COUNTA(N248:X248)+COUNTA(AA248:AE248)+COUNTA(AH248:AS248)=0,"",IF(AND(A248&lt;&gt;"",E248&lt;&gt;"",OR(F248&lt;&gt;"",G248&lt;&gt;""),H248&lt;&gt;"",I248&lt;&gt;"",J248&lt;&gt;"No en catálogo",S248&lt;&gt;"",T248&lt;&gt;"",U248&lt;&gt;"",V248&lt;&gt;"",OR(AR248&lt;&gt;"",AND(W248&lt;&gt;"",X248&lt;&gt;"",AA248&lt;&gt;"",AB248&lt;&gt;"")),OR(AS248&lt;&gt;"",AND(AD248&lt;&gt;"",AE248&lt;&gt;"",AH248&lt;&gt;"",AI248&lt;&gt;"")),AK248&lt;&gt;"",OR(AK248&lt;&gt;"programado",AL248&lt;&gt;""),OR(AM248&lt;&gt;"específica",AN248&lt;&gt;""),OR(AO248&lt;&gt;"específica",AP248&lt;&gt;"")),"OK","Revisar"))</f>
        <v/>
      </c>
    </row>
    <row r="249" ht="15" customHeight="1" spans="1:46" x14ac:dyDescent="0.25">
      <c r="A249" s="15"/>
      <c r="B249" s="15"/>
      <c r="C249" s="15"/>
      <c r="D249" s="15"/>
      <c r="E249" s="15"/>
      <c r="F249" s="15"/>
      <c r="G249" s="15"/>
      <c r="H249" s="15"/>
      <c r="I249" s="15"/>
      <c r="J249" s="19">
        <f>IF(OR(H249="",I249=""),"",IFERROR(INDEX(Catalogo_Vehiculos!$C$2:$C$1325,MATCH(TRUE(),INDEX(Catalogo_Vehiculos!$G$2:$G$1325=H249&amp;"|"&amp;I249,0),0)),"No en catálogo"))</f>
      </c>
      <c r="K249" s="19">
        <f>IF(OR(H249="",I249=""),"",IFERROR(INDEX(Catalogo_Vehiculos!$D$2:$D$1325,MATCH(TRUE(),INDEX(Catalogo_Vehiculos!$G$2:$G$1325=H249&amp;"|"&amp;I249,0),0)),"No en catálogo"))</f>
      </c>
      <c r="L249" s="19">
        <f>IF(OR(H249="",I249=""),"",IFERROR(INDEX(Catalogo_Vehiculos!$E$2:$E$1325,MATCH(TRUE(),INDEX(Catalogo_Vehiculos!$G$2:$G$1325=H249&amp;"|"&amp;I249,0),0)),"No en catálogo"))</f>
      </c>
      <c r="M249" s="19">
        <f>IF(OR(H249="",I249=""),"",IFERROR(INDEX(Catalogo_Vehiculos!$F$2:$F$1325,MATCH(TRUE(),INDEX(Catalogo_Vehiculos!$G$2:$G$1325=H249&amp;"|"&amp;I249,0),0)),"No en catálogo"))</f>
      </c>
      <c r="N249" s="20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9"/>
      <c r="Z249" s="19"/>
      <c r="AA249" s="15"/>
      <c r="AB249" s="15"/>
      <c r="AC249" s="15"/>
      <c r="AD249" s="15"/>
      <c r="AE249" s="15"/>
      <c r="AF249" s="19"/>
      <c r="AG249" s="19"/>
      <c r="AH249" s="15"/>
      <c r="AI249" s="15"/>
      <c r="AJ249" s="15"/>
      <c r="AK249" s="15"/>
      <c r="AL249" s="21"/>
      <c r="AM249" s="15"/>
      <c r="AN249" s="15"/>
      <c r="AO249" s="15"/>
      <c r="AP249" s="15"/>
      <c r="AQ249" s="15"/>
      <c r="AR249" s="15"/>
      <c r="AS249" s="15"/>
      <c r="AT249" s="19" t="str">
        <f>IF(COUNTA(A249:I249)+COUNTA(N249:X249)+COUNTA(AA249:AE249)+COUNTA(AH249:AS249)=0,"",IF(AND(A249&lt;&gt;"",E249&lt;&gt;"",OR(F249&lt;&gt;"",G249&lt;&gt;""),H249&lt;&gt;"",I249&lt;&gt;"",J249&lt;&gt;"No en catálogo",S249&lt;&gt;"",T249&lt;&gt;"",U249&lt;&gt;"",V249&lt;&gt;"",OR(AR249&lt;&gt;"",AND(W249&lt;&gt;"",X249&lt;&gt;"",AA249&lt;&gt;"",AB249&lt;&gt;"")),OR(AS249&lt;&gt;"",AND(AD249&lt;&gt;"",AE249&lt;&gt;"",AH249&lt;&gt;"",AI249&lt;&gt;"")),AK249&lt;&gt;"",OR(AK249&lt;&gt;"programado",AL249&lt;&gt;""),OR(AM249&lt;&gt;"específica",AN249&lt;&gt;""),OR(AO249&lt;&gt;"específica",AP249&lt;&gt;"")),"OK","Revisar"))</f>
        <v/>
      </c>
    </row>
    <row r="250" ht="15" customHeight="1" spans="1:46" x14ac:dyDescent="0.25">
      <c r="A250" s="15"/>
      <c r="B250" s="15"/>
      <c r="C250" s="15"/>
      <c r="D250" s="15"/>
      <c r="E250" s="15"/>
      <c r="F250" s="15"/>
      <c r="G250" s="15"/>
      <c r="H250" s="15"/>
      <c r="I250" s="15"/>
      <c r="J250" s="19">
        <f>IF(OR(H250="",I250=""),"",IFERROR(INDEX(Catalogo_Vehiculos!$C$2:$C$1325,MATCH(TRUE(),INDEX(Catalogo_Vehiculos!$G$2:$G$1325=H250&amp;"|"&amp;I250,0),0)),"No en catálogo"))</f>
      </c>
      <c r="K250" s="19">
        <f>IF(OR(H250="",I250=""),"",IFERROR(INDEX(Catalogo_Vehiculos!$D$2:$D$1325,MATCH(TRUE(),INDEX(Catalogo_Vehiculos!$G$2:$G$1325=H250&amp;"|"&amp;I250,0),0)),"No en catálogo"))</f>
      </c>
      <c r="L250" s="19">
        <f>IF(OR(H250="",I250=""),"",IFERROR(INDEX(Catalogo_Vehiculos!$E$2:$E$1325,MATCH(TRUE(),INDEX(Catalogo_Vehiculos!$G$2:$G$1325=H250&amp;"|"&amp;I250,0),0)),"No en catálogo"))</f>
      </c>
      <c r="M250" s="19">
        <f>IF(OR(H250="",I250=""),"",IFERROR(INDEX(Catalogo_Vehiculos!$F$2:$F$1325,MATCH(TRUE(),INDEX(Catalogo_Vehiculos!$G$2:$G$1325=H250&amp;"|"&amp;I250,0),0)),"No en catálogo"))</f>
      </c>
      <c r="N250" s="20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9"/>
      <c r="Z250" s="19"/>
      <c r="AA250" s="15"/>
      <c r="AB250" s="15"/>
      <c r="AC250" s="15"/>
      <c r="AD250" s="15"/>
      <c r="AE250" s="15"/>
      <c r="AF250" s="19"/>
      <c r="AG250" s="19"/>
      <c r="AH250" s="15"/>
      <c r="AI250" s="15"/>
      <c r="AJ250" s="15"/>
      <c r="AK250" s="15"/>
      <c r="AL250" s="21"/>
      <c r="AM250" s="15"/>
      <c r="AN250" s="15"/>
      <c r="AO250" s="15"/>
      <c r="AP250" s="15"/>
      <c r="AQ250" s="15"/>
      <c r="AR250" s="15"/>
      <c r="AS250" s="15"/>
      <c r="AT250" s="19" t="str">
        <f>IF(COUNTA(A250:I250)+COUNTA(N250:X250)+COUNTA(AA250:AE250)+COUNTA(AH250:AS250)=0,"",IF(AND(A250&lt;&gt;"",E250&lt;&gt;"",OR(F250&lt;&gt;"",G250&lt;&gt;""),H250&lt;&gt;"",I250&lt;&gt;"",J250&lt;&gt;"No en catálogo",S250&lt;&gt;"",T250&lt;&gt;"",U250&lt;&gt;"",V250&lt;&gt;"",OR(AR250&lt;&gt;"",AND(W250&lt;&gt;"",X250&lt;&gt;"",AA250&lt;&gt;"",AB250&lt;&gt;"")),OR(AS250&lt;&gt;"",AND(AD250&lt;&gt;"",AE250&lt;&gt;"",AH250&lt;&gt;"",AI250&lt;&gt;"")),AK250&lt;&gt;"",OR(AK250&lt;&gt;"programado",AL250&lt;&gt;""),OR(AM250&lt;&gt;"específica",AN250&lt;&gt;""),OR(AO250&lt;&gt;"específica",AP250&lt;&gt;"")),"OK","Revisar"))</f>
        <v/>
      </c>
    </row>
    <row r="251" ht="15" customHeight="1" spans="1:46" x14ac:dyDescent="0.25">
      <c r="A251" s="15"/>
      <c r="B251" s="15"/>
      <c r="C251" s="15"/>
      <c r="D251" s="15"/>
      <c r="E251" s="15"/>
      <c r="F251" s="15"/>
      <c r="G251" s="15"/>
      <c r="H251" s="15"/>
      <c r="I251" s="15"/>
      <c r="J251" s="19">
        <f>IF(OR(H251="",I251=""),"",IFERROR(INDEX(Catalogo_Vehiculos!$C$2:$C$1325,MATCH(TRUE(),INDEX(Catalogo_Vehiculos!$G$2:$G$1325=H251&amp;"|"&amp;I251,0),0)),"No en catálogo"))</f>
      </c>
      <c r="K251" s="19">
        <f>IF(OR(H251="",I251=""),"",IFERROR(INDEX(Catalogo_Vehiculos!$D$2:$D$1325,MATCH(TRUE(),INDEX(Catalogo_Vehiculos!$G$2:$G$1325=H251&amp;"|"&amp;I251,0),0)),"No en catálogo"))</f>
      </c>
      <c r="L251" s="19">
        <f>IF(OR(H251="",I251=""),"",IFERROR(INDEX(Catalogo_Vehiculos!$E$2:$E$1325,MATCH(TRUE(),INDEX(Catalogo_Vehiculos!$G$2:$G$1325=H251&amp;"|"&amp;I251,0),0)),"No en catálogo"))</f>
      </c>
      <c r="M251" s="19">
        <f>IF(OR(H251="",I251=""),"",IFERROR(INDEX(Catalogo_Vehiculos!$F$2:$F$1325,MATCH(TRUE(),INDEX(Catalogo_Vehiculos!$G$2:$G$1325=H251&amp;"|"&amp;I251,0),0)),"No en catálogo"))</f>
      </c>
      <c r="N251" s="20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9"/>
      <c r="Z251" s="19"/>
      <c r="AA251" s="15"/>
      <c r="AB251" s="15"/>
      <c r="AC251" s="15"/>
      <c r="AD251" s="15"/>
      <c r="AE251" s="15"/>
      <c r="AF251" s="19"/>
      <c r="AG251" s="19"/>
      <c r="AH251" s="15"/>
      <c r="AI251" s="15"/>
      <c r="AJ251" s="15"/>
      <c r="AK251" s="15"/>
      <c r="AL251" s="21"/>
      <c r="AM251" s="15"/>
      <c r="AN251" s="15"/>
      <c r="AO251" s="15"/>
      <c r="AP251" s="15"/>
      <c r="AQ251" s="15"/>
      <c r="AR251" s="15"/>
      <c r="AS251" s="15"/>
      <c r="AT251" s="19" t="str">
        <f>IF(COUNTA(A251:I251)+COUNTA(N251:X251)+COUNTA(AA251:AE251)+COUNTA(AH251:AS251)=0,"",IF(AND(A251&lt;&gt;"",E251&lt;&gt;"",OR(F251&lt;&gt;"",G251&lt;&gt;""),H251&lt;&gt;"",I251&lt;&gt;"",J251&lt;&gt;"No en catálogo",S251&lt;&gt;"",T251&lt;&gt;"",U251&lt;&gt;"",V251&lt;&gt;"",OR(AR251&lt;&gt;"",AND(W251&lt;&gt;"",X251&lt;&gt;"",AA251&lt;&gt;"",AB251&lt;&gt;"")),OR(AS251&lt;&gt;"",AND(AD251&lt;&gt;"",AE251&lt;&gt;"",AH251&lt;&gt;"",AI251&lt;&gt;"")),AK251&lt;&gt;"",OR(AK251&lt;&gt;"programado",AL251&lt;&gt;""),OR(AM251&lt;&gt;"específica",AN251&lt;&gt;""),OR(AO251&lt;&gt;"específica",AP251&lt;&gt;"")),"OK","Revisar"))</f>
        <v/>
      </c>
    </row>
    <row r="252" ht="15" customHeight="1" spans="1:46" x14ac:dyDescent="0.25">
      <c r="A252" s="15"/>
      <c r="B252" s="15"/>
      <c r="C252" s="15"/>
      <c r="D252" s="15"/>
      <c r="E252" s="15"/>
      <c r="F252" s="15"/>
      <c r="G252" s="15"/>
      <c r="H252" s="15"/>
      <c r="I252" s="15"/>
      <c r="J252" s="19">
        <f>IF(OR(H252="",I252=""),"",IFERROR(INDEX(Catalogo_Vehiculos!$C$2:$C$1325,MATCH(TRUE(),INDEX(Catalogo_Vehiculos!$G$2:$G$1325=H252&amp;"|"&amp;I252,0),0)),"No en catálogo"))</f>
      </c>
      <c r="K252" s="19">
        <f>IF(OR(H252="",I252=""),"",IFERROR(INDEX(Catalogo_Vehiculos!$D$2:$D$1325,MATCH(TRUE(),INDEX(Catalogo_Vehiculos!$G$2:$G$1325=H252&amp;"|"&amp;I252,0),0)),"No en catálogo"))</f>
      </c>
      <c r="L252" s="19">
        <f>IF(OR(H252="",I252=""),"",IFERROR(INDEX(Catalogo_Vehiculos!$E$2:$E$1325,MATCH(TRUE(),INDEX(Catalogo_Vehiculos!$G$2:$G$1325=H252&amp;"|"&amp;I252,0),0)),"No en catálogo"))</f>
      </c>
      <c r="M252" s="19">
        <f>IF(OR(H252="",I252=""),"",IFERROR(INDEX(Catalogo_Vehiculos!$F$2:$F$1325,MATCH(TRUE(),INDEX(Catalogo_Vehiculos!$G$2:$G$1325=H252&amp;"|"&amp;I252,0),0)),"No en catálogo"))</f>
      </c>
      <c r="N252" s="20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9"/>
      <c r="Z252" s="19"/>
      <c r="AA252" s="15"/>
      <c r="AB252" s="15"/>
      <c r="AC252" s="15"/>
      <c r="AD252" s="15"/>
      <c r="AE252" s="15"/>
      <c r="AF252" s="19"/>
      <c r="AG252" s="19"/>
      <c r="AH252" s="15"/>
      <c r="AI252" s="15"/>
      <c r="AJ252" s="15"/>
      <c r="AK252" s="15"/>
      <c r="AL252" s="21"/>
      <c r="AM252" s="15"/>
      <c r="AN252" s="15"/>
      <c r="AO252" s="15"/>
      <c r="AP252" s="15"/>
      <c r="AQ252" s="15"/>
      <c r="AR252" s="15"/>
      <c r="AS252" s="15"/>
      <c r="AT252" s="19" t="str">
        <f>IF(COUNTA(A252:I252)+COUNTA(N252:X252)+COUNTA(AA252:AE252)+COUNTA(AH252:AS252)=0,"",IF(AND(A252&lt;&gt;"",E252&lt;&gt;"",OR(F252&lt;&gt;"",G252&lt;&gt;""),H252&lt;&gt;"",I252&lt;&gt;"",J252&lt;&gt;"No en catálogo",S252&lt;&gt;"",T252&lt;&gt;"",U252&lt;&gt;"",V252&lt;&gt;"",OR(AR252&lt;&gt;"",AND(W252&lt;&gt;"",X252&lt;&gt;"",AA252&lt;&gt;"",AB252&lt;&gt;"")),OR(AS252&lt;&gt;"",AND(AD252&lt;&gt;"",AE252&lt;&gt;"",AH252&lt;&gt;"",AI252&lt;&gt;"")),AK252&lt;&gt;"",OR(AK252&lt;&gt;"programado",AL252&lt;&gt;""),OR(AM252&lt;&gt;"específica",AN252&lt;&gt;""),OR(AO252&lt;&gt;"específica",AP252&lt;&gt;"")),"OK","Revisar"))</f>
        <v/>
      </c>
    </row>
    <row r="253" ht="15" customHeight="1" spans="1:46" x14ac:dyDescent="0.25">
      <c r="A253" s="15"/>
      <c r="B253" s="15"/>
      <c r="C253" s="15"/>
      <c r="D253" s="15"/>
      <c r="E253" s="15"/>
      <c r="F253" s="15"/>
      <c r="G253" s="15"/>
      <c r="H253" s="15"/>
      <c r="I253" s="15"/>
      <c r="J253" s="19">
        <f>IF(OR(H253="",I253=""),"",IFERROR(INDEX(Catalogo_Vehiculos!$C$2:$C$1325,MATCH(TRUE(),INDEX(Catalogo_Vehiculos!$G$2:$G$1325=H253&amp;"|"&amp;I253,0),0)),"No en catálogo"))</f>
      </c>
      <c r="K253" s="19">
        <f>IF(OR(H253="",I253=""),"",IFERROR(INDEX(Catalogo_Vehiculos!$D$2:$D$1325,MATCH(TRUE(),INDEX(Catalogo_Vehiculos!$G$2:$G$1325=H253&amp;"|"&amp;I253,0),0)),"No en catálogo"))</f>
      </c>
      <c r="L253" s="19">
        <f>IF(OR(H253="",I253=""),"",IFERROR(INDEX(Catalogo_Vehiculos!$E$2:$E$1325,MATCH(TRUE(),INDEX(Catalogo_Vehiculos!$G$2:$G$1325=H253&amp;"|"&amp;I253,0),0)),"No en catálogo"))</f>
      </c>
      <c r="M253" s="19">
        <f>IF(OR(H253="",I253=""),"",IFERROR(INDEX(Catalogo_Vehiculos!$F$2:$F$1325,MATCH(TRUE(),INDEX(Catalogo_Vehiculos!$G$2:$G$1325=H253&amp;"|"&amp;I253,0),0)),"No en catálogo"))</f>
      </c>
      <c r="N253" s="20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9"/>
      <c r="Z253" s="19"/>
      <c r="AA253" s="15"/>
      <c r="AB253" s="15"/>
      <c r="AC253" s="15"/>
      <c r="AD253" s="15"/>
      <c r="AE253" s="15"/>
      <c r="AF253" s="19"/>
      <c r="AG253" s="19"/>
      <c r="AH253" s="15"/>
      <c r="AI253" s="15"/>
      <c r="AJ253" s="15"/>
      <c r="AK253" s="15"/>
      <c r="AL253" s="21"/>
      <c r="AM253" s="15"/>
      <c r="AN253" s="15"/>
      <c r="AO253" s="15"/>
      <c r="AP253" s="15"/>
      <c r="AQ253" s="15"/>
      <c r="AR253" s="15"/>
      <c r="AS253" s="15"/>
      <c r="AT253" s="19" t="str">
        <f>IF(COUNTA(A253:I253)+COUNTA(N253:X253)+COUNTA(AA253:AE253)+COUNTA(AH253:AS253)=0,"",IF(AND(A253&lt;&gt;"",E253&lt;&gt;"",OR(F253&lt;&gt;"",G253&lt;&gt;""),H253&lt;&gt;"",I253&lt;&gt;"",J253&lt;&gt;"No en catálogo",S253&lt;&gt;"",T253&lt;&gt;"",U253&lt;&gt;"",V253&lt;&gt;"",OR(AR253&lt;&gt;"",AND(W253&lt;&gt;"",X253&lt;&gt;"",AA253&lt;&gt;"",AB253&lt;&gt;"")),OR(AS253&lt;&gt;"",AND(AD253&lt;&gt;"",AE253&lt;&gt;"",AH253&lt;&gt;"",AI253&lt;&gt;"")),AK253&lt;&gt;"",OR(AK253&lt;&gt;"programado",AL253&lt;&gt;""),OR(AM253&lt;&gt;"específica",AN253&lt;&gt;""),OR(AO253&lt;&gt;"específica",AP253&lt;&gt;"")),"OK","Revisar"))</f>
        <v/>
      </c>
    </row>
    <row r="254" ht="15" customHeight="1" spans="1:46" x14ac:dyDescent="0.25">
      <c r="A254" s="15"/>
      <c r="B254" s="15"/>
      <c r="C254" s="15"/>
      <c r="D254" s="15"/>
      <c r="E254" s="15"/>
      <c r="F254" s="15"/>
      <c r="G254" s="15"/>
      <c r="H254" s="15"/>
      <c r="I254" s="15"/>
      <c r="J254" s="19">
        <f>IF(OR(H254="",I254=""),"",IFERROR(INDEX(Catalogo_Vehiculos!$C$2:$C$1325,MATCH(TRUE(),INDEX(Catalogo_Vehiculos!$G$2:$G$1325=H254&amp;"|"&amp;I254,0),0)),"No en catálogo"))</f>
      </c>
      <c r="K254" s="19">
        <f>IF(OR(H254="",I254=""),"",IFERROR(INDEX(Catalogo_Vehiculos!$D$2:$D$1325,MATCH(TRUE(),INDEX(Catalogo_Vehiculos!$G$2:$G$1325=H254&amp;"|"&amp;I254,0),0)),"No en catálogo"))</f>
      </c>
      <c r="L254" s="19">
        <f>IF(OR(H254="",I254=""),"",IFERROR(INDEX(Catalogo_Vehiculos!$E$2:$E$1325,MATCH(TRUE(),INDEX(Catalogo_Vehiculos!$G$2:$G$1325=H254&amp;"|"&amp;I254,0),0)),"No en catálogo"))</f>
      </c>
      <c r="M254" s="19">
        <f>IF(OR(H254="",I254=""),"",IFERROR(INDEX(Catalogo_Vehiculos!$F$2:$F$1325,MATCH(TRUE(),INDEX(Catalogo_Vehiculos!$G$2:$G$1325=H254&amp;"|"&amp;I254,0),0)),"No en catálogo"))</f>
      </c>
      <c r="N254" s="20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9"/>
      <c r="Z254" s="19"/>
      <c r="AA254" s="15"/>
      <c r="AB254" s="15"/>
      <c r="AC254" s="15"/>
      <c r="AD254" s="15"/>
      <c r="AE254" s="15"/>
      <c r="AF254" s="19"/>
      <c r="AG254" s="19"/>
      <c r="AH254" s="15"/>
      <c r="AI254" s="15"/>
      <c r="AJ254" s="15"/>
      <c r="AK254" s="15"/>
      <c r="AL254" s="21"/>
      <c r="AM254" s="15"/>
      <c r="AN254" s="15"/>
      <c r="AO254" s="15"/>
      <c r="AP254" s="15"/>
      <c r="AQ254" s="15"/>
      <c r="AR254" s="15"/>
      <c r="AS254" s="15"/>
      <c r="AT254" s="19" t="str">
        <f>IF(COUNTA(A254:I254)+COUNTA(N254:X254)+COUNTA(AA254:AE254)+COUNTA(AH254:AS254)=0,"",IF(AND(A254&lt;&gt;"",E254&lt;&gt;"",OR(F254&lt;&gt;"",G254&lt;&gt;""),H254&lt;&gt;"",I254&lt;&gt;"",J254&lt;&gt;"No en catálogo",S254&lt;&gt;"",T254&lt;&gt;"",U254&lt;&gt;"",V254&lt;&gt;"",OR(AR254&lt;&gt;"",AND(W254&lt;&gt;"",X254&lt;&gt;"",AA254&lt;&gt;"",AB254&lt;&gt;"")),OR(AS254&lt;&gt;"",AND(AD254&lt;&gt;"",AE254&lt;&gt;"",AH254&lt;&gt;"",AI254&lt;&gt;"")),AK254&lt;&gt;"",OR(AK254&lt;&gt;"programado",AL254&lt;&gt;""),OR(AM254&lt;&gt;"específica",AN254&lt;&gt;""),OR(AO254&lt;&gt;"específica",AP254&lt;&gt;"")),"OK","Revisar"))</f>
        <v/>
      </c>
    </row>
    <row r="255" ht="15" customHeight="1" spans="1:46" x14ac:dyDescent="0.25">
      <c r="A255" s="15"/>
      <c r="B255" s="15"/>
      <c r="C255" s="15"/>
      <c r="D255" s="15"/>
      <c r="E255" s="15"/>
      <c r="F255" s="15"/>
      <c r="G255" s="15"/>
      <c r="H255" s="15"/>
      <c r="I255" s="15"/>
      <c r="J255" s="19">
        <f>IF(OR(H255="",I255=""),"",IFERROR(INDEX(Catalogo_Vehiculos!$C$2:$C$1325,MATCH(TRUE(),INDEX(Catalogo_Vehiculos!$G$2:$G$1325=H255&amp;"|"&amp;I255,0),0)),"No en catálogo"))</f>
      </c>
      <c r="K255" s="19">
        <f>IF(OR(H255="",I255=""),"",IFERROR(INDEX(Catalogo_Vehiculos!$D$2:$D$1325,MATCH(TRUE(),INDEX(Catalogo_Vehiculos!$G$2:$G$1325=H255&amp;"|"&amp;I255,0),0)),"No en catálogo"))</f>
      </c>
      <c r="L255" s="19">
        <f>IF(OR(H255="",I255=""),"",IFERROR(INDEX(Catalogo_Vehiculos!$E$2:$E$1325,MATCH(TRUE(),INDEX(Catalogo_Vehiculos!$G$2:$G$1325=H255&amp;"|"&amp;I255,0),0)),"No en catálogo"))</f>
      </c>
      <c r="M255" s="19">
        <f>IF(OR(H255="",I255=""),"",IFERROR(INDEX(Catalogo_Vehiculos!$F$2:$F$1325,MATCH(TRUE(),INDEX(Catalogo_Vehiculos!$G$2:$G$1325=H255&amp;"|"&amp;I255,0),0)),"No en catálogo"))</f>
      </c>
      <c r="N255" s="20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9"/>
      <c r="Z255" s="19"/>
      <c r="AA255" s="15"/>
      <c r="AB255" s="15"/>
      <c r="AC255" s="15"/>
      <c r="AD255" s="15"/>
      <c r="AE255" s="15"/>
      <c r="AF255" s="19"/>
      <c r="AG255" s="19"/>
      <c r="AH255" s="15"/>
      <c r="AI255" s="15"/>
      <c r="AJ255" s="15"/>
      <c r="AK255" s="15"/>
      <c r="AL255" s="21"/>
      <c r="AM255" s="15"/>
      <c r="AN255" s="15"/>
      <c r="AO255" s="15"/>
      <c r="AP255" s="15"/>
      <c r="AQ255" s="15"/>
      <c r="AR255" s="15"/>
      <c r="AS255" s="15"/>
      <c r="AT255" s="19" t="str">
        <f>IF(COUNTA(A255:I255)+COUNTA(N255:X255)+COUNTA(AA255:AE255)+COUNTA(AH255:AS255)=0,"",IF(AND(A255&lt;&gt;"",E255&lt;&gt;"",OR(F255&lt;&gt;"",G255&lt;&gt;""),H255&lt;&gt;"",I255&lt;&gt;"",J255&lt;&gt;"No en catálogo",S255&lt;&gt;"",T255&lt;&gt;"",U255&lt;&gt;"",V255&lt;&gt;"",OR(AR255&lt;&gt;"",AND(W255&lt;&gt;"",X255&lt;&gt;"",AA255&lt;&gt;"",AB255&lt;&gt;"")),OR(AS255&lt;&gt;"",AND(AD255&lt;&gt;"",AE255&lt;&gt;"",AH255&lt;&gt;"",AI255&lt;&gt;"")),AK255&lt;&gt;"",OR(AK255&lt;&gt;"programado",AL255&lt;&gt;""),OR(AM255&lt;&gt;"específica",AN255&lt;&gt;""),OR(AO255&lt;&gt;"específica",AP255&lt;&gt;"")),"OK","Revisar"))</f>
        <v/>
      </c>
    </row>
    <row r="256" ht="15" customHeight="1" spans="1:46" x14ac:dyDescent="0.25">
      <c r="A256" s="15"/>
      <c r="B256" s="15"/>
      <c r="C256" s="15"/>
      <c r="D256" s="15"/>
      <c r="E256" s="15"/>
      <c r="F256" s="15"/>
      <c r="G256" s="15"/>
      <c r="H256" s="15"/>
      <c r="I256" s="15"/>
      <c r="J256" s="19">
        <f>IF(OR(H256="",I256=""),"",IFERROR(INDEX(Catalogo_Vehiculos!$C$2:$C$1325,MATCH(TRUE(),INDEX(Catalogo_Vehiculos!$G$2:$G$1325=H256&amp;"|"&amp;I256,0),0)),"No en catálogo"))</f>
      </c>
      <c r="K256" s="19">
        <f>IF(OR(H256="",I256=""),"",IFERROR(INDEX(Catalogo_Vehiculos!$D$2:$D$1325,MATCH(TRUE(),INDEX(Catalogo_Vehiculos!$G$2:$G$1325=H256&amp;"|"&amp;I256,0),0)),"No en catálogo"))</f>
      </c>
      <c r="L256" s="19">
        <f>IF(OR(H256="",I256=""),"",IFERROR(INDEX(Catalogo_Vehiculos!$E$2:$E$1325,MATCH(TRUE(),INDEX(Catalogo_Vehiculos!$G$2:$G$1325=H256&amp;"|"&amp;I256,0),0)),"No en catálogo"))</f>
      </c>
      <c r="M256" s="19">
        <f>IF(OR(H256="",I256=""),"",IFERROR(INDEX(Catalogo_Vehiculos!$F$2:$F$1325,MATCH(TRUE(),INDEX(Catalogo_Vehiculos!$G$2:$G$1325=H256&amp;"|"&amp;I256,0),0)),"No en catálogo"))</f>
      </c>
      <c r="N256" s="20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9"/>
      <c r="Z256" s="19"/>
      <c r="AA256" s="15"/>
      <c r="AB256" s="15"/>
      <c r="AC256" s="15"/>
      <c r="AD256" s="15"/>
      <c r="AE256" s="15"/>
      <c r="AF256" s="19"/>
      <c r="AG256" s="19"/>
      <c r="AH256" s="15"/>
      <c r="AI256" s="15"/>
      <c r="AJ256" s="15"/>
      <c r="AK256" s="15"/>
      <c r="AL256" s="21"/>
      <c r="AM256" s="15"/>
      <c r="AN256" s="15"/>
      <c r="AO256" s="15"/>
      <c r="AP256" s="15"/>
      <c r="AQ256" s="15"/>
      <c r="AR256" s="15"/>
      <c r="AS256" s="15"/>
      <c r="AT256" s="19" t="str">
        <f>IF(COUNTA(A256:I256)+COUNTA(N256:X256)+COUNTA(AA256:AE256)+COUNTA(AH256:AS256)=0,"",IF(AND(A256&lt;&gt;"",E256&lt;&gt;"",OR(F256&lt;&gt;"",G256&lt;&gt;""),H256&lt;&gt;"",I256&lt;&gt;"",J256&lt;&gt;"No en catálogo",S256&lt;&gt;"",T256&lt;&gt;"",U256&lt;&gt;"",V256&lt;&gt;"",OR(AR256&lt;&gt;"",AND(W256&lt;&gt;"",X256&lt;&gt;"",AA256&lt;&gt;"",AB256&lt;&gt;"")),OR(AS256&lt;&gt;"",AND(AD256&lt;&gt;"",AE256&lt;&gt;"",AH256&lt;&gt;"",AI256&lt;&gt;"")),AK256&lt;&gt;"",OR(AK256&lt;&gt;"programado",AL256&lt;&gt;""),OR(AM256&lt;&gt;"específica",AN256&lt;&gt;""),OR(AO256&lt;&gt;"específica",AP256&lt;&gt;"")),"OK","Revisar"))</f>
        <v/>
      </c>
    </row>
    <row r="257" ht="15" customHeight="1" spans="1:46" x14ac:dyDescent="0.25">
      <c r="A257" s="15"/>
      <c r="B257" s="15"/>
      <c r="C257" s="15"/>
      <c r="D257" s="15"/>
      <c r="E257" s="15"/>
      <c r="F257" s="15"/>
      <c r="G257" s="15"/>
      <c r="H257" s="15"/>
      <c r="I257" s="15"/>
      <c r="J257" s="19">
        <f>IF(OR(H257="",I257=""),"",IFERROR(INDEX(Catalogo_Vehiculos!$C$2:$C$1325,MATCH(TRUE(),INDEX(Catalogo_Vehiculos!$G$2:$G$1325=H257&amp;"|"&amp;I257,0),0)),"No en catálogo"))</f>
      </c>
      <c r="K257" s="19">
        <f>IF(OR(H257="",I257=""),"",IFERROR(INDEX(Catalogo_Vehiculos!$D$2:$D$1325,MATCH(TRUE(),INDEX(Catalogo_Vehiculos!$G$2:$G$1325=H257&amp;"|"&amp;I257,0),0)),"No en catálogo"))</f>
      </c>
      <c r="L257" s="19">
        <f>IF(OR(H257="",I257=""),"",IFERROR(INDEX(Catalogo_Vehiculos!$E$2:$E$1325,MATCH(TRUE(),INDEX(Catalogo_Vehiculos!$G$2:$G$1325=H257&amp;"|"&amp;I257,0),0)),"No en catálogo"))</f>
      </c>
      <c r="M257" s="19">
        <f>IF(OR(H257="",I257=""),"",IFERROR(INDEX(Catalogo_Vehiculos!$F$2:$F$1325,MATCH(TRUE(),INDEX(Catalogo_Vehiculos!$G$2:$G$1325=H257&amp;"|"&amp;I257,0),0)),"No en catálogo"))</f>
      </c>
      <c r="N257" s="20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9"/>
      <c r="Z257" s="19"/>
      <c r="AA257" s="15"/>
      <c r="AB257" s="15"/>
      <c r="AC257" s="15"/>
      <c r="AD257" s="15"/>
      <c r="AE257" s="15"/>
      <c r="AF257" s="19"/>
      <c r="AG257" s="19"/>
      <c r="AH257" s="15"/>
      <c r="AI257" s="15"/>
      <c r="AJ257" s="15"/>
      <c r="AK257" s="15"/>
      <c r="AL257" s="21"/>
      <c r="AM257" s="15"/>
      <c r="AN257" s="15"/>
      <c r="AO257" s="15"/>
      <c r="AP257" s="15"/>
      <c r="AQ257" s="15"/>
      <c r="AR257" s="15"/>
      <c r="AS257" s="15"/>
      <c r="AT257" s="19" t="str">
        <f>IF(COUNTA(A257:I257)+COUNTA(N257:X257)+COUNTA(AA257:AE257)+COUNTA(AH257:AS257)=0,"",IF(AND(A257&lt;&gt;"",E257&lt;&gt;"",OR(F257&lt;&gt;"",G257&lt;&gt;""),H257&lt;&gt;"",I257&lt;&gt;"",J257&lt;&gt;"No en catálogo",S257&lt;&gt;"",T257&lt;&gt;"",U257&lt;&gt;"",V257&lt;&gt;"",OR(AR257&lt;&gt;"",AND(W257&lt;&gt;"",X257&lt;&gt;"",AA257&lt;&gt;"",AB257&lt;&gt;"")),OR(AS257&lt;&gt;"",AND(AD257&lt;&gt;"",AE257&lt;&gt;"",AH257&lt;&gt;"",AI257&lt;&gt;"")),AK257&lt;&gt;"",OR(AK257&lt;&gt;"programado",AL257&lt;&gt;""),OR(AM257&lt;&gt;"específica",AN257&lt;&gt;""),OR(AO257&lt;&gt;"específica",AP257&lt;&gt;"")),"OK","Revisar"))</f>
        <v/>
      </c>
    </row>
    <row r="258" ht="15" customHeight="1" spans="1:46" x14ac:dyDescent="0.25">
      <c r="A258" s="15"/>
      <c r="B258" s="15"/>
      <c r="C258" s="15"/>
      <c r="D258" s="15"/>
      <c r="E258" s="15"/>
      <c r="F258" s="15"/>
      <c r="G258" s="15"/>
      <c r="H258" s="15"/>
      <c r="I258" s="15"/>
      <c r="J258" s="19">
        <f>IF(OR(H258="",I258=""),"",IFERROR(INDEX(Catalogo_Vehiculos!$C$2:$C$1325,MATCH(TRUE(),INDEX(Catalogo_Vehiculos!$G$2:$G$1325=H258&amp;"|"&amp;I258,0),0)),"No en catálogo"))</f>
      </c>
      <c r="K258" s="19">
        <f>IF(OR(H258="",I258=""),"",IFERROR(INDEX(Catalogo_Vehiculos!$D$2:$D$1325,MATCH(TRUE(),INDEX(Catalogo_Vehiculos!$G$2:$G$1325=H258&amp;"|"&amp;I258,0),0)),"No en catálogo"))</f>
      </c>
      <c r="L258" s="19">
        <f>IF(OR(H258="",I258=""),"",IFERROR(INDEX(Catalogo_Vehiculos!$E$2:$E$1325,MATCH(TRUE(),INDEX(Catalogo_Vehiculos!$G$2:$G$1325=H258&amp;"|"&amp;I258,0),0)),"No en catálogo"))</f>
      </c>
      <c r="M258" s="19">
        <f>IF(OR(H258="",I258=""),"",IFERROR(INDEX(Catalogo_Vehiculos!$F$2:$F$1325,MATCH(TRUE(),INDEX(Catalogo_Vehiculos!$G$2:$G$1325=H258&amp;"|"&amp;I258,0),0)),"No en catálogo"))</f>
      </c>
      <c r="N258" s="20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9"/>
      <c r="Z258" s="19"/>
      <c r="AA258" s="15"/>
      <c r="AB258" s="15"/>
      <c r="AC258" s="15"/>
      <c r="AD258" s="15"/>
      <c r="AE258" s="15"/>
      <c r="AF258" s="19"/>
      <c r="AG258" s="19"/>
      <c r="AH258" s="15"/>
      <c r="AI258" s="15"/>
      <c r="AJ258" s="15"/>
      <c r="AK258" s="15"/>
      <c r="AL258" s="21"/>
      <c r="AM258" s="15"/>
      <c r="AN258" s="15"/>
      <c r="AO258" s="15"/>
      <c r="AP258" s="15"/>
      <c r="AQ258" s="15"/>
      <c r="AR258" s="15"/>
      <c r="AS258" s="15"/>
      <c r="AT258" s="19" t="str">
        <f>IF(COUNTA(A258:I258)+COUNTA(N258:X258)+COUNTA(AA258:AE258)+COUNTA(AH258:AS258)=0,"",IF(AND(A258&lt;&gt;"",E258&lt;&gt;"",OR(F258&lt;&gt;"",G258&lt;&gt;""),H258&lt;&gt;"",I258&lt;&gt;"",J258&lt;&gt;"No en catálogo",S258&lt;&gt;"",T258&lt;&gt;"",U258&lt;&gt;"",V258&lt;&gt;"",OR(AR258&lt;&gt;"",AND(W258&lt;&gt;"",X258&lt;&gt;"",AA258&lt;&gt;"",AB258&lt;&gt;"")),OR(AS258&lt;&gt;"",AND(AD258&lt;&gt;"",AE258&lt;&gt;"",AH258&lt;&gt;"",AI258&lt;&gt;"")),AK258&lt;&gt;"",OR(AK258&lt;&gt;"programado",AL258&lt;&gt;""),OR(AM258&lt;&gt;"específica",AN258&lt;&gt;""),OR(AO258&lt;&gt;"específica",AP258&lt;&gt;"")),"OK","Revisar"))</f>
        <v/>
      </c>
    </row>
    <row r="259" ht="15" customHeight="1" spans="1:46" x14ac:dyDescent="0.25">
      <c r="A259" s="15"/>
      <c r="B259" s="15"/>
      <c r="C259" s="15"/>
      <c r="D259" s="15"/>
      <c r="E259" s="15"/>
      <c r="F259" s="15"/>
      <c r="G259" s="15"/>
      <c r="H259" s="15"/>
      <c r="I259" s="15"/>
      <c r="J259" s="19">
        <f>IF(OR(H259="",I259=""),"",IFERROR(INDEX(Catalogo_Vehiculos!$C$2:$C$1325,MATCH(TRUE(),INDEX(Catalogo_Vehiculos!$G$2:$G$1325=H259&amp;"|"&amp;I259,0),0)),"No en catálogo"))</f>
      </c>
      <c r="K259" s="19">
        <f>IF(OR(H259="",I259=""),"",IFERROR(INDEX(Catalogo_Vehiculos!$D$2:$D$1325,MATCH(TRUE(),INDEX(Catalogo_Vehiculos!$G$2:$G$1325=H259&amp;"|"&amp;I259,0),0)),"No en catálogo"))</f>
      </c>
      <c r="L259" s="19">
        <f>IF(OR(H259="",I259=""),"",IFERROR(INDEX(Catalogo_Vehiculos!$E$2:$E$1325,MATCH(TRUE(),INDEX(Catalogo_Vehiculos!$G$2:$G$1325=H259&amp;"|"&amp;I259,0),0)),"No en catálogo"))</f>
      </c>
      <c r="M259" s="19">
        <f>IF(OR(H259="",I259=""),"",IFERROR(INDEX(Catalogo_Vehiculos!$F$2:$F$1325,MATCH(TRUE(),INDEX(Catalogo_Vehiculos!$G$2:$G$1325=H259&amp;"|"&amp;I259,0),0)),"No en catálogo"))</f>
      </c>
      <c r="N259" s="20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9"/>
      <c r="Z259" s="19"/>
      <c r="AA259" s="15"/>
      <c r="AB259" s="15"/>
      <c r="AC259" s="15"/>
      <c r="AD259" s="15"/>
      <c r="AE259" s="15"/>
      <c r="AF259" s="19"/>
      <c r="AG259" s="19"/>
      <c r="AH259" s="15"/>
      <c r="AI259" s="15"/>
      <c r="AJ259" s="15"/>
      <c r="AK259" s="15"/>
      <c r="AL259" s="21"/>
      <c r="AM259" s="15"/>
      <c r="AN259" s="15"/>
      <c r="AO259" s="15"/>
      <c r="AP259" s="15"/>
      <c r="AQ259" s="15"/>
      <c r="AR259" s="15"/>
      <c r="AS259" s="15"/>
      <c r="AT259" s="19" t="str">
        <f>IF(COUNTA(A259:I259)+COUNTA(N259:X259)+COUNTA(AA259:AE259)+COUNTA(AH259:AS259)=0,"",IF(AND(A259&lt;&gt;"",E259&lt;&gt;"",OR(F259&lt;&gt;"",G259&lt;&gt;""),H259&lt;&gt;"",I259&lt;&gt;"",J259&lt;&gt;"No en catálogo",S259&lt;&gt;"",T259&lt;&gt;"",U259&lt;&gt;"",V259&lt;&gt;"",OR(AR259&lt;&gt;"",AND(W259&lt;&gt;"",X259&lt;&gt;"",AA259&lt;&gt;"",AB259&lt;&gt;"")),OR(AS259&lt;&gt;"",AND(AD259&lt;&gt;"",AE259&lt;&gt;"",AH259&lt;&gt;"",AI259&lt;&gt;"")),AK259&lt;&gt;"",OR(AK259&lt;&gt;"programado",AL259&lt;&gt;""),OR(AM259&lt;&gt;"específica",AN259&lt;&gt;""),OR(AO259&lt;&gt;"específica",AP259&lt;&gt;"")),"OK","Revisar"))</f>
        <v/>
      </c>
    </row>
    <row r="260" ht="15" customHeight="1" spans="1:46" x14ac:dyDescent="0.25">
      <c r="A260" s="15"/>
      <c r="B260" s="15"/>
      <c r="C260" s="15"/>
      <c r="D260" s="15"/>
      <c r="E260" s="15"/>
      <c r="F260" s="15"/>
      <c r="G260" s="15"/>
      <c r="H260" s="15"/>
      <c r="I260" s="15"/>
      <c r="J260" s="19">
        <f>IF(OR(H260="",I260=""),"",IFERROR(INDEX(Catalogo_Vehiculos!$C$2:$C$1325,MATCH(TRUE(),INDEX(Catalogo_Vehiculos!$G$2:$G$1325=H260&amp;"|"&amp;I260,0),0)),"No en catálogo"))</f>
      </c>
      <c r="K260" s="19">
        <f>IF(OR(H260="",I260=""),"",IFERROR(INDEX(Catalogo_Vehiculos!$D$2:$D$1325,MATCH(TRUE(),INDEX(Catalogo_Vehiculos!$G$2:$G$1325=H260&amp;"|"&amp;I260,0),0)),"No en catálogo"))</f>
      </c>
      <c r="L260" s="19">
        <f>IF(OR(H260="",I260=""),"",IFERROR(INDEX(Catalogo_Vehiculos!$E$2:$E$1325,MATCH(TRUE(),INDEX(Catalogo_Vehiculos!$G$2:$G$1325=H260&amp;"|"&amp;I260,0),0)),"No en catálogo"))</f>
      </c>
      <c r="M260" s="19">
        <f>IF(OR(H260="",I260=""),"",IFERROR(INDEX(Catalogo_Vehiculos!$F$2:$F$1325,MATCH(TRUE(),INDEX(Catalogo_Vehiculos!$G$2:$G$1325=H260&amp;"|"&amp;I260,0),0)),"No en catálogo"))</f>
      </c>
      <c r="N260" s="20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9"/>
      <c r="Z260" s="19"/>
      <c r="AA260" s="15"/>
      <c r="AB260" s="15"/>
      <c r="AC260" s="15"/>
      <c r="AD260" s="15"/>
      <c r="AE260" s="15"/>
      <c r="AF260" s="19"/>
      <c r="AG260" s="19"/>
      <c r="AH260" s="15"/>
      <c r="AI260" s="15"/>
      <c r="AJ260" s="15"/>
      <c r="AK260" s="15"/>
      <c r="AL260" s="21"/>
      <c r="AM260" s="15"/>
      <c r="AN260" s="15"/>
      <c r="AO260" s="15"/>
      <c r="AP260" s="15"/>
      <c r="AQ260" s="15"/>
      <c r="AR260" s="15"/>
      <c r="AS260" s="15"/>
      <c r="AT260" s="19" t="str">
        <f>IF(COUNTA(A260:I260)+COUNTA(N260:X260)+COUNTA(AA260:AE260)+COUNTA(AH260:AS260)=0,"",IF(AND(A260&lt;&gt;"",E260&lt;&gt;"",OR(F260&lt;&gt;"",G260&lt;&gt;""),H260&lt;&gt;"",I260&lt;&gt;"",J260&lt;&gt;"No en catálogo",S260&lt;&gt;"",T260&lt;&gt;"",U260&lt;&gt;"",V260&lt;&gt;"",OR(AR260&lt;&gt;"",AND(W260&lt;&gt;"",X260&lt;&gt;"",AA260&lt;&gt;"",AB260&lt;&gt;"")),OR(AS260&lt;&gt;"",AND(AD260&lt;&gt;"",AE260&lt;&gt;"",AH260&lt;&gt;"",AI260&lt;&gt;"")),AK260&lt;&gt;"",OR(AK260&lt;&gt;"programado",AL260&lt;&gt;""),OR(AM260&lt;&gt;"específica",AN260&lt;&gt;""),OR(AO260&lt;&gt;"específica",AP260&lt;&gt;"")),"OK","Revisar"))</f>
        <v/>
      </c>
    </row>
    <row r="261" ht="15" customHeight="1" spans="1:46" x14ac:dyDescent="0.25">
      <c r="A261" s="15"/>
      <c r="B261" s="15"/>
      <c r="C261" s="15"/>
      <c r="D261" s="15"/>
      <c r="E261" s="15"/>
      <c r="F261" s="15"/>
      <c r="G261" s="15"/>
      <c r="H261" s="15"/>
      <c r="I261" s="15"/>
      <c r="J261" s="19">
        <f>IF(OR(H261="",I261=""),"",IFERROR(INDEX(Catalogo_Vehiculos!$C$2:$C$1325,MATCH(TRUE(),INDEX(Catalogo_Vehiculos!$G$2:$G$1325=H261&amp;"|"&amp;I261,0),0)),"No en catálogo"))</f>
      </c>
      <c r="K261" s="19">
        <f>IF(OR(H261="",I261=""),"",IFERROR(INDEX(Catalogo_Vehiculos!$D$2:$D$1325,MATCH(TRUE(),INDEX(Catalogo_Vehiculos!$G$2:$G$1325=H261&amp;"|"&amp;I261,0),0)),"No en catálogo"))</f>
      </c>
      <c r="L261" s="19">
        <f>IF(OR(H261="",I261=""),"",IFERROR(INDEX(Catalogo_Vehiculos!$E$2:$E$1325,MATCH(TRUE(),INDEX(Catalogo_Vehiculos!$G$2:$G$1325=H261&amp;"|"&amp;I261,0),0)),"No en catálogo"))</f>
      </c>
      <c r="M261" s="19">
        <f>IF(OR(H261="",I261=""),"",IFERROR(INDEX(Catalogo_Vehiculos!$F$2:$F$1325,MATCH(TRUE(),INDEX(Catalogo_Vehiculos!$G$2:$G$1325=H261&amp;"|"&amp;I261,0),0)),"No en catálogo"))</f>
      </c>
      <c r="N261" s="20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9"/>
      <c r="Z261" s="19"/>
      <c r="AA261" s="15"/>
      <c r="AB261" s="15"/>
      <c r="AC261" s="15"/>
      <c r="AD261" s="15"/>
      <c r="AE261" s="15"/>
      <c r="AF261" s="19"/>
      <c r="AG261" s="19"/>
      <c r="AH261" s="15"/>
      <c r="AI261" s="15"/>
      <c r="AJ261" s="15"/>
      <c r="AK261" s="15"/>
      <c r="AL261" s="21"/>
      <c r="AM261" s="15"/>
      <c r="AN261" s="15"/>
      <c r="AO261" s="15"/>
      <c r="AP261" s="15"/>
      <c r="AQ261" s="15"/>
      <c r="AR261" s="15"/>
      <c r="AS261" s="15"/>
      <c r="AT261" s="19" t="str">
        <f>IF(COUNTA(A261:I261)+COUNTA(N261:X261)+COUNTA(AA261:AE261)+COUNTA(AH261:AS261)=0,"",IF(AND(A261&lt;&gt;"",E261&lt;&gt;"",OR(F261&lt;&gt;"",G261&lt;&gt;""),H261&lt;&gt;"",I261&lt;&gt;"",J261&lt;&gt;"No en catálogo",S261&lt;&gt;"",T261&lt;&gt;"",U261&lt;&gt;"",V261&lt;&gt;"",OR(AR261&lt;&gt;"",AND(W261&lt;&gt;"",X261&lt;&gt;"",AA261&lt;&gt;"",AB261&lt;&gt;"")),OR(AS261&lt;&gt;"",AND(AD261&lt;&gt;"",AE261&lt;&gt;"",AH261&lt;&gt;"",AI261&lt;&gt;"")),AK261&lt;&gt;"",OR(AK261&lt;&gt;"programado",AL261&lt;&gt;""),OR(AM261&lt;&gt;"específica",AN261&lt;&gt;""),OR(AO261&lt;&gt;"específica",AP261&lt;&gt;"")),"OK","Revisar"))</f>
        <v/>
      </c>
    </row>
    <row r="262" ht="15" customHeight="1" spans="1:46" x14ac:dyDescent="0.25">
      <c r="A262" s="15"/>
      <c r="B262" s="15"/>
      <c r="C262" s="15"/>
      <c r="D262" s="15"/>
      <c r="E262" s="15"/>
      <c r="F262" s="15"/>
      <c r="G262" s="15"/>
      <c r="H262" s="15"/>
      <c r="I262" s="15"/>
      <c r="J262" s="19">
        <f>IF(OR(H262="",I262=""),"",IFERROR(INDEX(Catalogo_Vehiculos!$C$2:$C$1325,MATCH(TRUE(),INDEX(Catalogo_Vehiculos!$G$2:$G$1325=H262&amp;"|"&amp;I262,0),0)),"No en catálogo"))</f>
      </c>
      <c r="K262" s="19">
        <f>IF(OR(H262="",I262=""),"",IFERROR(INDEX(Catalogo_Vehiculos!$D$2:$D$1325,MATCH(TRUE(),INDEX(Catalogo_Vehiculos!$G$2:$G$1325=H262&amp;"|"&amp;I262,0),0)),"No en catálogo"))</f>
      </c>
      <c r="L262" s="19">
        <f>IF(OR(H262="",I262=""),"",IFERROR(INDEX(Catalogo_Vehiculos!$E$2:$E$1325,MATCH(TRUE(),INDEX(Catalogo_Vehiculos!$G$2:$G$1325=H262&amp;"|"&amp;I262,0),0)),"No en catálogo"))</f>
      </c>
      <c r="M262" s="19">
        <f>IF(OR(H262="",I262=""),"",IFERROR(INDEX(Catalogo_Vehiculos!$F$2:$F$1325,MATCH(TRUE(),INDEX(Catalogo_Vehiculos!$G$2:$G$1325=H262&amp;"|"&amp;I262,0),0)),"No en catálogo"))</f>
      </c>
      <c r="N262" s="20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9"/>
      <c r="Z262" s="19"/>
      <c r="AA262" s="15"/>
      <c r="AB262" s="15"/>
      <c r="AC262" s="15"/>
      <c r="AD262" s="15"/>
      <c r="AE262" s="15"/>
      <c r="AF262" s="19"/>
      <c r="AG262" s="19"/>
      <c r="AH262" s="15"/>
      <c r="AI262" s="15"/>
      <c r="AJ262" s="15"/>
      <c r="AK262" s="15"/>
      <c r="AL262" s="21"/>
      <c r="AM262" s="15"/>
      <c r="AN262" s="15"/>
      <c r="AO262" s="15"/>
      <c r="AP262" s="15"/>
      <c r="AQ262" s="15"/>
      <c r="AR262" s="15"/>
      <c r="AS262" s="15"/>
      <c r="AT262" s="19" t="str">
        <f>IF(COUNTA(A262:I262)+COUNTA(N262:X262)+COUNTA(AA262:AE262)+COUNTA(AH262:AS262)=0,"",IF(AND(A262&lt;&gt;"",E262&lt;&gt;"",OR(F262&lt;&gt;"",G262&lt;&gt;""),H262&lt;&gt;"",I262&lt;&gt;"",J262&lt;&gt;"No en catálogo",S262&lt;&gt;"",T262&lt;&gt;"",U262&lt;&gt;"",V262&lt;&gt;"",OR(AR262&lt;&gt;"",AND(W262&lt;&gt;"",X262&lt;&gt;"",AA262&lt;&gt;"",AB262&lt;&gt;"")),OR(AS262&lt;&gt;"",AND(AD262&lt;&gt;"",AE262&lt;&gt;"",AH262&lt;&gt;"",AI262&lt;&gt;"")),AK262&lt;&gt;"",OR(AK262&lt;&gt;"programado",AL262&lt;&gt;""),OR(AM262&lt;&gt;"específica",AN262&lt;&gt;""),OR(AO262&lt;&gt;"específica",AP262&lt;&gt;"")),"OK","Revisar"))</f>
        <v/>
      </c>
    </row>
    <row r="263" ht="15" customHeight="1" spans="1:46" x14ac:dyDescent="0.25">
      <c r="A263" s="15"/>
      <c r="B263" s="15"/>
      <c r="C263" s="15"/>
      <c r="D263" s="15"/>
      <c r="E263" s="15"/>
      <c r="F263" s="15"/>
      <c r="G263" s="15"/>
      <c r="H263" s="15"/>
      <c r="I263" s="15"/>
      <c r="J263" s="19">
        <f>IF(OR(H263="",I263=""),"",IFERROR(INDEX(Catalogo_Vehiculos!$C$2:$C$1325,MATCH(TRUE(),INDEX(Catalogo_Vehiculos!$G$2:$G$1325=H263&amp;"|"&amp;I263,0),0)),"No en catálogo"))</f>
      </c>
      <c r="K263" s="19">
        <f>IF(OR(H263="",I263=""),"",IFERROR(INDEX(Catalogo_Vehiculos!$D$2:$D$1325,MATCH(TRUE(),INDEX(Catalogo_Vehiculos!$G$2:$G$1325=H263&amp;"|"&amp;I263,0),0)),"No en catálogo"))</f>
      </c>
      <c r="L263" s="19">
        <f>IF(OR(H263="",I263=""),"",IFERROR(INDEX(Catalogo_Vehiculos!$E$2:$E$1325,MATCH(TRUE(),INDEX(Catalogo_Vehiculos!$G$2:$G$1325=H263&amp;"|"&amp;I263,0),0)),"No en catálogo"))</f>
      </c>
      <c r="M263" s="19">
        <f>IF(OR(H263="",I263=""),"",IFERROR(INDEX(Catalogo_Vehiculos!$F$2:$F$1325,MATCH(TRUE(),INDEX(Catalogo_Vehiculos!$G$2:$G$1325=H263&amp;"|"&amp;I263,0),0)),"No en catálogo"))</f>
      </c>
      <c r="N263" s="20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9"/>
      <c r="Z263" s="19"/>
      <c r="AA263" s="15"/>
      <c r="AB263" s="15"/>
      <c r="AC263" s="15"/>
      <c r="AD263" s="15"/>
      <c r="AE263" s="15"/>
      <c r="AF263" s="19"/>
      <c r="AG263" s="19"/>
      <c r="AH263" s="15"/>
      <c r="AI263" s="15"/>
      <c r="AJ263" s="15"/>
      <c r="AK263" s="15"/>
      <c r="AL263" s="21"/>
      <c r="AM263" s="15"/>
      <c r="AN263" s="15"/>
      <c r="AO263" s="15"/>
      <c r="AP263" s="15"/>
      <c r="AQ263" s="15"/>
      <c r="AR263" s="15"/>
      <c r="AS263" s="15"/>
      <c r="AT263" s="19" t="str">
        <f>IF(COUNTA(A263:I263)+COUNTA(N263:X263)+COUNTA(AA263:AE263)+COUNTA(AH263:AS263)=0,"",IF(AND(A263&lt;&gt;"",E263&lt;&gt;"",OR(F263&lt;&gt;"",G263&lt;&gt;""),H263&lt;&gt;"",I263&lt;&gt;"",J263&lt;&gt;"No en catálogo",S263&lt;&gt;"",T263&lt;&gt;"",U263&lt;&gt;"",V263&lt;&gt;"",OR(AR263&lt;&gt;"",AND(W263&lt;&gt;"",X263&lt;&gt;"",AA263&lt;&gt;"",AB263&lt;&gt;"")),OR(AS263&lt;&gt;"",AND(AD263&lt;&gt;"",AE263&lt;&gt;"",AH263&lt;&gt;"",AI263&lt;&gt;"")),AK263&lt;&gt;"",OR(AK263&lt;&gt;"programado",AL263&lt;&gt;""),OR(AM263&lt;&gt;"específica",AN263&lt;&gt;""),OR(AO263&lt;&gt;"específica",AP263&lt;&gt;"")),"OK","Revisar"))</f>
        <v/>
      </c>
    </row>
    <row r="264" ht="15" customHeight="1" spans="1:46" x14ac:dyDescent="0.25">
      <c r="A264" s="15"/>
      <c r="B264" s="15"/>
      <c r="C264" s="15"/>
      <c r="D264" s="15"/>
      <c r="E264" s="15"/>
      <c r="F264" s="15"/>
      <c r="G264" s="15"/>
      <c r="H264" s="15"/>
      <c r="I264" s="15"/>
      <c r="J264" s="19">
        <f>IF(OR(H264="",I264=""),"",IFERROR(INDEX(Catalogo_Vehiculos!$C$2:$C$1325,MATCH(TRUE(),INDEX(Catalogo_Vehiculos!$G$2:$G$1325=H264&amp;"|"&amp;I264,0),0)),"No en catálogo"))</f>
      </c>
      <c r="K264" s="19">
        <f>IF(OR(H264="",I264=""),"",IFERROR(INDEX(Catalogo_Vehiculos!$D$2:$D$1325,MATCH(TRUE(),INDEX(Catalogo_Vehiculos!$G$2:$G$1325=H264&amp;"|"&amp;I264,0),0)),"No en catálogo"))</f>
      </c>
      <c r="L264" s="19">
        <f>IF(OR(H264="",I264=""),"",IFERROR(INDEX(Catalogo_Vehiculos!$E$2:$E$1325,MATCH(TRUE(),INDEX(Catalogo_Vehiculos!$G$2:$G$1325=H264&amp;"|"&amp;I264,0),0)),"No en catálogo"))</f>
      </c>
      <c r="M264" s="19">
        <f>IF(OR(H264="",I264=""),"",IFERROR(INDEX(Catalogo_Vehiculos!$F$2:$F$1325,MATCH(TRUE(),INDEX(Catalogo_Vehiculos!$G$2:$G$1325=H264&amp;"|"&amp;I264,0),0)),"No en catálogo"))</f>
      </c>
      <c r="N264" s="20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9"/>
      <c r="Z264" s="19"/>
      <c r="AA264" s="15"/>
      <c r="AB264" s="15"/>
      <c r="AC264" s="15"/>
      <c r="AD264" s="15"/>
      <c r="AE264" s="15"/>
      <c r="AF264" s="19"/>
      <c r="AG264" s="19"/>
      <c r="AH264" s="15"/>
      <c r="AI264" s="15"/>
      <c r="AJ264" s="15"/>
      <c r="AK264" s="15"/>
      <c r="AL264" s="21"/>
      <c r="AM264" s="15"/>
      <c r="AN264" s="15"/>
      <c r="AO264" s="15"/>
      <c r="AP264" s="15"/>
      <c r="AQ264" s="15"/>
      <c r="AR264" s="15"/>
      <c r="AS264" s="15"/>
      <c r="AT264" s="19" t="str">
        <f>IF(COUNTA(A264:I264)+COUNTA(N264:X264)+COUNTA(AA264:AE264)+COUNTA(AH264:AS264)=0,"",IF(AND(A264&lt;&gt;"",E264&lt;&gt;"",OR(F264&lt;&gt;"",G264&lt;&gt;""),H264&lt;&gt;"",I264&lt;&gt;"",J264&lt;&gt;"No en catálogo",S264&lt;&gt;"",T264&lt;&gt;"",U264&lt;&gt;"",V264&lt;&gt;"",OR(AR264&lt;&gt;"",AND(W264&lt;&gt;"",X264&lt;&gt;"",AA264&lt;&gt;"",AB264&lt;&gt;"")),OR(AS264&lt;&gt;"",AND(AD264&lt;&gt;"",AE264&lt;&gt;"",AH264&lt;&gt;"",AI264&lt;&gt;"")),AK264&lt;&gt;"",OR(AK264&lt;&gt;"programado",AL264&lt;&gt;""),OR(AM264&lt;&gt;"específica",AN264&lt;&gt;""),OR(AO264&lt;&gt;"específica",AP264&lt;&gt;"")),"OK","Revisar"))</f>
        <v/>
      </c>
    </row>
    <row r="265" ht="15" customHeight="1" spans="1:46" x14ac:dyDescent="0.25">
      <c r="A265" s="15"/>
      <c r="B265" s="15"/>
      <c r="C265" s="15"/>
      <c r="D265" s="15"/>
      <c r="E265" s="15"/>
      <c r="F265" s="15"/>
      <c r="G265" s="15"/>
      <c r="H265" s="15"/>
      <c r="I265" s="15"/>
      <c r="J265" s="19">
        <f>IF(OR(H265="",I265=""),"",IFERROR(INDEX(Catalogo_Vehiculos!$C$2:$C$1325,MATCH(TRUE(),INDEX(Catalogo_Vehiculos!$G$2:$G$1325=H265&amp;"|"&amp;I265,0),0)),"No en catálogo"))</f>
      </c>
      <c r="K265" s="19">
        <f>IF(OR(H265="",I265=""),"",IFERROR(INDEX(Catalogo_Vehiculos!$D$2:$D$1325,MATCH(TRUE(),INDEX(Catalogo_Vehiculos!$G$2:$G$1325=H265&amp;"|"&amp;I265,0),0)),"No en catálogo"))</f>
      </c>
      <c r="L265" s="19">
        <f>IF(OR(H265="",I265=""),"",IFERROR(INDEX(Catalogo_Vehiculos!$E$2:$E$1325,MATCH(TRUE(),INDEX(Catalogo_Vehiculos!$G$2:$G$1325=H265&amp;"|"&amp;I265,0),0)),"No en catálogo"))</f>
      </c>
      <c r="M265" s="19">
        <f>IF(OR(H265="",I265=""),"",IFERROR(INDEX(Catalogo_Vehiculos!$F$2:$F$1325,MATCH(TRUE(),INDEX(Catalogo_Vehiculos!$G$2:$G$1325=H265&amp;"|"&amp;I265,0),0)),"No en catálogo"))</f>
      </c>
      <c r="N265" s="20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9"/>
      <c r="Z265" s="19"/>
      <c r="AA265" s="15"/>
      <c r="AB265" s="15"/>
      <c r="AC265" s="15"/>
      <c r="AD265" s="15"/>
      <c r="AE265" s="15"/>
      <c r="AF265" s="19"/>
      <c r="AG265" s="19"/>
      <c r="AH265" s="15"/>
      <c r="AI265" s="15"/>
      <c r="AJ265" s="15"/>
      <c r="AK265" s="15"/>
      <c r="AL265" s="21"/>
      <c r="AM265" s="15"/>
      <c r="AN265" s="15"/>
      <c r="AO265" s="15"/>
      <c r="AP265" s="15"/>
      <c r="AQ265" s="15"/>
      <c r="AR265" s="15"/>
      <c r="AS265" s="15"/>
      <c r="AT265" s="19" t="str">
        <f>IF(COUNTA(A265:I265)+COUNTA(N265:X265)+COUNTA(AA265:AE265)+COUNTA(AH265:AS265)=0,"",IF(AND(A265&lt;&gt;"",E265&lt;&gt;"",OR(F265&lt;&gt;"",G265&lt;&gt;""),H265&lt;&gt;"",I265&lt;&gt;"",J265&lt;&gt;"No en catálogo",S265&lt;&gt;"",T265&lt;&gt;"",U265&lt;&gt;"",V265&lt;&gt;"",OR(AR265&lt;&gt;"",AND(W265&lt;&gt;"",X265&lt;&gt;"",AA265&lt;&gt;"",AB265&lt;&gt;"")),OR(AS265&lt;&gt;"",AND(AD265&lt;&gt;"",AE265&lt;&gt;"",AH265&lt;&gt;"",AI265&lt;&gt;"")),AK265&lt;&gt;"",OR(AK265&lt;&gt;"programado",AL265&lt;&gt;""),OR(AM265&lt;&gt;"específica",AN265&lt;&gt;""),OR(AO265&lt;&gt;"específica",AP265&lt;&gt;"")),"OK","Revisar"))</f>
        <v/>
      </c>
    </row>
    <row r="266" ht="15" customHeight="1" spans="1:46" x14ac:dyDescent="0.25">
      <c r="A266" s="15"/>
      <c r="B266" s="15"/>
      <c r="C266" s="15"/>
      <c r="D266" s="15"/>
      <c r="E266" s="15"/>
      <c r="F266" s="15"/>
      <c r="G266" s="15"/>
      <c r="H266" s="15"/>
      <c r="I266" s="15"/>
      <c r="J266" s="19">
        <f>IF(OR(H266="",I266=""),"",IFERROR(INDEX(Catalogo_Vehiculos!$C$2:$C$1325,MATCH(TRUE(),INDEX(Catalogo_Vehiculos!$G$2:$G$1325=H266&amp;"|"&amp;I266,0),0)),"No en catálogo"))</f>
      </c>
      <c r="K266" s="19">
        <f>IF(OR(H266="",I266=""),"",IFERROR(INDEX(Catalogo_Vehiculos!$D$2:$D$1325,MATCH(TRUE(),INDEX(Catalogo_Vehiculos!$G$2:$G$1325=H266&amp;"|"&amp;I266,0),0)),"No en catálogo"))</f>
      </c>
      <c r="L266" s="19">
        <f>IF(OR(H266="",I266=""),"",IFERROR(INDEX(Catalogo_Vehiculos!$E$2:$E$1325,MATCH(TRUE(),INDEX(Catalogo_Vehiculos!$G$2:$G$1325=H266&amp;"|"&amp;I266,0),0)),"No en catálogo"))</f>
      </c>
      <c r="M266" s="19">
        <f>IF(OR(H266="",I266=""),"",IFERROR(INDEX(Catalogo_Vehiculos!$F$2:$F$1325,MATCH(TRUE(),INDEX(Catalogo_Vehiculos!$G$2:$G$1325=H266&amp;"|"&amp;I266,0),0)),"No en catálogo"))</f>
      </c>
      <c r="N266" s="20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9"/>
      <c r="Z266" s="19"/>
      <c r="AA266" s="15"/>
      <c r="AB266" s="15"/>
      <c r="AC266" s="15"/>
      <c r="AD266" s="15"/>
      <c r="AE266" s="15"/>
      <c r="AF266" s="19"/>
      <c r="AG266" s="19"/>
      <c r="AH266" s="15"/>
      <c r="AI266" s="15"/>
      <c r="AJ266" s="15"/>
      <c r="AK266" s="15"/>
      <c r="AL266" s="21"/>
      <c r="AM266" s="15"/>
      <c r="AN266" s="15"/>
      <c r="AO266" s="15"/>
      <c r="AP266" s="15"/>
      <c r="AQ266" s="15"/>
      <c r="AR266" s="15"/>
      <c r="AS266" s="15"/>
      <c r="AT266" s="19" t="str">
        <f>IF(COUNTA(A266:I266)+COUNTA(N266:X266)+COUNTA(AA266:AE266)+COUNTA(AH266:AS266)=0,"",IF(AND(A266&lt;&gt;"",E266&lt;&gt;"",OR(F266&lt;&gt;"",G266&lt;&gt;""),H266&lt;&gt;"",I266&lt;&gt;"",J266&lt;&gt;"No en catálogo",S266&lt;&gt;"",T266&lt;&gt;"",U266&lt;&gt;"",V266&lt;&gt;"",OR(AR266&lt;&gt;"",AND(W266&lt;&gt;"",X266&lt;&gt;"",AA266&lt;&gt;"",AB266&lt;&gt;"")),OR(AS266&lt;&gt;"",AND(AD266&lt;&gt;"",AE266&lt;&gt;"",AH266&lt;&gt;"",AI266&lt;&gt;"")),AK266&lt;&gt;"",OR(AK266&lt;&gt;"programado",AL266&lt;&gt;""),OR(AM266&lt;&gt;"específica",AN266&lt;&gt;""),OR(AO266&lt;&gt;"específica",AP266&lt;&gt;"")),"OK","Revisar"))</f>
        <v/>
      </c>
    </row>
    <row r="267" ht="15" customHeight="1" spans="1:46" x14ac:dyDescent="0.25">
      <c r="A267" s="15"/>
      <c r="B267" s="15"/>
      <c r="C267" s="15"/>
      <c r="D267" s="15"/>
      <c r="E267" s="15"/>
      <c r="F267" s="15"/>
      <c r="G267" s="15"/>
      <c r="H267" s="15"/>
      <c r="I267" s="15"/>
      <c r="J267" s="19">
        <f>IF(OR(H267="",I267=""),"",IFERROR(INDEX(Catalogo_Vehiculos!$C$2:$C$1325,MATCH(TRUE(),INDEX(Catalogo_Vehiculos!$G$2:$G$1325=H267&amp;"|"&amp;I267,0),0)),"No en catálogo"))</f>
      </c>
      <c r="K267" s="19">
        <f>IF(OR(H267="",I267=""),"",IFERROR(INDEX(Catalogo_Vehiculos!$D$2:$D$1325,MATCH(TRUE(),INDEX(Catalogo_Vehiculos!$G$2:$G$1325=H267&amp;"|"&amp;I267,0),0)),"No en catálogo"))</f>
      </c>
      <c r="L267" s="19">
        <f>IF(OR(H267="",I267=""),"",IFERROR(INDEX(Catalogo_Vehiculos!$E$2:$E$1325,MATCH(TRUE(),INDEX(Catalogo_Vehiculos!$G$2:$G$1325=H267&amp;"|"&amp;I267,0),0)),"No en catálogo"))</f>
      </c>
      <c r="M267" s="19">
        <f>IF(OR(H267="",I267=""),"",IFERROR(INDEX(Catalogo_Vehiculos!$F$2:$F$1325,MATCH(TRUE(),INDEX(Catalogo_Vehiculos!$G$2:$G$1325=H267&amp;"|"&amp;I267,0),0)),"No en catálogo"))</f>
      </c>
      <c r="N267" s="20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9"/>
      <c r="Z267" s="19"/>
      <c r="AA267" s="15"/>
      <c r="AB267" s="15"/>
      <c r="AC267" s="15"/>
      <c r="AD267" s="15"/>
      <c r="AE267" s="15"/>
      <c r="AF267" s="19"/>
      <c r="AG267" s="19"/>
      <c r="AH267" s="15"/>
      <c r="AI267" s="15"/>
      <c r="AJ267" s="15"/>
      <c r="AK267" s="15"/>
      <c r="AL267" s="21"/>
      <c r="AM267" s="15"/>
      <c r="AN267" s="15"/>
      <c r="AO267" s="15"/>
      <c r="AP267" s="15"/>
      <c r="AQ267" s="15"/>
      <c r="AR267" s="15"/>
      <c r="AS267" s="15"/>
      <c r="AT267" s="19" t="str">
        <f>IF(COUNTA(A267:I267)+COUNTA(N267:X267)+COUNTA(AA267:AE267)+COUNTA(AH267:AS267)=0,"",IF(AND(A267&lt;&gt;"",E267&lt;&gt;"",OR(F267&lt;&gt;"",G267&lt;&gt;""),H267&lt;&gt;"",I267&lt;&gt;"",J267&lt;&gt;"No en catálogo",S267&lt;&gt;"",T267&lt;&gt;"",U267&lt;&gt;"",V267&lt;&gt;"",OR(AR267&lt;&gt;"",AND(W267&lt;&gt;"",X267&lt;&gt;"",AA267&lt;&gt;"",AB267&lt;&gt;"")),OR(AS267&lt;&gt;"",AND(AD267&lt;&gt;"",AE267&lt;&gt;"",AH267&lt;&gt;"",AI267&lt;&gt;"")),AK267&lt;&gt;"",OR(AK267&lt;&gt;"programado",AL267&lt;&gt;""),OR(AM267&lt;&gt;"específica",AN267&lt;&gt;""),OR(AO267&lt;&gt;"específica",AP267&lt;&gt;"")),"OK","Revisar"))</f>
        <v/>
      </c>
    </row>
    <row r="268" ht="15" customHeight="1" spans="1:46" x14ac:dyDescent="0.25">
      <c r="A268" s="15"/>
      <c r="B268" s="15"/>
      <c r="C268" s="15"/>
      <c r="D268" s="15"/>
      <c r="E268" s="15"/>
      <c r="F268" s="15"/>
      <c r="G268" s="15"/>
      <c r="H268" s="15"/>
      <c r="I268" s="15"/>
      <c r="J268" s="19">
        <f>IF(OR(H268="",I268=""),"",IFERROR(INDEX(Catalogo_Vehiculos!$C$2:$C$1325,MATCH(TRUE(),INDEX(Catalogo_Vehiculos!$G$2:$G$1325=H268&amp;"|"&amp;I268,0),0)),"No en catálogo"))</f>
      </c>
      <c r="K268" s="19">
        <f>IF(OR(H268="",I268=""),"",IFERROR(INDEX(Catalogo_Vehiculos!$D$2:$D$1325,MATCH(TRUE(),INDEX(Catalogo_Vehiculos!$G$2:$G$1325=H268&amp;"|"&amp;I268,0),0)),"No en catálogo"))</f>
      </c>
      <c r="L268" s="19">
        <f>IF(OR(H268="",I268=""),"",IFERROR(INDEX(Catalogo_Vehiculos!$E$2:$E$1325,MATCH(TRUE(),INDEX(Catalogo_Vehiculos!$G$2:$G$1325=H268&amp;"|"&amp;I268,0),0)),"No en catálogo"))</f>
      </c>
      <c r="M268" s="19">
        <f>IF(OR(H268="",I268=""),"",IFERROR(INDEX(Catalogo_Vehiculos!$F$2:$F$1325,MATCH(TRUE(),INDEX(Catalogo_Vehiculos!$G$2:$G$1325=H268&amp;"|"&amp;I268,0),0)),"No en catálogo"))</f>
      </c>
      <c r="N268" s="20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9"/>
      <c r="Z268" s="19"/>
      <c r="AA268" s="15"/>
      <c r="AB268" s="15"/>
      <c r="AC268" s="15"/>
      <c r="AD268" s="15"/>
      <c r="AE268" s="15"/>
      <c r="AF268" s="19"/>
      <c r="AG268" s="19"/>
      <c r="AH268" s="15"/>
      <c r="AI268" s="15"/>
      <c r="AJ268" s="15"/>
      <c r="AK268" s="15"/>
      <c r="AL268" s="21"/>
      <c r="AM268" s="15"/>
      <c r="AN268" s="15"/>
      <c r="AO268" s="15"/>
      <c r="AP268" s="15"/>
      <c r="AQ268" s="15"/>
      <c r="AR268" s="15"/>
      <c r="AS268" s="15"/>
      <c r="AT268" s="19" t="str">
        <f>IF(COUNTA(A268:I268)+COUNTA(N268:X268)+COUNTA(AA268:AE268)+COUNTA(AH268:AS268)=0,"",IF(AND(A268&lt;&gt;"",E268&lt;&gt;"",OR(F268&lt;&gt;"",G268&lt;&gt;""),H268&lt;&gt;"",I268&lt;&gt;"",J268&lt;&gt;"No en catálogo",S268&lt;&gt;"",T268&lt;&gt;"",U268&lt;&gt;"",V268&lt;&gt;"",OR(AR268&lt;&gt;"",AND(W268&lt;&gt;"",X268&lt;&gt;"",AA268&lt;&gt;"",AB268&lt;&gt;"")),OR(AS268&lt;&gt;"",AND(AD268&lt;&gt;"",AE268&lt;&gt;"",AH268&lt;&gt;"",AI268&lt;&gt;"")),AK268&lt;&gt;"",OR(AK268&lt;&gt;"programado",AL268&lt;&gt;""),OR(AM268&lt;&gt;"específica",AN268&lt;&gt;""),OR(AO268&lt;&gt;"específica",AP268&lt;&gt;"")),"OK","Revisar"))</f>
        <v/>
      </c>
    </row>
    <row r="269" ht="15" customHeight="1" spans="1:46" x14ac:dyDescent="0.25">
      <c r="A269" s="15"/>
      <c r="B269" s="15"/>
      <c r="C269" s="15"/>
      <c r="D269" s="15"/>
      <c r="E269" s="15"/>
      <c r="F269" s="15"/>
      <c r="G269" s="15"/>
      <c r="H269" s="15"/>
      <c r="I269" s="15"/>
      <c r="J269" s="19">
        <f>IF(OR(H269="",I269=""),"",IFERROR(INDEX(Catalogo_Vehiculos!$C$2:$C$1325,MATCH(TRUE(),INDEX(Catalogo_Vehiculos!$G$2:$G$1325=H269&amp;"|"&amp;I269,0),0)),"No en catálogo"))</f>
      </c>
      <c r="K269" s="19">
        <f>IF(OR(H269="",I269=""),"",IFERROR(INDEX(Catalogo_Vehiculos!$D$2:$D$1325,MATCH(TRUE(),INDEX(Catalogo_Vehiculos!$G$2:$G$1325=H269&amp;"|"&amp;I269,0),0)),"No en catálogo"))</f>
      </c>
      <c r="L269" s="19">
        <f>IF(OR(H269="",I269=""),"",IFERROR(INDEX(Catalogo_Vehiculos!$E$2:$E$1325,MATCH(TRUE(),INDEX(Catalogo_Vehiculos!$G$2:$G$1325=H269&amp;"|"&amp;I269,0),0)),"No en catálogo"))</f>
      </c>
      <c r="M269" s="19">
        <f>IF(OR(H269="",I269=""),"",IFERROR(INDEX(Catalogo_Vehiculos!$F$2:$F$1325,MATCH(TRUE(),INDEX(Catalogo_Vehiculos!$G$2:$G$1325=H269&amp;"|"&amp;I269,0),0)),"No en catálogo"))</f>
      </c>
      <c r="N269" s="20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9"/>
      <c r="Z269" s="19"/>
      <c r="AA269" s="15"/>
      <c r="AB269" s="15"/>
      <c r="AC269" s="15"/>
      <c r="AD269" s="15"/>
      <c r="AE269" s="15"/>
      <c r="AF269" s="19"/>
      <c r="AG269" s="19"/>
      <c r="AH269" s="15"/>
      <c r="AI269" s="15"/>
      <c r="AJ269" s="15"/>
      <c r="AK269" s="15"/>
      <c r="AL269" s="21"/>
      <c r="AM269" s="15"/>
      <c r="AN269" s="15"/>
      <c r="AO269" s="15"/>
      <c r="AP269" s="15"/>
      <c r="AQ269" s="15"/>
      <c r="AR269" s="15"/>
      <c r="AS269" s="15"/>
      <c r="AT269" s="19" t="str">
        <f>IF(COUNTA(A269:I269)+COUNTA(N269:X269)+COUNTA(AA269:AE269)+COUNTA(AH269:AS269)=0,"",IF(AND(A269&lt;&gt;"",E269&lt;&gt;"",OR(F269&lt;&gt;"",G269&lt;&gt;""),H269&lt;&gt;"",I269&lt;&gt;"",J269&lt;&gt;"No en catálogo",S269&lt;&gt;"",T269&lt;&gt;"",U269&lt;&gt;"",V269&lt;&gt;"",OR(AR269&lt;&gt;"",AND(W269&lt;&gt;"",X269&lt;&gt;"",AA269&lt;&gt;"",AB269&lt;&gt;"")),OR(AS269&lt;&gt;"",AND(AD269&lt;&gt;"",AE269&lt;&gt;"",AH269&lt;&gt;"",AI269&lt;&gt;"")),AK269&lt;&gt;"",OR(AK269&lt;&gt;"programado",AL269&lt;&gt;""),OR(AM269&lt;&gt;"específica",AN269&lt;&gt;""),OR(AO269&lt;&gt;"específica",AP269&lt;&gt;"")),"OK","Revisar"))</f>
        <v/>
      </c>
    </row>
    <row r="270" ht="15" customHeight="1" spans="1:46" x14ac:dyDescent="0.25">
      <c r="A270" s="15"/>
      <c r="B270" s="15"/>
      <c r="C270" s="15"/>
      <c r="D270" s="15"/>
      <c r="E270" s="15"/>
      <c r="F270" s="15"/>
      <c r="G270" s="15"/>
      <c r="H270" s="15"/>
      <c r="I270" s="15"/>
      <c r="J270" s="19">
        <f>IF(OR(H270="",I270=""),"",IFERROR(INDEX(Catalogo_Vehiculos!$C$2:$C$1325,MATCH(TRUE(),INDEX(Catalogo_Vehiculos!$G$2:$G$1325=H270&amp;"|"&amp;I270,0),0)),"No en catálogo"))</f>
      </c>
      <c r="K270" s="19">
        <f>IF(OR(H270="",I270=""),"",IFERROR(INDEX(Catalogo_Vehiculos!$D$2:$D$1325,MATCH(TRUE(),INDEX(Catalogo_Vehiculos!$G$2:$G$1325=H270&amp;"|"&amp;I270,0),0)),"No en catálogo"))</f>
      </c>
      <c r="L270" s="19">
        <f>IF(OR(H270="",I270=""),"",IFERROR(INDEX(Catalogo_Vehiculos!$E$2:$E$1325,MATCH(TRUE(),INDEX(Catalogo_Vehiculos!$G$2:$G$1325=H270&amp;"|"&amp;I270,0),0)),"No en catálogo"))</f>
      </c>
      <c r="M270" s="19">
        <f>IF(OR(H270="",I270=""),"",IFERROR(INDEX(Catalogo_Vehiculos!$F$2:$F$1325,MATCH(TRUE(),INDEX(Catalogo_Vehiculos!$G$2:$G$1325=H270&amp;"|"&amp;I270,0),0)),"No en catálogo"))</f>
      </c>
      <c r="N270" s="20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9"/>
      <c r="Z270" s="19"/>
      <c r="AA270" s="15"/>
      <c r="AB270" s="15"/>
      <c r="AC270" s="15"/>
      <c r="AD270" s="15"/>
      <c r="AE270" s="15"/>
      <c r="AF270" s="19"/>
      <c r="AG270" s="19"/>
      <c r="AH270" s="15"/>
      <c r="AI270" s="15"/>
      <c r="AJ270" s="15"/>
      <c r="AK270" s="15"/>
      <c r="AL270" s="21"/>
      <c r="AM270" s="15"/>
      <c r="AN270" s="15"/>
      <c r="AO270" s="15"/>
      <c r="AP270" s="15"/>
      <c r="AQ270" s="15"/>
      <c r="AR270" s="15"/>
      <c r="AS270" s="15"/>
      <c r="AT270" s="19" t="str">
        <f>IF(COUNTA(A270:I270)+COUNTA(N270:X270)+COUNTA(AA270:AE270)+COUNTA(AH270:AS270)=0,"",IF(AND(A270&lt;&gt;"",E270&lt;&gt;"",OR(F270&lt;&gt;"",G270&lt;&gt;""),H270&lt;&gt;"",I270&lt;&gt;"",J270&lt;&gt;"No en catálogo",S270&lt;&gt;"",T270&lt;&gt;"",U270&lt;&gt;"",V270&lt;&gt;"",OR(AR270&lt;&gt;"",AND(W270&lt;&gt;"",X270&lt;&gt;"",AA270&lt;&gt;"",AB270&lt;&gt;"")),OR(AS270&lt;&gt;"",AND(AD270&lt;&gt;"",AE270&lt;&gt;"",AH270&lt;&gt;"",AI270&lt;&gt;"")),AK270&lt;&gt;"",OR(AK270&lt;&gt;"programado",AL270&lt;&gt;""),OR(AM270&lt;&gt;"específica",AN270&lt;&gt;""),OR(AO270&lt;&gt;"específica",AP270&lt;&gt;"")),"OK","Revisar"))</f>
        <v/>
      </c>
    </row>
    <row r="271" ht="15" customHeight="1" spans="1:46" x14ac:dyDescent="0.25">
      <c r="A271" s="15"/>
      <c r="B271" s="15"/>
      <c r="C271" s="15"/>
      <c r="D271" s="15"/>
      <c r="E271" s="15"/>
      <c r="F271" s="15"/>
      <c r="G271" s="15"/>
      <c r="H271" s="15"/>
      <c r="I271" s="15"/>
      <c r="J271" s="19">
        <f>IF(OR(H271="",I271=""),"",IFERROR(INDEX(Catalogo_Vehiculos!$C$2:$C$1325,MATCH(TRUE(),INDEX(Catalogo_Vehiculos!$G$2:$G$1325=H271&amp;"|"&amp;I271,0),0)),"No en catálogo"))</f>
      </c>
      <c r="K271" s="19">
        <f>IF(OR(H271="",I271=""),"",IFERROR(INDEX(Catalogo_Vehiculos!$D$2:$D$1325,MATCH(TRUE(),INDEX(Catalogo_Vehiculos!$G$2:$G$1325=H271&amp;"|"&amp;I271,0),0)),"No en catálogo"))</f>
      </c>
      <c r="L271" s="19">
        <f>IF(OR(H271="",I271=""),"",IFERROR(INDEX(Catalogo_Vehiculos!$E$2:$E$1325,MATCH(TRUE(),INDEX(Catalogo_Vehiculos!$G$2:$G$1325=H271&amp;"|"&amp;I271,0),0)),"No en catálogo"))</f>
      </c>
      <c r="M271" s="19">
        <f>IF(OR(H271="",I271=""),"",IFERROR(INDEX(Catalogo_Vehiculos!$F$2:$F$1325,MATCH(TRUE(),INDEX(Catalogo_Vehiculos!$G$2:$G$1325=H271&amp;"|"&amp;I271,0),0)),"No en catálogo"))</f>
      </c>
      <c r="N271" s="20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9"/>
      <c r="Z271" s="19"/>
      <c r="AA271" s="15"/>
      <c r="AB271" s="15"/>
      <c r="AC271" s="15"/>
      <c r="AD271" s="15"/>
      <c r="AE271" s="15"/>
      <c r="AF271" s="19"/>
      <c r="AG271" s="19"/>
      <c r="AH271" s="15"/>
      <c r="AI271" s="15"/>
      <c r="AJ271" s="15"/>
      <c r="AK271" s="15"/>
      <c r="AL271" s="21"/>
      <c r="AM271" s="15"/>
      <c r="AN271" s="15"/>
      <c r="AO271" s="15"/>
      <c r="AP271" s="15"/>
      <c r="AQ271" s="15"/>
      <c r="AR271" s="15"/>
      <c r="AS271" s="15"/>
      <c r="AT271" s="19" t="str">
        <f>IF(COUNTA(A271:I271)+COUNTA(N271:X271)+COUNTA(AA271:AE271)+COUNTA(AH271:AS271)=0,"",IF(AND(A271&lt;&gt;"",E271&lt;&gt;"",OR(F271&lt;&gt;"",G271&lt;&gt;""),H271&lt;&gt;"",I271&lt;&gt;"",J271&lt;&gt;"No en catálogo",S271&lt;&gt;"",T271&lt;&gt;"",U271&lt;&gt;"",V271&lt;&gt;"",OR(AR271&lt;&gt;"",AND(W271&lt;&gt;"",X271&lt;&gt;"",AA271&lt;&gt;"",AB271&lt;&gt;"")),OR(AS271&lt;&gt;"",AND(AD271&lt;&gt;"",AE271&lt;&gt;"",AH271&lt;&gt;"",AI271&lt;&gt;"")),AK271&lt;&gt;"",OR(AK271&lt;&gt;"programado",AL271&lt;&gt;""),OR(AM271&lt;&gt;"específica",AN271&lt;&gt;""),OR(AO271&lt;&gt;"específica",AP271&lt;&gt;"")),"OK","Revisar"))</f>
        <v/>
      </c>
    </row>
    <row r="272" ht="15" customHeight="1" spans="1:46" x14ac:dyDescent="0.25">
      <c r="A272" s="15"/>
      <c r="B272" s="15"/>
      <c r="C272" s="15"/>
      <c r="D272" s="15"/>
      <c r="E272" s="15"/>
      <c r="F272" s="15"/>
      <c r="G272" s="15"/>
      <c r="H272" s="15"/>
      <c r="I272" s="15"/>
      <c r="J272" s="19">
        <f>IF(OR(H272="",I272=""),"",IFERROR(INDEX(Catalogo_Vehiculos!$C$2:$C$1325,MATCH(TRUE(),INDEX(Catalogo_Vehiculos!$G$2:$G$1325=H272&amp;"|"&amp;I272,0),0)),"No en catálogo"))</f>
      </c>
      <c r="K272" s="19">
        <f>IF(OR(H272="",I272=""),"",IFERROR(INDEX(Catalogo_Vehiculos!$D$2:$D$1325,MATCH(TRUE(),INDEX(Catalogo_Vehiculos!$G$2:$G$1325=H272&amp;"|"&amp;I272,0),0)),"No en catálogo"))</f>
      </c>
      <c r="L272" s="19">
        <f>IF(OR(H272="",I272=""),"",IFERROR(INDEX(Catalogo_Vehiculos!$E$2:$E$1325,MATCH(TRUE(),INDEX(Catalogo_Vehiculos!$G$2:$G$1325=H272&amp;"|"&amp;I272,0),0)),"No en catálogo"))</f>
      </c>
      <c r="M272" s="19">
        <f>IF(OR(H272="",I272=""),"",IFERROR(INDEX(Catalogo_Vehiculos!$F$2:$F$1325,MATCH(TRUE(),INDEX(Catalogo_Vehiculos!$G$2:$G$1325=H272&amp;"|"&amp;I272,0),0)),"No en catálogo"))</f>
      </c>
      <c r="N272" s="20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9"/>
      <c r="Z272" s="19"/>
      <c r="AA272" s="15"/>
      <c r="AB272" s="15"/>
      <c r="AC272" s="15"/>
      <c r="AD272" s="15"/>
      <c r="AE272" s="15"/>
      <c r="AF272" s="19"/>
      <c r="AG272" s="19"/>
      <c r="AH272" s="15"/>
      <c r="AI272" s="15"/>
      <c r="AJ272" s="15"/>
      <c r="AK272" s="15"/>
      <c r="AL272" s="21"/>
      <c r="AM272" s="15"/>
      <c r="AN272" s="15"/>
      <c r="AO272" s="15"/>
      <c r="AP272" s="15"/>
      <c r="AQ272" s="15"/>
      <c r="AR272" s="15"/>
      <c r="AS272" s="15"/>
      <c r="AT272" s="19" t="str">
        <f>IF(COUNTA(A272:I272)+COUNTA(N272:X272)+COUNTA(AA272:AE272)+COUNTA(AH272:AS272)=0,"",IF(AND(A272&lt;&gt;"",E272&lt;&gt;"",OR(F272&lt;&gt;"",G272&lt;&gt;""),H272&lt;&gt;"",I272&lt;&gt;"",J272&lt;&gt;"No en catálogo",S272&lt;&gt;"",T272&lt;&gt;"",U272&lt;&gt;"",V272&lt;&gt;"",OR(AR272&lt;&gt;"",AND(W272&lt;&gt;"",X272&lt;&gt;"",AA272&lt;&gt;"",AB272&lt;&gt;"")),OR(AS272&lt;&gt;"",AND(AD272&lt;&gt;"",AE272&lt;&gt;"",AH272&lt;&gt;"",AI272&lt;&gt;"")),AK272&lt;&gt;"",OR(AK272&lt;&gt;"programado",AL272&lt;&gt;""),OR(AM272&lt;&gt;"específica",AN272&lt;&gt;""),OR(AO272&lt;&gt;"específica",AP272&lt;&gt;"")),"OK","Revisar"))</f>
        <v/>
      </c>
    </row>
    <row r="273" ht="15" customHeight="1" spans="1:46" x14ac:dyDescent="0.25">
      <c r="A273" s="15"/>
      <c r="B273" s="15"/>
      <c r="C273" s="15"/>
      <c r="D273" s="15"/>
      <c r="E273" s="15"/>
      <c r="F273" s="15"/>
      <c r="G273" s="15"/>
      <c r="H273" s="15"/>
      <c r="I273" s="15"/>
      <c r="J273" s="19">
        <f>IF(OR(H273="",I273=""),"",IFERROR(INDEX(Catalogo_Vehiculos!$C$2:$C$1325,MATCH(TRUE(),INDEX(Catalogo_Vehiculos!$G$2:$G$1325=H273&amp;"|"&amp;I273,0),0)),"No en catálogo"))</f>
      </c>
      <c r="K273" s="19">
        <f>IF(OR(H273="",I273=""),"",IFERROR(INDEX(Catalogo_Vehiculos!$D$2:$D$1325,MATCH(TRUE(),INDEX(Catalogo_Vehiculos!$G$2:$G$1325=H273&amp;"|"&amp;I273,0),0)),"No en catálogo"))</f>
      </c>
      <c r="L273" s="19">
        <f>IF(OR(H273="",I273=""),"",IFERROR(INDEX(Catalogo_Vehiculos!$E$2:$E$1325,MATCH(TRUE(),INDEX(Catalogo_Vehiculos!$G$2:$G$1325=H273&amp;"|"&amp;I273,0),0)),"No en catálogo"))</f>
      </c>
      <c r="M273" s="19">
        <f>IF(OR(H273="",I273=""),"",IFERROR(INDEX(Catalogo_Vehiculos!$F$2:$F$1325,MATCH(TRUE(),INDEX(Catalogo_Vehiculos!$G$2:$G$1325=H273&amp;"|"&amp;I273,0),0)),"No en catálogo"))</f>
      </c>
      <c r="N273" s="20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9"/>
      <c r="Z273" s="19"/>
      <c r="AA273" s="15"/>
      <c r="AB273" s="15"/>
      <c r="AC273" s="15"/>
      <c r="AD273" s="15"/>
      <c r="AE273" s="15"/>
      <c r="AF273" s="19"/>
      <c r="AG273" s="19"/>
      <c r="AH273" s="15"/>
      <c r="AI273" s="15"/>
      <c r="AJ273" s="15"/>
      <c r="AK273" s="15"/>
      <c r="AL273" s="21"/>
      <c r="AM273" s="15"/>
      <c r="AN273" s="15"/>
      <c r="AO273" s="15"/>
      <c r="AP273" s="15"/>
      <c r="AQ273" s="15"/>
      <c r="AR273" s="15"/>
      <c r="AS273" s="15"/>
      <c r="AT273" s="19" t="str">
        <f>IF(COUNTA(A273:I273)+COUNTA(N273:X273)+COUNTA(AA273:AE273)+COUNTA(AH273:AS273)=0,"",IF(AND(A273&lt;&gt;"",E273&lt;&gt;"",OR(F273&lt;&gt;"",G273&lt;&gt;""),H273&lt;&gt;"",I273&lt;&gt;"",J273&lt;&gt;"No en catálogo",S273&lt;&gt;"",T273&lt;&gt;"",U273&lt;&gt;"",V273&lt;&gt;"",OR(AR273&lt;&gt;"",AND(W273&lt;&gt;"",X273&lt;&gt;"",AA273&lt;&gt;"",AB273&lt;&gt;"")),OR(AS273&lt;&gt;"",AND(AD273&lt;&gt;"",AE273&lt;&gt;"",AH273&lt;&gt;"",AI273&lt;&gt;"")),AK273&lt;&gt;"",OR(AK273&lt;&gt;"programado",AL273&lt;&gt;""),OR(AM273&lt;&gt;"específica",AN273&lt;&gt;""),OR(AO273&lt;&gt;"específica",AP273&lt;&gt;"")),"OK","Revisar"))</f>
        <v/>
      </c>
    </row>
    <row r="274" ht="15" customHeight="1" spans="1:46" x14ac:dyDescent="0.25">
      <c r="A274" s="15"/>
      <c r="B274" s="15"/>
      <c r="C274" s="15"/>
      <c r="D274" s="15"/>
      <c r="E274" s="15"/>
      <c r="F274" s="15"/>
      <c r="G274" s="15"/>
      <c r="H274" s="15"/>
      <c r="I274" s="15"/>
      <c r="J274" s="19">
        <f>IF(OR(H274="",I274=""),"",IFERROR(INDEX(Catalogo_Vehiculos!$C$2:$C$1325,MATCH(TRUE(),INDEX(Catalogo_Vehiculos!$G$2:$G$1325=H274&amp;"|"&amp;I274,0),0)),"No en catálogo"))</f>
      </c>
      <c r="K274" s="19">
        <f>IF(OR(H274="",I274=""),"",IFERROR(INDEX(Catalogo_Vehiculos!$D$2:$D$1325,MATCH(TRUE(),INDEX(Catalogo_Vehiculos!$G$2:$G$1325=H274&amp;"|"&amp;I274,0),0)),"No en catálogo"))</f>
      </c>
      <c r="L274" s="19">
        <f>IF(OR(H274="",I274=""),"",IFERROR(INDEX(Catalogo_Vehiculos!$E$2:$E$1325,MATCH(TRUE(),INDEX(Catalogo_Vehiculos!$G$2:$G$1325=H274&amp;"|"&amp;I274,0),0)),"No en catálogo"))</f>
      </c>
      <c r="M274" s="19">
        <f>IF(OR(H274="",I274=""),"",IFERROR(INDEX(Catalogo_Vehiculos!$F$2:$F$1325,MATCH(TRUE(),INDEX(Catalogo_Vehiculos!$G$2:$G$1325=H274&amp;"|"&amp;I274,0),0)),"No en catálogo"))</f>
      </c>
      <c r="N274" s="20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9"/>
      <c r="Z274" s="19"/>
      <c r="AA274" s="15"/>
      <c r="AB274" s="15"/>
      <c r="AC274" s="15"/>
      <c r="AD274" s="15"/>
      <c r="AE274" s="15"/>
      <c r="AF274" s="19"/>
      <c r="AG274" s="19"/>
      <c r="AH274" s="15"/>
      <c r="AI274" s="15"/>
      <c r="AJ274" s="15"/>
      <c r="AK274" s="15"/>
      <c r="AL274" s="21"/>
      <c r="AM274" s="15"/>
      <c r="AN274" s="15"/>
      <c r="AO274" s="15"/>
      <c r="AP274" s="15"/>
      <c r="AQ274" s="15"/>
      <c r="AR274" s="15"/>
      <c r="AS274" s="15"/>
      <c r="AT274" s="19" t="str">
        <f>IF(COUNTA(A274:I274)+COUNTA(N274:X274)+COUNTA(AA274:AE274)+COUNTA(AH274:AS274)=0,"",IF(AND(A274&lt;&gt;"",E274&lt;&gt;"",OR(F274&lt;&gt;"",G274&lt;&gt;""),H274&lt;&gt;"",I274&lt;&gt;"",J274&lt;&gt;"No en catálogo",S274&lt;&gt;"",T274&lt;&gt;"",U274&lt;&gt;"",V274&lt;&gt;"",OR(AR274&lt;&gt;"",AND(W274&lt;&gt;"",X274&lt;&gt;"",AA274&lt;&gt;"",AB274&lt;&gt;"")),OR(AS274&lt;&gt;"",AND(AD274&lt;&gt;"",AE274&lt;&gt;"",AH274&lt;&gt;"",AI274&lt;&gt;"")),AK274&lt;&gt;"",OR(AK274&lt;&gt;"programado",AL274&lt;&gt;""),OR(AM274&lt;&gt;"específica",AN274&lt;&gt;""),OR(AO274&lt;&gt;"específica",AP274&lt;&gt;"")),"OK","Revisar"))</f>
        <v/>
      </c>
    </row>
    <row r="275" ht="15" customHeight="1" spans="1:46" x14ac:dyDescent="0.25">
      <c r="A275" s="15"/>
      <c r="B275" s="15"/>
      <c r="C275" s="15"/>
      <c r="D275" s="15"/>
      <c r="E275" s="15"/>
      <c r="F275" s="15"/>
      <c r="G275" s="15"/>
      <c r="H275" s="15"/>
      <c r="I275" s="15"/>
      <c r="J275" s="19">
        <f>IF(OR(H275="",I275=""),"",IFERROR(INDEX(Catalogo_Vehiculos!$C$2:$C$1325,MATCH(TRUE(),INDEX(Catalogo_Vehiculos!$G$2:$G$1325=H275&amp;"|"&amp;I275,0),0)),"No en catálogo"))</f>
      </c>
      <c r="K275" s="19">
        <f>IF(OR(H275="",I275=""),"",IFERROR(INDEX(Catalogo_Vehiculos!$D$2:$D$1325,MATCH(TRUE(),INDEX(Catalogo_Vehiculos!$G$2:$G$1325=H275&amp;"|"&amp;I275,0),0)),"No en catálogo"))</f>
      </c>
      <c r="L275" s="19">
        <f>IF(OR(H275="",I275=""),"",IFERROR(INDEX(Catalogo_Vehiculos!$E$2:$E$1325,MATCH(TRUE(),INDEX(Catalogo_Vehiculos!$G$2:$G$1325=H275&amp;"|"&amp;I275,0),0)),"No en catálogo"))</f>
      </c>
      <c r="M275" s="19">
        <f>IF(OR(H275="",I275=""),"",IFERROR(INDEX(Catalogo_Vehiculos!$F$2:$F$1325,MATCH(TRUE(),INDEX(Catalogo_Vehiculos!$G$2:$G$1325=H275&amp;"|"&amp;I275,0),0)),"No en catálogo"))</f>
      </c>
      <c r="N275" s="20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9"/>
      <c r="Z275" s="19"/>
      <c r="AA275" s="15"/>
      <c r="AB275" s="15"/>
      <c r="AC275" s="15"/>
      <c r="AD275" s="15"/>
      <c r="AE275" s="15"/>
      <c r="AF275" s="19"/>
      <c r="AG275" s="19"/>
      <c r="AH275" s="15"/>
      <c r="AI275" s="15"/>
      <c r="AJ275" s="15"/>
      <c r="AK275" s="15"/>
      <c r="AL275" s="21"/>
      <c r="AM275" s="15"/>
      <c r="AN275" s="15"/>
      <c r="AO275" s="15"/>
      <c r="AP275" s="15"/>
      <c r="AQ275" s="15"/>
      <c r="AR275" s="15"/>
      <c r="AS275" s="15"/>
      <c r="AT275" s="19" t="str">
        <f>IF(COUNTA(A275:I275)+COUNTA(N275:X275)+COUNTA(AA275:AE275)+COUNTA(AH275:AS275)=0,"",IF(AND(A275&lt;&gt;"",E275&lt;&gt;"",OR(F275&lt;&gt;"",G275&lt;&gt;""),H275&lt;&gt;"",I275&lt;&gt;"",J275&lt;&gt;"No en catálogo",S275&lt;&gt;"",T275&lt;&gt;"",U275&lt;&gt;"",V275&lt;&gt;"",OR(AR275&lt;&gt;"",AND(W275&lt;&gt;"",X275&lt;&gt;"",AA275&lt;&gt;"",AB275&lt;&gt;"")),OR(AS275&lt;&gt;"",AND(AD275&lt;&gt;"",AE275&lt;&gt;"",AH275&lt;&gt;"",AI275&lt;&gt;"")),AK275&lt;&gt;"",OR(AK275&lt;&gt;"programado",AL275&lt;&gt;""),OR(AM275&lt;&gt;"específica",AN275&lt;&gt;""),OR(AO275&lt;&gt;"específica",AP275&lt;&gt;"")),"OK","Revisar"))</f>
        <v/>
      </c>
    </row>
    <row r="276" ht="15" customHeight="1" spans="1:46" x14ac:dyDescent="0.25">
      <c r="A276" s="15"/>
      <c r="B276" s="15"/>
      <c r="C276" s="15"/>
      <c r="D276" s="15"/>
      <c r="E276" s="15"/>
      <c r="F276" s="15"/>
      <c r="G276" s="15"/>
      <c r="H276" s="15"/>
      <c r="I276" s="15"/>
      <c r="J276" s="19">
        <f>IF(OR(H276="",I276=""),"",IFERROR(INDEX(Catalogo_Vehiculos!$C$2:$C$1325,MATCH(TRUE(),INDEX(Catalogo_Vehiculos!$G$2:$G$1325=H276&amp;"|"&amp;I276,0),0)),"No en catálogo"))</f>
      </c>
      <c r="K276" s="19">
        <f>IF(OR(H276="",I276=""),"",IFERROR(INDEX(Catalogo_Vehiculos!$D$2:$D$1325,MATCH(TRUE(),INDEX(Catalogo_Vehiculos!$G$2:$G$1325=H276&amp;"|"&amp;I276,0),0)),"No en catálogo"))</f>
      </c>
      <c r="L276" s="19">
        <f>IF(OR(H276="",I276=""),"",IFERROR(INDEX(Catalogo_Vehiculos!$E$2:$E$1325,MATCH(TRUE(),INDEX(Catalogo_Vehiculos!$G$2:$G$1325=H276&amp;"|"&amp;I276,0),0)),"No en catálogo"))</f>
      </c>
      <c r="M276" s="19">
        <f>IF(OR(H276="",I276=""),"",IFERROR(INDEX(Catalogo_Vehiculos!$F$2:$F$1325,MATCH(TRUE(),INDEX(Catalogo_Vehiculos!$G$2:$G$1325=H276&amp;"|"&amp;I276,0),0)),"No en catálogo"))</f>
      </c>
      <c r="N276" s="20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9"/>
      <c r="Z276" s="19"/>
      <c r="AA276" s="15"/>
      <c r="AB276" s="15"/>
      <c r="AC276" s="15"/>
      <c r="AD276" s="15"/>
      <c r="AE276" s="15"/>
      <c r="AF276" s="19"/>
      <c r="AG276" s="19"/>
      <c r="AH276" s="15"/>
      <c r="AI276" s="15"/>
      <c r="AJ276" s="15"/>
      <c r="AK276" s="15"/>
      <c r="AL276" s="21"/>
      <c r="AM276" s="15"/>
      <c r="AN276" s="15"/>
      <c r="AO276" s="15"/>
      <c r="AP276" s="15"/>
      <c r="AQ276" s="15"/>
      <c r="AR276" s="15"/>
      <c r="AS276" s="15"/>
      <c r="AT276" s="19" t="str">
        <f>IF(COUNTA(A276:I276)+COUNTA(N276:X276)+COUNTA(AA276:AE276)+COUNTA(AH276:AS276)=0,"",IF(AND(A276&lt;&gt;"",E276&lt;&gt;"",OR(F276&lt;&gt;"",G276&lt;&gt;""),H276&lt;&gt;"",I276&lt;&gt;"",J276&lt;&gt;"No en catálogo",S276&lt;&gt;"",T276&lt;&gt;"",U276&lt;&gt;"",V276&lt;&gt;"",OR(AR276&lt;&gt;"",AND(W276&lt;&gt;"",X276&lt;&gt;"",AA276&lt;&gt;"",AB276&lt;&gt;"")),OR(AS276&lt;&gt;"",AND(AD276&lt;&gt;"",AE276&lt;&gt;"",AH276&lt;&gt;"",AI276&lt;&gt;"")),AK276&lt;&gt;"",OR(AK276&lt;&gt;"programado",AL276&lt;&gt;""),OR(AM276&lt;&gt;"específica",AN276&lt;&gt;""),OR(AO276&lt;&gt;"específica",AP276&lt;&gt;"")),"OK","Revisar"))</f>
        <v/>
      </c>
    </row>
    <row r="277" ht="15" customHeight="1" spans="1:46" x14ac:dyDescent="0.25">
      <c r="A277" s="15"/>
      <c r="B277" s="15"/>
      <c r="C277" s="15"/>
      <c r="D277" s="15"/>
      <c r="E277" s="15"/>
      <c r="F277" s="15"/>
      <c r="G277" s="15"/>
      <c r="H277" s="15"/>
      <c r="I277" s="15"/>
      <c r="J277" s="19">
        <f>IF(OR(H277="",I277=""),"",IFERROR(INDEX(Catalogo_Vehiculos!$C$2:$C$1325,MATCH(TRUE(),INDEX(Catalogo_Vehiculos!$G$2:$G$1325=H277&amp;"|"&amp;I277,0),0)),"No en catálogo"))</f>
      </c>
      <c r="K277" s="19">
        <f>IF(OR(H277="",I277=""),"",IFERROR(INDEX(Catalogo_Vehiculos!$D$2:$D$1325,MATCH(TRUE(),INDEX(Catalogo_Vehiculos!$G$2:$G$1325=H277&amp;"|"&amp;I277,0),0)),"No en catálogo"))</f>
      </c>
      <c r="L277" s="19">
        <f>IF(OR(H277="",I277=""),"",IFERROR(INDEX(Catalogo_Vehiculos!$E$2:$E$1325,MATCH(TRUE(),INDEX(Catalogo_Vehiculos!$G$2:$G$1325=H277&amp;"|"&amp;I277,0),0)),"No en catálogo"))</f>
      </c>
      <c r="M277" s="19">
        <f>IF(OR(H277="",I277=""),"",IFERROR(INDEX(Catalogo_Vehiculos!$F$2:$F$1325,MATCH(TRUE(),INDEX(Catalogo_Vehiculos!$G$2:$G$1325=H277&amp;"|"&amp;I277,0),0)),"No en catálogo"))</f>
      </c>
      <c r="N277" s="20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9"/>
      <c r="Z277" s="19"/>
      <c r="AA277" s="15"/>
      <c r="AB277" s="15"/>
      <c r="AC277" s="15"/>
      <c r="AD277" s="15"/>
      <c r="AE277" s="15"/>
      <c r="AF277" s="19"/>
      <c r="AG277" s="19"/>
      <c r="AH277" s="15"/>
      <c r="AI277" s="15"/>
      <c r="AJ277" s="15"/>
      <c r="AK277" s="15"/>
      <c r="AL277" s="21"/>
      <c r="AM277" s="15"/>
      <c r="AN277" s="15"/>
      <c r="AO277" s="15"/>
      <c r="AP277" s="15"/>
      <c r="AQ277" s="15"/>
      <c r="AR277" s="15"/>
      <c r="AS277" s="15"/>
      <c r="AT277" s="19" t="str">
        <f>IF(COUNTA(A277:I277)+COUNTA(N277:X277)+COUNTA(AA277:AE277)+COUNTA(AH277:AS277)=0,"",IF(AND(A277&lt;&gt;"",E277&lt;&gt;"",OR(F277&lt;&gt;"",G277&lt;&gt;""),H277&lt;&gt;"",I277&lt;&gt;"",J277&lt;&gt;"No en catálogo",S277&lt;&gt;"",T277&lt;&gt;"",U277&lt;&gt;"",V277&lt;&gt;"",OR(AR277&lt;&gt;"",AND(W277&lt;&gt;"",X277&lt;&gt;"",AA277&lt;&gt;"",AB277&lt;&gt;"")),OR(AS277&lt;&gt;"",AND(AD277&lt;&gt;"",AE277&lt;&gt;"",AH277&lt;&gt;"",AI277&lt;&gt;"")),AK277&lt;&gt;"",OR(AK277&lt;&gt;"programado",AL277&lt;&gt;""),OR(AM277&lt;&gt;"específica",AN277&lt;&gt;""),OR(AO277&lt;&gt;"específica",AP277&lt;&gt;"")),"OK","Revisar"))</f>
        <v/>
      </c>
    </row>
    <row r="278" ht="15" customHeight="1" spans="1:46" x14ac:dyDescent="0.25">
      <c r="A278" s="15"/>
      <c r="B278" s="15"/>
      <c r="C278" s="15"/>
      <c r="D278" s="15"/>
      <c r="E278" s="15"/>
      <c r="F278" s="15"/>
      <c r="G278" s="15"/>
      <c r="H278" s="15"/>
      <c r="I278" s="15"/>
      <c r="J278" s="19">
        <f>IF(OR(H278="",I278=""),"",IFERROR(INDEX(Catalogo_Vehiculos!$C$2:$C$1325,MATCH(TRUE(),INDEX(Catalogo_Vehiculos!$G$2:$G$1325=H278&amp;"|"&amp;I278,0),0)),"No en catálogo"))</f>
      </c>
      <c r="K278" s="19">
        <f>IF(OR(H278="",I278=""),"",IFERROR(INDEX(Catalogo_Vehiculos!$D$2:$D$1325,MATCH(TRUE(),INDEX(Catalogo_Vehiculos!$G$2:$G$1325=H278&amp;"|"&amp;I278,0),0)),"No en catálogo"))</f>
      </c>
      <c r="L278" s="19">
        <f>IF(OR(H278="",I278=""),"",IFERROR(INDEX(Catalogo_Vehiculos!$E$2:$E$1325,MATCH(TRUE(),INDEX(Catalogo_Vehiculos!$G$2:$G$1325=H278&amp;"|"&amp;I278,0),0)),"No en catálogo"))</f>
      </c>
      <c r="M278" s="19">
        <f>IF(OR(H278="",I278=""),"",IFERROR(INDEX(Catalogo_Vehiculos!$F$2:$F$1325,MATCH(TRUE(),INDEX(Catalogo_Vehiculos!$G$2:$G$1325=H278&amp;"|"&amp;I278,0),0)),"No en catálogo"))</f>
      </c>
      <c r="N278" s="20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9"/>
      <c r="Z278" s="19"/>
      <c r="AA278" s="15"/>
      <c r="AB278" s="15"/>
      <c r="AC278" s="15"/>
      <c r="AD278" s="15"/>
      <c r="AE278" s="15"/>
      <c r="AF278" s="19"/>
      <c r="AG278" s="19"/>
      <c r="AH278" s="15"/>
      <c r="AI278" s="15"/>
      <c r="AJ278" s="15"/>
      <c r="AK278" s="15"/>
      <c r="AL278" s="21"/>
      <c r="AM278" s="15"/>
      <c r="AN278" s="15"/>
      <c r="AO278" s="15"/>
      <c r="AP278" s="15"/>
      <c r="AQ278" s="15"/>
      <c r="AR278" s="15"/>
      <c r="AS278" s="15"/>
      <c r="AT278" s="19" t="str">
        <f>IF(COUNTA(A278:I278)+COUNTA(N278:X278)+COUNTA(AA278:AE278)+COUNTA(AH278:AS278)=0,"",IF(AND(A278&lt;&gt;"",E278&lt;&gt;"",OR(F278&lt;&gt;"",G278&lt;&gt;""),H278&lt;&gt;"",I278&lt;&gt;"",J278&lt;&gt;"No en catálogo",S278&lt;&gt;"",T278&lt;&gt;"",U278&lt;&gt;"",V278&lt;&gt;"",OR(AR278&lt;&gt;"",AND(W278&lt;&gt;"",X278&lt;&gt;"",AA278&lt;&gt;"",AB278&lt;&gt;"")),OR(AS278&lt;&gt;"",AND(AD278&lt;&gt;"",AE278&lt;&gt;"",AH278&lt;&gt;"",AI278&lt;&gt;"")),AK278&lt;&gt;"",OR(AK278&lt;&gt;"programado",AL278&lt;&gt;""),OR(AM278&lt;&gt;"específica",AN278&lt;&gt;""),OR(AO278&lt;&gt;"específica",AP278&lt;&gt;"")),"OK","Revisar"))</f>
        <v/>
      </c>
    </row>
    <row r="279" ht="15" customHeight="1" spans="1:46" x14ac:dyDescent="0.25">
      <c r="A279" s="15"/>
      <c r="B279" s="15"/>
      <c r="C279" s="15"/>
      <c r="D279" s="15"/>
      <c r="E279" s="15"/>
      <c r="F279" s="15"/>
      <c r="G279" s="15"/>
      <c r="H279" s="15"/>
      <c r="I279" s="15"/>
      <c r="J279" s="19">
        <f>IF(OR(H279="",I279=""),"",IFERROR(INDEX(Catalogo_Vehiculos!$C$2:$C$1325,MATCH(TRUE(),INDEX(Catalogo_Vehiculos!$G$2:$G$1325=H279&amp;"|"&amp;I279,0),0)),"No en catálogo"))</f>
      </c>
      <c r="K279" s="19">
        <f>IF(OR(H279="",I279=""),"",IFERROR(INDEX(Catalogo_Vehiculos!$D$2:$D$1325,MATCH(TRUE(),INDEX(Catalogo_Vehiculos!$G$2:$G$1325=H279&amp;"|"&amp;I279,0),0)),"No en catálogo"))</f>
      </c>
      <c r="L279" s="19">
        <f>IF(OR(H279="",I279=""),"",IFERROR(INDEX(Catalogo_Vehiculos!$E$2:$E$1325,MATCH(TRUE(),INDEX(Catalogo_Vehiculos!$G$2:$G$1325=H279&amp;"|"&amp;I279,0),0)),"No en catálogo"))</f>
      </c>
      <c r="M279" s="19">
        <f>IF(OR(H279="",I279=""),"",IFERROR(INDEX(Catalogo_Vehiculos!$F$2:$F$1325,MATCH(TRUE(),INDEX(Catalogo_Vehiculos!$G$2:$G$1325=H279&amp;"|"&amp;I279,0),0)),"No en catálogo"))</f>
      </c>
      <c r="N279" s="20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9"/>
      <c r="Z279" s="19"/>
      <c r="AA279" s="15"/>
      <c r="AB279" s="15"/>
      <c r="AC279" s="15"/>
      <c r="AD279" s="15"/>
      <c r="AE279" s="15"/>
      <c r="AF279" s="19"/>
      <c r="AG279" s="19"/>
      <c r="AH279" s="15"/>
      <c r="AI279" s="15"/>
      <c r="AJ279" s="15"/>
      <c r="AK279" s="15"/>
      <c r="AL279" s="21"/>
      <c r="AM279" s="15"/>
      <c r="AN279" s="15"/>
      <c r="AO279" s="15"/>
      <c r="AP279" s="15"/>
      <c r="AQ279" s="15"/>
      <c r="AR279" s="15"/>
      <c r="AS279" s="15"/>
      <c r="AT279" s="19" t="str">
        <f>IF(COUNTA(A279:I279)+COUNTA(N279:X279)+COUNTA(AA279:AE279)+COUNTA(AH279:AS279)=0,"",IF(AND(A279&lt;&gt;"",E279&lt;&gt;"",OR(F279&lt;&gt;"",G279&lt;&gt;""),H279&lt;&gt;"",I279&lt;&gt;"",J279&lt;&gt;"No en catálogo",S279&lt;&gt;"",T279&lt;&gt;"",U279&lt;&gt;"",V279&lt;&gt;"",OR(AR279&lt;&gt;"",AND(W279&lt;&gt;"",X279&lt;&gt;"",AA279&lt;&gt;"",AB279&lt;&gt;"")),OR(AS279&lt;&gt;"",AND(AD279&lt;&gt;"",AE279&lt;&gt;"",AH279&lt;&gt;"",AI279&lt;&gt;"")),AK279&lt;&gt;"",OR(AK279&lt;&gt;"programado",AL279&lt;&gt;""),OR(AM279&lt;&gt;"específica",AN279&lt;&gt;""),OR(AO279&lt;&gt;"específica",AP279&lt;&gt;"")),"OK","Revisar"))</f>
        <v/>
      </c>
    </row>
    <row r="280" ht="15" customHeight="1" spans="1:46" x14ac:dyDescent="0.25">
      <c r="A280" s="15"/>
      <c r="B280" s="15"/>
      <c r="C280" s="15"/>
      <c r="D280" s="15"/>
      <c r="E280" s="15"/>
      <c r="F280" s="15"/>
      <c r="G280" s="15"/>
      <c r="H280" s="15"/>
      <c r="I280" s="15"/>
      <c r="J280" s="19">
        <f>IF(OR(H280="",I280=""),"",IFERROR(INDEX(Catalogo_Vehiculos!$C$2:$C$1325,MATCH(TRUE(),INDEX(Catalogo_Vehiculos!$G$2:$G$1325=H280&amp;"|"&amp;I280,0),0)),"No en catálogo"))</f>
      </c>
      <c r="K280" s="19">
        <f>IF(OR(H280="",I280=""),"",IFERROR(INDEX(Catalogo_Vehiculos!$D$2:$D$1325,MATCH(TRUE(),INDEX(Catalogo_Vehiculos!$G$2:$G$1325=H280&amp;"|"&amp;I280,0),0)),"No en catálogo"))</f>
      </c>
      <c r="L280" s="19">
        <f>IF(OR(H280="",I280=""),"",IFERROR(INDEX(Catalogo_Vehiculos!$E$2:$E$1325,MATCH(TRUE(),INDEX(Catalogo_Vehiculos!$G$2:$G$1325=H280&amp;"|"&amp;I280,0),0)),"No en catálogo"))</f>
      </c>
      <c r="M280" s="19">
        <f>IF(OR(H280="",I280=""),"",IFERROR(INDEX(Catalogo_Vehiculos!$F$2:$F$1325,MATCH(TRUE(),INDEX(Catalogo_Vehiculos!$G$2:$G$1325=H280&amp;"|"&amp;I280,0),0)),"No en catálogo"))</f>
      </c>
      <c r="N280" s="20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9"/>
      <c r="Z280" s="19"/>
      <c r="AA280" s="15"/>
      <c r="AB280" s="15"/>
      <c r="AC280" s="15"/>
      <c r="AD280" s="15"/>
      <c r="AE280" s="15"/>
      <c r="AF280" s="19"/>
      <c r="AG280" s="19"/>
      <c r="AH280" s="15"/>
      <c r="AI280" s="15"/>
      <c r="AJ280" s="15"/>
      <c r="AK280" s="15"/>
      <c r="AL280" s="21"/>
      <c r="AM280" s="15"/>
      <c r="AN280" s="15"/>
      <c r="AO280" s="15"/>
      <c r="AP280" s="15"/>
      <c r="AQ280" s="15"/>
      <c r="AR280" s="15"/>
      <c r="AS280" s="15"/>
      <c r="AT280" s="19" t="str">
        <f>IF(COUNTA(A280:I280)+COUNTA(N280:X280)+COUNTA(AA280:AE280)+COUNTA(AH280:AS280)=0,"",IF(AND(A280&lt;&gt;"",E280&lt;&gt;"",OR(F280&lt;&gt;"",G280&lt;&gt;""),H280&lt;&gt;"",I280&lt;&gt;"",J280&lt;&gt;"No en catálogo",S280&lt;&gt;"",T280&lt;&gt;"",U280&lt;&gt;"",V280&lt;&gt;"",OR(AR280&lt;&gt;"",AND(W280&lt;&gt;"",X280&lt;&gt;"",AA280&lt;&gt;"",AB280&lt;&gt;"")),OR(AS280&lt;&gt;"",AND(AD280&lt;&gt;"",AE280&lt;&gt;"",AH280&lt;&gt;"",AI280&lt;&gt;"")),AK280&lt;&gt;"",OR(AK280&lt;&gt;"programado",AL280&lt;&gt;""),OR(AM280&lt;&gt;"específica",AN280&lt;&gt;""),OR(AO280&lt;&gt;"específica",AP280&lt;&gt;"")),"OK","Revisar"))</f>
        <v/>
      </c>
    </row>
    <row r="281" ht="15" customHeight="1" spans="1:46" x14ac:dyDescent="0.25">
      <c r="A281" s="15"/>
      <c r="B281" s="15"/>
      <c r="C281" s="15"/>
      <c r="D281" s="15"/>
      <c r="E281" s="15"/>
      <c r="F281" s="15"/>
      <c r="G281" s="15"/>
      <c r="H281" s="15"/>
      <c r="I281" s="15"/>
      <c r="J281" s="19">
        <f>IF(OR(H281="",I281=""),"",IFERROR(INDEX(Catalogo_Vehiculos!$C$2:$C$1325,MATCH(TRUE(),INDEX(Catalogo_Vehiculos!$G$2:$G$1325=H281&amp;"|"&amp;I281,0),0)),"No en catálogo"))</f>
      </c>
      <c r="K281" s="19">
        <f>IF(OR(H281="",I281=""),"",IFERROR(INDEX(Catalogo_Vehiculos!$D$2:$D$1325,MATCH(TRUE(),INDEX(Catalogo_Vehiculos!$G$2:$G$1325=H281&amp;"|"&amp;I281,0),0)),"No en catálogo"))</f>
      </c>
      <c r="L281" s="19">
        <f>IF(OR(H281="",I281=""),"",IFERROR(INDEX(Catalogo_Vehiculos!$E$2:$E$1325,MATCH(TRUE(),INDEX(Catalogo_Vehiculos!$G$2:$G$1325=H281&amp;"|"&amp;I281,0),0)),"No en catálogo"))</f>
      </c>
      <c r="M281" s="19">
        <f>IF(OR(H281="",I281=""),"",IFERROR(INDEX(Catalogo_Vehiculos!$F$2:$F$1325,MATCH(TRUE(),INDEX(Catalogo_Vehiculos!$G$2:$G$1325=H281&amp;"|"&amp;I281,0),0)),"No en catálogo"))</f>
      </c>
      <c r="N281" s="20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9"/>
      <c r="Z281" s="19"/>
      <c r="AA281" s="15"/>
      <c r="AB281" s="15"/>
      <c r="AC281" s="15"/>
      <c r="AD281" s="15"/>
      <c r="AE281" s="15"/>
      <c r="AF281" s="19"/>
      <c r="AG281" s="19"/>
      <c r="AH281" s="15"/>
      <c r="AI281" s="15"/>
      <c r="AJ281" s="15"/>
      <c r="AK281" s="15"/>
      <c r="AL281" s="21"/>
      <c r="AM281" s="15"/>
      <c r="AN281" s="15"/>
      <c r="AO281" s="15"/>
      <c r="AP281" s="15"/>
      <c r="AQ281" s="15"/>
      <c r="AR281" s="15"/>
      <c r="AS281" s="15"/>
      <c r="AT281" s="19" t="str">
        <f>IF(COUNTA(A281:I281)+COUNTA(N281:X281)+COUNTA(AA281:AE281)+COUNTA(AH281:AS281)=0,"",IF(AND(A281&lt;&gt;"",E281&lt;&gt;"",OR(F281&lt;&gt;"",G281&lt;&gt;""),H281&lt;&gt;"",I281&lt;&gt;"",J281&lt;&gt;"No en catálogo",S281&lt;&gt;"",T281&lt;&gt;"",U281&lt;&gt;"",V281&lt;&gt;"",OR(AR281&lt;&gt;"",AND(W281&lt;&gt;"",X281&lt;&gt;"",AA281&lt;&gt;"",AB281&lt;&gt;"")),OR(AS281&lt;&gt;"",AND(AD281&lt;&gt;"",AE281&lt;&gt;"",AH281&lt;&gt;"",AI281&lt;&gt;"")),AK281&lt;&gt;"",OR(AK281&lt;&gt;"programado",AL281&lt;&gt;""),OR(AM281&lt;&gt;"específica",AN281&lt;&gt;""),OR(AO281&lt;&gt;"específica",AP281&lt;&gt;"")),"OK","Revisar"))</f>
        <v/>
      </c>
    </row>
    <row r="282" ht="15" customHeight="1" spans="1:46" x14ac:dyDescent="0.25">
      <c r="A282" s="15"/>
      <c r="B282" s="15"/>
      <c r="C282" s="15"/>
      <c r="D282" s="15"/>
      <c r="E282" s="15"/>
      <c r="F282" s="15"/>
      <c r="G282" s="15"/>
      <c r="H282" s="15"/>
      <c r="I282" s="15"/>
      <c r="J282" s="19">
        <f>IF(OR(H282="",I282=""),"",IFERROR(INDEX(Catalogo_Vehiculos!$C$2:$C$1325,MATCH(TRUE(),INDEX(Catalogo_Vehiculos!$G$2:$G$1325=H282&amp;"|"&amp;I282,0),0)),"No en catálogo"))</f>
      </c>
      <c r="K282" s="19">
        <f>IF(OR(H282="",I282=""),"",IFERROR(INDEX(Catalogo_Vehiculos!$D$2:$D$1325,MATCH(TRUE(),INDEX(Catalogo_Vehiculos!$G$2:$G$1325=H282&amp;"|"&amp;I282,0),0)),"No en catálogo"))</f>
      </c>
      <c r="L282" s="19">
        <f>IF(OR(H282="",I282=""),"",IFERROR(INDEX(Catalogo_Vehiculos!$E$2:$E$1325,MATCH(TRUE(),INDEX(Catalogo_Vehiculos!$G$2:$G$1325=H282&amp;"|"&amp;I282,0),0)),"No en catálogo"))</f>
      </c>
      <c r="M282" s="19">
        <f>IF(OR(H282="",I282=""),"",IFERROR(INDEX(Catalogo_Vehiculos!$F$2:$F$1325,MATCH(TRUE(),INDEX(Catalogo_Vehiculos!$G$2:$G$1325=H282&amp;"|"&amp;I282,0),0)),"No en catálogo"))</f>
      </c>
      <c r="N282" s="20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9"/>
      <c r="Z282" s="19"/>
      <c r="AA282" s="15"/>
      <c r="AB282" s="15"/>
      <c r="AC282" s="15"/>
      <c r="AD282" s="15"/>
      <c r="AE282" s="15"/>
      <c r="AF282" s="19"/>
      <c r="AG282" s="19"/>
      <c r="AH282" s="15"/>
      <c r="AI282" s="15"/>
      <c r="AJ282" s="15"/>
      <c r="AK282" s="15"/>
      <c r="AL282" s="21"/>
      <c r="AM282" s="15"/>
      <c r="AN282" s="15"/>
      <c r="AO282" s="15"/>
      <c r="AP282" s="15"/>
      <c r="AQ282" s="15"/>
      <c r="AR282" s="15"/>
      <c r="AS282" s="15"/>
      <c r="AT282" s="19" t="str">
        <f>IF(COUNTA(A282:I282)+COUNTA(N282:X282)+COUNTA(AA282:AE282)+COUNTA(AH282:AS282)=0,"",IF(AND(A282&lt;&gt;"",E282&lt;&gt;"",OR(F282&lt;&gt;"",G282&lt;&gt;""),H282&lt;&gt;"",I282&lt;&gt;"",J282&lt;&gt;"No en catálogo",S282&lt;&gt;"",T282&lt;&gt;"",U282&lt;&gt;"",V282&lt;&gt;"",OR(AR282&lt;&gt;"",AND(W282&lt;&gt;"",X282&lt;&gt;"",AA282&lt;&gt;"",AB282&lt;&gt;"")),OR(AS282&lt;&gt;"",AND(AD282&lt;&gt;"",AE282&lt;&gt;"",AH282&lt;&gt;"",AI282&lt;&gt;"")),AK282&lt;&gt;"",OR(AK282&lt;&gt;"programado",AL282&lt;&gt;""),OR(AM282&lt;&gt;"específica",AN282&lt;&gt;""),OR(AO282&lt;&gt;"específica",AP282&lt;&gt;"")),"OK","Revisar"))</f>
        <v/>
      </c>
    </row>
    <row r="283" ht="15" customHeight="1" spans="1:46" x14ac:dyDescent="0.25">
      <c r="A283" s="15"/>
      <c r="B283" s="15"/>
      <c r="C283" s="15"/>
      <c r="D283" s="15"/>
      <c r="E283" s="15"/>
      <c r="F283" s="15"/>
      <c r="G283" s="15"/>
      <c r="H283" s="15"/>
      <c r="I283" s="15"/>
      <c r="J283" s="19">
        <f>IF(OR(H283="",I283=""),"",IFERROR(INDEX(Catalogo_Vehiculos!$C$2:$C$1325,MATCH(TRUE(),INDEX(Catalogo_Vehiculos!$G$2:$G$1325=H283&amp;"|"&amp;I283,0),0)),"No en catálogo"))</f>
      </c>
      <c r="K283" s="19">
        <f>IF(OR(H283="",I283=""),"",IFERROR(INDEX(Catalogo_Vehiculos!$D$2:$D$1325,MATCH(TRUE(),INDEX(Catalogo_Vehiculos!$G$2:$G$1325=H283&amp;"|"&amp;I283,0),0)),"No en catálogo"))</f>
      </c>
      <c r="L283" s="19">
        <f>IF(OR(H283="",I283=""),"",IFERROR(INDEX(Catalogo_Vehiculos!$E$2:$E$1325,MATCH(TRUE(),INDEX(Catalogo_Vehiculos!$G$2:$G$1325=H283&amp;"|"&amp;I283,0),0)),"No en catálogo"))</f>
      </c>
      <c r="M283" s="19">
        <f>IF(OR(H283="",I283=""),"",IFERROR(INDEX(Catalogo_Vehiculos!$F$2:$F$1325,MATCH(TRUE(),INDEX(Catalogo_Vehiculos!$G$2:$G$1325=H283&amp;"|"&amp;I283,0),0)),"No en catálogo"))</f>
      </c>
      <c r="N283" s="20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9"/>
      <c r="Z283" s="19"/>
      <c r="AA283" s="15"/>
      <c r="AB283" s="15"/>
      <c r="AC283" s="15"/>
      <c r="AD283" s="15"/>
      <c r="AE283" s="15"/>
      <c r="AF283" s="19"/>
      <c r="AG283" s="19"/>
      <c r="AH283" s="15"/>
      <c r="AI283" s="15"/>
      <c r="AJ283" s="15"/>
      <c r="AK283" s="15"/>
      <c r="AL283" s="21"/>
      <c r="AM283" s="15"/>
      <c r="AN283" s="15"/>
      <c r="AO283" s="15"/>
      <c r="AP283" s="15"/>
      <c r="AQ283" s="15"/>
      <c r="AR283" s="15"/>
      <c r="AS283" s="15"/>
      <c r="AT283" s="19" t="str">
        <f>IF(COUNTA(A283:I283)+COUNTA(N283:X283)+COUNTA(AA283:AE283)+COUNTA(AH283:AS283)=0,"",IF(AND(A283&lt;&gt;"",E283&lt;&gt;"",OR(F283&lt;&gt;"",G283&lt;&gt;""),H283&lt;&gt;"",I283&lt;&gt;"",J283&lt;&gt;"No en catálogo",S283&lt;&gt;"",T283&lt;&gt;"",U283&lt;&gt;"",V283&lt;&gt;"",OR(AR283&lt;&gt;"",AND(W283&lt;&gt;"",X283&lt;&gt;"",AA283&lt;&gt;"",AB283&lt;&gt;"")),OR(AS283&lt;&gt;"",AND(AD283&lt;&gt;"",AE283&lt;&gt;"",AH283&lt;&gt;"",AI283&lt;&gt;"")),AK283&lt;&gt;"",OR(AK283&lt;&gt;"programado",AL283&lt;&gt;""),OR(AM283&lt;&gt;"específica",AN283&lt;&gt;""),OR(AO283&lt;&gt;"específica",AP283&lt;&gt;"")),"OK","Revisar"))</f>
        <v/>
      </c>
    </row>
    <row r="284" ht="15" customHeight="1" spans="1:46" x14ac:dyDescent="0.25">
      <c r="A284" s="15"/>
      <c r="B284" s="15"/>
      <c r="C284" s="15"/>
      <c r="D284" s="15"/>
      <c r="E284" s="15"/>
      <c r="F284" s="15"/>
      <c r="G284" s="15"/>
      <c r="H284" s="15"/>
      <c r="I284" s="15"/>
      <c r="J284" s="19">
        <f>IF(OR(H284="",I284=""),"",IFERROR(INDEX(Catalogo_Vehiculos!$C$2:$C$1325,MATCH(TRUE(),INDEX(Catalogo_Vehiculos!$G$2:$G$1325=H284&amp;"|"&amp;I284,0),0)),"No en catálogo"))</f>
      </c>
      <c r="K284" s="19">
        <f>IF(OR(H284="",I284=""),"",IFERROR(INDEX(Catalogo_Vehiculos!$D$2:$D$1325,MATCH(TRUE(),INDEX(Catalogo_Vehiculos!$G$2:$G$1325=H284&amp;"|"&amp;I284,0),0)),"No en catálogo"))</f>
      </c>
      <c r="L284" s="19">
        <f>IF(OR(H284="",I284=""),"",IFERROR(INDEX(Catalogo_Vehiculos!$E$2:$E$1325,MATCH(TRUE(),INDEX(Catalogo_Vehiculos!$G$2:$G$1325=H284&amp;"|"&amp;I284,0),0)),"No en catálogo"))</f>
      </c>
      <c r="M284" s="19">
        <f>IF(OR(H284="",I284=""),"",IFERROR(INDEX(Catalogo_Vehiculos!$F$2:$F$1325,MATCH(TRUE(),INDEX(Catalogo_Vehiculos!$G$2:$G$1325=H284&amp;"|"&amp;I284,0),0)),"No en catálogo"))</f>
      </c>
      <c r="N284" s="20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9"/>
      <c r="Z284" s="19"/>
      <c r="AA284" s="15"/>
      <c r="AB284" s="15"/>
      <c r="AC284" s="15"/>
      <c r="AD284" s="15"/>
      <c r="AE284" s="15"/>
      <c r="AF284" s="19"/>
      <c r="AG284" s="19"/>
      <c r="AH284" s="15"/>
      <c r="AI284" s="15"/>
      <c r="AJ284" s="15"/>
      <c r="AK284" s="15"/>
      <c r="AL284" s="21"/>
      <c r="AM284" s="15"/>
      <c r="AN284" s="15"/>
      <c r="AO284" s="15"/>
      <c r="AP284" s="15"/>
      <c r="AQ284" s="15"/>
      <c r="AR284" s="15"/>
      <c r="AS284" s="15"/>
      <c r="AT284" s="19" t="str">
        <f>IF(COUNTA(A284:I284)+COUNTA(N284:X284)+COUNTA(AA284:AE284)+COUNTA(AH284:AS284)=0,"",IF(AND(A284&lt;&gt;"",E284&lt;&gt;"",OR(F284&lt;&gt;"",G284&lt;&gt;""),H284&lt;&gt;"",I284&lt;&gt;"",J284&lt;&gt;"No en catálogo",S284&lt;&gt;"",T284&lt;&gt;"",U284&lt;&gt;"",V284&lt;&gt;"",OR(AR284&lt;&gt;"",AND(W284&lt;&gt;"",X284&lt;&gt;"",AA284&lt;&gt;"",AB284&lt;&gt;"")),OR(AS284&lt;&gt;"",AND(AD284&lt;&gt;"",AE284&lt;&gt;"",AH284&lt;&gt;"",AI284&lt;&gt;"")),AK284&lt;&gt;"",OR(AK284&lt;&gt;"programado",AL284&lt;&gt;""),OR(AM284&lt;&gt;"específica",AN284&lt;&gt;""),OR(AO284&lt;&gt;"específica",AP284&lt;&gt;"")),"OK","Revisar"))</f>
        <v/>
      </c>
    </row>
    <row r="285" ht="15" customHeight="1" spans="1:46" x14ac:dyDescent="0.25">
      <c r="A285" s="15"/>
      <c r="B285" s="15"/>
      <c r="C285" s="15"/>
      <c r="D285" s="15"/>
      <c r="E285" s="15"/>
      <c r="F285" s="15"/>
      <c r="G285" s="15"/>
      <c r="H285" s="15"/>
      <c r="I285" s="15"/>
      <c r="J285" s="19">
        <f>IF(OR(H285="",I285=""),"",IFERROR(INDEX(Catalogo_Vehiculos!$C$2:$C$1325,MATCH(TRUE(),INDEX(Catalogo_Vehiculos!$G$2:$G$1325=H285&amp;"|"&amp;I285,0),0)),"No en catálogo"))</f>
      </c>
      <c r="K285" s="19">
        <f>IF(OR(H285="",I285=""),"",IFERROR(INDEX(Catalogo_Vehiculos!$D$2:$D$1325,MATCH(TRUE(),INDEX(Catalogo_Vehiculos!$G$2:$G$1325=H285&amp;"|"&amp;I285,0),0)),"No en catálogo"))</f>
      </c>
      <c r="L285" s="19">
        <f>IF(OR(H285="",I285=""),"",IFERROR(INDEX(Catalogo_Vehiculos!$E$2:$E$1325,MATCH(TRUE(),INDEX(Catalogo_Vehiculos!$G$2:$G$1325=H285&amp;"|"&amp;I285,0),0)),"No en catálogo"))</f>
      </c>
      <c r="M285" s="19">
        <f>IF(OR(H285="",I285=""),"",IFERROR(INDEX(Catalogo_Vehiculos!$F$2:$F$1325,MATCH(TRUE(),INDEX(Catalogo_Vehiculos!$G$2:$G$1325=H285&amp;"|"&amp;I285,0),0)),"No en catálogo"))</f>
      </c>
      <c r="N285" s="20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9"/>
      <c r="Z285" s="19"/>
      <c r="AA285" s="15"/>
      <c r="AB285" s="15"/>
      <c r="AC285" s="15"/>
      <c r="AD285" s="15"/>
      <c r="AE285" s="15"/>
      <c r="AF285" s="19"/>
      <c r="AG285" s="19"/>
      <c r="AH285" s="15"/>
      <c r="AI285" s="15"/>
      <c r="AJ285" s="15"/>
      <c r="AK285" s="15"/>
      <c r="AL285" s="21"/>
      <c r="AM285" s="15"/>
      <c r="AN285" s="15"/>
      <c r="AO285" s="15"/>
      <c r="AP285" s="15"/>
      <c r="AQ285" s="15"/>
      <c r="AR285" s="15"/>
      <c r="AS285" s="15"/>
      <c r="AT285" s="19" t="str">
        <f>IF(COUNTA(A285:I285)+COUNTA(N285:X285)+COUNTA(AA285:AE285)+COUNTA(AH285:AS285)=0,"",IF(AND(A285&lt;&gt;"",E285&lt;&gt;"",OR(F285&lt;&gt;"",G285&lt;&gt;""),H285&lt;&gt;"",I285&lt;&gt;"",J285&lt;&gt;"No en catálogo",S285&lt;&gt;"",T285&lt;&gt;"",U285&lt;&gt;"",V285&lt;&gt;"",OR(AR285&lt;&gt;"",AND(W285&lt;&gt;"",X285&lt;&gt;"",AA285&lt;&gt;"",AB285&lt;&gt;"")),OR(AS285&lt;&gt;"",AND(AD285&lt;&gt;"",AE285&lt;&gt;"",AH285&lt;&gt;"",AI285&lt;&gt;"")),AK285&lt;&gt;"",OR(AK285&lt;&gt;"programado",AL285&lt;&gt;""),OR(AM285&lt;&gt;"específica",AN285&lt;&gt;""),OR(AO285&lt;&gt;"específica",AP285&lt;&gt;"")),"OK","Revisar"))</f>
        <v/>
      </c>
    </row>
    <row r="286" ht="15" customHeight="1" spans="1:46" x14ac:dyDescent="0.25">
      <c r="A286" s="15"/>
      <c r="B286" s="15"/>
      <c r="C286" s="15"/>
      <c r="D286" s="15"/>
      <c r="E286" s="15"/>
      <c r="F286" s="15"/>
      <c r="G286" s="15"/>
      <c r="H286" s="15"/>
      <c r="I286" s="15"/>
      <c r="J286" s="19">
        <f>IF(OR(H286="",I286=""),"",IFERROR(INDEX(Catalogo_Vehiculos!$C$2:$C$1325,MATCH(TRUE(),INDEX(Catalogo_Vehiculos!$G$2:$G$1325=H286&amp;"|"&amp;I286,0),0)),"No en catálogo"))</f>
      </c>
      <c r="K286" s="19">
        <f>IF(OR(H286="",I286=""),"",IFERROR(INDEX(Catalogo_Vehiculos!$D$2:$D$1325,MATCH(TRUE(),INDEX(Catalogo_Vehiculos!$G$2:$G$1325=H286&amp;"|"&amp;I286,0),0)),"No en catálogo"))</f>
      </c>
      <c r="L286" s="19">
        <f>IF(OR(H286="",I286=""),"",IFERROR(INDEX(Catalogo_Vehiculos!$E$2:$E$1325,MATCH(TRUE(),INDEX(Catalogo_Vehiculos!$G$2:$G$1325=H286&amp;"|"&amp;I286,0),0)),"No en catálogo"))</f>
      </c>
      <c r="M286" s="19">
        <f>IF(OR(H286="",I286=""),"",IFERROR(INDEX(Catalogo_Vehiculos!$F$2:$F$1325,MATCH(TRUE(),INDEX(Catalogo_Vehiculos!$G$2:$G$1325=H286&amp;"|"&amp;I286,0),0)),"No en catálogo"))</f>
      </c>
      <c r="N286" s="20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9"/>
      <c r="Z286" s="19"/>
      <c r="AA286" s="15"/>
      <c r="AB286" s="15"/>
      <c r="AC286" s="15"/>
      <c r="AD286" s="15"/>
      <c r="AE286" s="15"/>
      <c r="AF286" s="19"/>
      <c r="AG286" s="19"/>
      <c r="AH286" s="15"/>
      <c r="AI286" s="15"/>
      <c r="AJ286" s="15"/>
      <c r="AK286" s="15"/>
      <c r="AL286" s="21"/>
      <c r="AM286" s="15"/>
      <c r="AN286" s="15"/>
      <c r="AO286" s="15"/>
      <c r="AP286" s="15"/>
      <c r="AQ286" s="15"/>
      <c r="AR286" s="15"/>
      <c r="AS286" s="15"/>
      <c r="AT286" s="19" t="str">
        <f>IF(COUNTA(A286:I286)+COUNTA(N286:X286)+COUNTA(AA286:AE286)+COUNTA(AH286:AS286)=0,"",IF(AND(A286&lt;&gt;"",E286&lt;&gt;"",OR(F286&lt;&gt;"",G286&lt;&gt;""),H286&lt;&gt;"",I286&lt;&gt;"",J286&lt;&gt;"No en catálogo",S286&lt;&gt;"",T286&lt;&gt;"",U286&lt;&gt;"",V286&lt;&gt;"",OR(AR286&lt;&gt;"",AND(W286&lt;&gt;"",X286&lt;&gt;"",AA286&lt;&gt;"",AB286&lt;&gt;"")),OR(AS286&lt;&gt;"",AND(AD286&lt;&gt;"",AE286&lt;&gt;"",AH286&lt;&gt;"",AI286&lt;&gt;"")),AK286&lt;&gt;"",OR(AK286&lt;&gt;"programado",AL286&lt;&gt;""),OR(AM286&lt;&gt;"específica",AN286&lt;&gt;""),OR(AO286&lt;&gt;"específica",AP286&lt;&gt;"")),"OK","Revisar"))</f>
        <v/>
      </c>
    </row>
    <row r="287" ht="15" customHeight="1" spans="1:46" x14ac:dyDescent="0.25">
      <c r="A287" s="15"/>
      <c r="B287" s="15"/>
      <c r="C287" s="15"/>
      <c r="D287" s="15"/>
      <c r="E287" s="15"/>
      <c r="F287" s="15"/>
      <c r="G287" s="15"/>
      <c r="H287" s="15"/>
      <c r="I287" s="15"/>
      <c r="J287" s="19">
        <f>IF(OR(H287="",I287=""),"",IFERROR(INDEX(Catalogo_Vehiculos!$C$2:$C$1325,MATCH(TRUE(),INDEX(Catalogo_Vehiculos!$G$2:$G$1325=H287&amp;"|"&amp;I287,0),0)),"No en catálogo"))</f>
      </c>
      <c r="K287" s="19">
        <f>IF(OR(H287="",I287=""),"",IFERROR(INDEX(Catalogo_Vehiculos!$D$2:$D$1325,MATCH(TRUE(),INDEX(Catalogo_Vehiculos!$G$2:$G$1325=H287&amp;"|"&amp;I287,0),0)),"No en catálogo"))</f>
      </c>
      <c r="L287" s="19">
        <f>IF(OR(H287="",I287=""),"",IFERROR(INDEX(Catalogo_Vehiculos!$E$2:$E$1325,MATCH(TRUE(),INDEX(Catalogo_Vehiculos!$G$2:$G$1325=H287&amp;"|"&amp;I287,0),0)),"No en catálogo"))</f>
      </c>
      <c r="M287" s="19">
        <f>IF(OR(H287="",I287=""),"",IFERROR(INDEX(Catalogo_Vehiculos!$F$2:$F$1325,MATCH(TRUE(),INDEX(Catalogo_Vehiculos!$G$2:$G$1325=H287&amp;"|"&amp;I287,0),0)),"No en catálogo"))</f>
      </c>
      <c r="N287" s="20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9"/>
      <c r="Z287" s="19"/>
      <c r="AA287" s="15"/>
      <c r="AB287" s="15"/>
      <c r="AC287" s="15"/>
      <c r="AD287" s="15"/>
      <c r="AE287" s="15"/>
      <c r="AF287" s="19"/>
      <c r="AG287" s="19"/>
      <c r="AH287" s="15"/>
      <c r="AI287" s="15"/>
      <c r="AJ287" s="15"/>
      <c r="AK287" s="15"/>
      <c r="AL287" s="21"/>
      <c r="AM287" s="15"/>
      <c r="AN287" s="15"/>
      <c r="AO287" s="15"/>
      <c r="AP287" s="15"/>
      <c r="AQ287" s="15"/>
      <c r="AR287" s="15"/>
      <c r="AS287" s="15"/>
      <c r="AT287" s="19" t="str">
        <f>IF(COUNTA(A287:I287)+COUNTA(N287:X287)+COUNTA(AA287:AE287)+COUNTA(AH287:AS287)=0,"",IF(AND(A287&lt;&gt;"",E287&lt;&gt;"",OR(F287&lt;&gt;"",G287&lt;&gt;""),H287&lt;&gt;"",I287&lt;&gt;"",J287&lt;&gt;"No en catálogo",S287&lt;&gt;"",T287&lt;&gt;"",U287&lt;&gt;"",V287&lt;&gt;"",OR(AR287&lt;&gt;"",AND(W287&lt;&gt;"",X287&lt;&gt;"",AA287&lt;&gt;"",AB287&lt;&gt;"")),OR(AS287&lt;&gt;"",AND(AD287&lt;&gt;"",AE287&lt;&gt;"",AH287&lt;&gt;"",AI287&lt;&gt;"")),AK287&lt;&gt;"",OR(AK287&lt;&gt;"programado",AL287&lt;&gt;""),OR(AM287&lt;&gt;"específica",AN287&lt;&gt;""),OR(AO287&lt;&gt;"específica",AP287&lt;&gt;"")),"OK","Revisar"))</f>
        <v/>
      </c>
    </row>
    <row r="288" ht="15" customHeight="1" spans="1:46" x14ac:dyDescent="0.25">
      <c r="A288" s="15"/>
      <c r="B288" s="15"/>
      <c r="C288" s="15"/>
      <c r="D288" s="15"/>
      <c r="E288" s="15"/>
      <c r="F288" s="15"/>
      <c r="G288" s="15"/>
      <c r="H288" s="15"/>
      <c r="I288" s="15"/>
      <c r="J288" s="19">
        <f>IF(OR(H288="",I288=""),"",IFERROR(INDEX(Catalogo_Vehiculos!$C$2:$C$1325,MATCH(TRUE(),INDEX(Catalogo_Vehiculos!$G$2:$G$1325=H288&amp;"|"&amp;I288,0),0)),"No en catálogo"))</f>
      </c>
      <c r="K288" s="19">
        <f>IF(OR(H288="",I288=""),"",IFERROR(INDEX(Catalogo_Vehiculos!$D$2:$D$1325,MATCH(TRUE(),INDEX(Catalogo_Vehiculos!$G$2:$G$1325=H288&amp;"|"&amp;I288,0),0)),"No en catálogo"))</f>
      </c>
      <c r="L288" s="19">
        <f>IF(OR(H288="",I288=""),"",IFERROR(INDEX(Catalogo_Vehiculos!$E$2:$E$1325,MATCH(TRUE(),INDEX(Catalogo_Vehiculos!$G$2:$G$1325=H288&amp;"|"&amp;I288,0),0)),"No en catálogo"))</f>
      </c>
      <c r="M288" s="19">
        <f>IF(OR(H288="",I288=""),"",IFERROR(INDEX(Catalogo_Vehiculos!$F$2:$F$1325,MATCH(TRUE(),INDEX(Catalogo_Vehiculos!$G$2:$G$1325=H288&amp;"|"&amp;I288,0),0)),"No en catálogo"))</f>
      </c>
      <c r="N288" s="20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9"/>
      <c r="Z288" s="19"/>
      <c r="AA288" s="15"/>
      <c r="AB288" s="15"/>
      <c r="AC288" s="15"/>
      <c r="AD288" s="15"/>
      <c r="AE288" s="15"/>
      <c r="AF288" s="19"/>
      <c r="AG288" s="19"/>
      <c r="AH288" s="15"/>
      <c r="AI288" s="15"/>
      <c r="AJ288" s="15"/>
      <c r="AK288" s="15"/>
      <c r="AL288" s="21"/>
      <c r="AM288" s="15"/>
      <c r="AN288" s="15"/>
      <c r="AO288" s="15"/>
      <c r="AP288" s="15"/>
      <c r="AQ288" s="15"/>
      <c r="AR288" s="15"/>
      <c r="AS288" s="15"/>
      <c r="AT288" s="19" t="str">
        <f>IF(COUNTA(A288:I288)+COUNTA(N288:X288)+COUNTA(AA288:AE288)+COUNTA(AH288:AS288)=0,"",IF(AND(A288&lt;&gt;"",E288&lt;&gt;"",OR(F288&lt;&gt;"",G288&lt;&gt;""),H288&lt;&gt;"",I288&lt;&gt;"",J288&lt;&gt;"No en catálogo",S288&lt;&gt;"",T288&lt;&gt;"",U288&lt;&gt;"",V288&lt;&gt;"",OR(AR288&lt;&gt;"",AND(W288&lt;&gt;"",X288&lt;&gt;"",AA288&lt;&gt;"",AB288&lt;&gt;"")),OR(AS288&lt;&gt;"",AND(AD288&lt;&gt;"",AE288&lt;&gt;"",AH288&lt;&gt;"",AI288&lt;&gt;"")),AK288&lt;&gt;"",OR(AK288&lt;&gt;"programado",AL288&lt;&gt;""),OR(AM288&lt;&gt;"específica",AN288&lt;&gt;""),OR(AO288&lt;&gt;"específica",AP288&lt;&gt;"")),"OK","Revisar"))</f>
        <v/>
      </c>
    </row>
    <row r="289" ht="15" customHeight="1" spans="1:46" x14ac:dyDescent="0.25">
      <c r="A289" s="15"/>
      <c r="B289" s="15"/>
      <c r="C289" s="15"/>
      <c r="D289" s="15"/>
      <c r="E289" s="15"/>
      <c r="F289" s="15"/>
      <c r="G289" s="15"/>
      <c r="H289" s="15"/>
      <c r="I289" s="15"/>
      <c r="J289" s="19">
        <f>IF(OR(H289="",I289=""),"",IFERROR(INDEX(Catalogo_Vehiculos!$C$2:$C$1325,MATCH(TRUE(),INDEX(Catalogo_Vehiculos!$G$2:$G$1325=H289&amp;"|"&amp;I289,0),0)),"No en catálogo"))</f>
      </c>
      <c r="K289" s="19">
        <f>IF(OR(H289="",I289=""),"",IFERROR(INDEX(Catalogo_Vehiculos!$D$2:$D$1325,MATCH(TRUE(),INDEX(Catalogo_Vehiculos!$G$2:$G$1325=H289&amp;"|"&amp;I289,0),0)),"No en catálogo"))</f>
      </c>
      <c r="L289" s="19">
        <f>IF(OR(H289="",I289=""),"",IFERROR(INDEX(Catalogo_Vehiculos!$E$2:$E$1325,MATCH(TRUE(),INDEX(Catalogo_Vehiculos!$G$2:$G$1325=H289&amp;"|"&amp;I289,0),0)),"No en catálogo"))</f>
      </c>
      <c r="M289" s="19">
        <f>IF(OR(H289="",I289=""),"",IFERROR(INDEX(Catalogo_Vehiculos!$F$2:$F$1325,MATCH(TRUE(),INDEX(Catalogo_Vehiculos!$G$2:$G$1325=H289&amp;"|"&amp;I289,0),0)),"No en catálogo"))</f>
      </c>
      <c r="N289" s="20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9"/>
      <c r="Z289" s="19"/>
      <c r="AA289" s="15"/>
      <c r="AB289" s="15"/>
      <c r="AC289" s="15"/>
      <c r="AD289" s="15"/>
      <c r="AE289" s="15"/>
      <c r="AF289" s="19"/>
      <c r="AG289" s="19"/>
      <c r="AH289" s="15"/>
      <c r="AI289" s="15"/>
      <c r="AJ289" s="15"/>
      <c r="AK289" s="15"/>
      <c r="AL289" s="21"/>
      <c r="AM289" s="15"/>
      <c r="AN289" s="15"/>
      <c r="AO289" s="15"/>
      <c r="AP289" s="15"/>
      <c r="AQ289" s="15"/>
      <c r="AR289" s="15"/>
      <c r="AS289" s="15"/>
      <c r="AT289" s="19" t="str">
        <f>IF(COUNTA(A289:I289)+COUNTA(N289:X289)+COUNTA(AA289:AE289)+COUNTA(AH289:AS289)=0,"",IF(AND(A289&lt;&gt;"",E289&lt;&gt;"",OR(F289&lt;&gt;"",G289&lt;&gt;""),H289&lt;&gt;"",I289&lt;&gt;"",J289&lt;&gt;"No en catálogo",S289&lt;&gt;"",T289&lt;&gt;"",U289&lt;&gt;"",V289&lt;&gt;"",OR(AR289&lt;&gt;"",AND(W289&lt;&gt;"",X289&lt;&gt;"",AA289&lt;&gt;"",AB289&lt;&gt;"")),OR(AS289&lt;&gt;"",AND(AD289&lt;&gt;"",AE289&lt;&gt;"",AH289&lt;&gt;"",AI289&lt;&gt;"")),AK289&lt;&gt;"",OR(AK289&lt;&gt;"programado",AL289&lt;&gt;""),OR(AM289&lt;&gt;"específica",AN289&lt;&gt;""),OR(AO289&lt;&gt;"específica",AP289&lt;&gt;"")),"OK","Revisar"))</f>
        <v/>
      </c>
    </row>
    <row r="290" ht="15" customHeight="1" spans="1:46" x14ac:dyDescent="0.25">
      <c r="A290" s="15"/>
      <c r="B290" s="15"/>
      <c r="C290" s="15"/>
      <c r="D290" s="15"/>
      <c r="E290" s="15"/>
      <c r="F290" s="15"/>
      <c r="G290" s="15"/>
      <c r="H290" s="15"/>
      <c r="I290" s="15"/>
      <c r="J290" s="19">
        <f>IF(OR(H290="",I290=""),"",IFERROR(INDEX(Catalogo_Vehiculos!$C$2:$C$1325,MATCH(TRUE(),INDEX(Catalogo_Vehiculos!$G$2:$G$1325=H290&amp;"|"&amp;I290,0),0)),"No en catálogo"))</f>
      </c>
      <c r="K290" s="19">
        <f>IF(OR(H290="",I290=""),"",IFERROR(INDEX(Catalogo_Vehiculos!$D$2:$D$1325,MATCH(TRUE(),INDEX(Catalogo_Vehiculos!$G$2:$G$1325=H290&amp;"|"&amp;I290,0),0)),"No en catálogo"))</f>
      </c>
      <c r="L290" s="19">
        <f>IF(OR(H290="",I290=""),"",IFERROR(INDEX(Catalogo_Vehiculos!$E$2:$E$1325,MATCH(TRUE(),INDEX(Catalogo_Vehiculos!$G$2:$G$1325=H290&amp;"|"&amp;I290,0),0)),"No en catálogo"))</f>
      </c>
      <c r="M290" s="19">
        <f>IF(OR(H290="",I290=""),"",IFERROR(INDEX(Catalogo_Vehiculos!$F$2:$F$1325,MATCH(TRUE(),INDEX(Catalogo_Vehiculos!$G$2:$G$1325=H290&amp;"|"&amp;I290,0),0)),"No en catálogo"))</f>
      </c>
      <c r="N290" s="20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9"/>
      <c r="Z290" s="19"/>
      <c r="AA290" s="15"/>
      <c r="AB290" s="15"/>
      <c r="AC290" s="15"/>
      <c r="AD290" s="15"/>
      <c r="AE290" s="15"/>
      <c r="AF290" s="19"/>
      <c r="AG290" s="19"/>
      <c r="AH290" s="15"/>
      <c r="AI290" s="15"/>
      <c r="AJ290" s="15"/>
      <c r="AK290" s="15"/>
      <c r="AL290" s="21"/>
      <c r="AM290" s="15"/>
      <c r="AN290" s="15"/>
      <c r="AO290" s="15"/>
      <c r="AP290" s="15"/>
      <c r="AQ290" s="15"/>
      <c r="AR290" s="15"/>
      <c r="AS290" s="15"/>
      <c r="AT290" s="19" t="str">
        <f>IF(COUNTA(A290:I290)+COUNTA(N290:X290)+COUNTA(AA290:AE290)+COUNTA(AH290:AS290)=0,"",IF(AND(A290&lt;&gt;"",E290&lt;&gt;"",OR(F290&lt;&gt;"",G290&lt;&gt;""),H290&lt;&gt;"",I290&lt;&gt;"",J290&lt;&gt;"No en catálogo",S290&lt;&gt;"",T290&lt;&gt;"",U290&lt;&gt;"",V290&lt;&gt;"",OR(AR290&lt;&gt;"",AND(W290&lt;&gt;"",X290&lt;&gt;"",AA290&lt;&gt;"",AB290&lt;&gt;"")),OR(AS290&lt;&gt;"",AND(AD290&lt;&gt;"",AE290&lt;&gt;"",AH290&lt;&gt;"",AI290&lt;&gt;"")),AK290&lt;&gt;"",OR(AK290&lt;&gt;"programado",AL290&lt;&gt;""),OR(AM290&lt;&gt;"específica",AN290&lt;&gt;""),OR(AO290&lt;&gt;"específica",AP290&lt;&gt;"")),"OK","Revisar"))</f>
        <v/>
      </c>
    </row>
    <row r="291" ht="15" customHeight="1" spans="1:46" x14ac:dyDescent="0.25">
      <c r="A291" s="15"/>
      <c r="B291" s="15"/>
      <c r="C291" s="15"/>
      <c r="D291" s="15"/>
      <c r="E291" s="15"/>
      <c r="F291" s="15"/>
      <c r="G291" s="15"/>
      <c r="H291" s="15"/>
      <c r="I291" s="15"/>
      <c r="J291" s="19">
        <f>IF(OR(H291="",I291=""),"",IFERROR(INDEX(Catalogo_Vehiculos!$C$2:$C$1325,MATCH(TRUE(),INDEX(Catalogo_Vehiculos!$G$2:$G$1325=H291&amp;"|"&amp;I291,0),0)),"No en catálogo"))</f>
      </c>
      <c r="K291" s="19">
        <f>IF(OR(H291="",I291=""),"",IFERROR(INDEX(Catalogo_Vehiculos!$D$2:$D$1325,MATCH(TRUE(),INDEX(Catalogo_Vehiculos!$G$2:$G$1325=H291&amp;"|"&amp;I291,0),0)),"No en catálogo"))</f>
      </c>
      <c r="L291" s="19">
        <f>IF(OR(H291="",I291=""),"",IFERROR(INDEX(Catalogo_Vehiculos!$E$2:$E$1325,MATCH(TRUE(),INDEX(Catalogo_Vehiculos!$G$2:$G$1325=H291&amp;"|"&amp;I291,0),0)),"No en catálogo"))</f>
      </c>
      <c r="M291" s="19">
        <f>IF(OR(H291="",I291=""),"",IFERROR(INDEX(Catalogo_Vehiculos!$F$2:$F$1325,MATCH(TRUE(),INDEX(Catalogo_Vehiculos!$G$2:$G$1325=H291&amp;"|"&amp;I291,0),0)),"No en catálogo"))</f>
      </c>
      <c r="N291" s="20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9"/>
      <c r="Z291" s="19"/>
      <c r="AA291" s="15"/>
      <c r="AB291" s="15"/>
      <c r="AC291" s="15"/>
      <c r="AD291" s="15"/>
      <c r="AE291" s="15"/>
      <c r="AF291" s="19"/>
      <c r="AG291" s="19"/>
      <c r="AH291" s="15"/>
      <c r="AI291" s="15"/>
      <c r="AJ291" s="15"/>
      <c r="AK291" s="15"/>
      <c r="AL291" s="21"/>
      <c r="AM291" s="15"/>
      <c r="AN291" s="15"/>
      <c r="AO291" s="15"/>
      <c r="AP291" s="15"/>
      <c r="AQ291" s="15"/>
      <c r="AR291" s="15"/>
      <c r="AS291" s="15"/>
      <c r="AT291" s="19" t="str">
        <f>IF(COUNTA(A291:I291)+COUNTA(N291:X291)+COUNTA(AA291:AE291)+COUNTA(AH291:AS291)=0,"",IF(AND(A291&lt;&gt;"",E291&lt;&gt;"",OR(F291&lt;&gt;"",G291&lt;&gt;""),H291&lt;&gt;"",I291&lt;&gt;"",J291&lt;&gt;"No en catálogo",S291&lt;&gt;"",T291&lt;&gt;"",U291&lt;&gt;"",V291&lt;&gt;"",OR(AR291&lt;&gt;"",AND(W291&lt;&gt;"",X291&lt;&gt;"",AA291&lt;&gt;"",AB291&lt;&gt;"")),OR(AS291&lt;&gt;"",AND(AD291&lt;&gt;"",AE291&lt;&gt;"",AH291&lt;&gt;"",AI291&lt;&gt;"")),AK291&lt;&gt;"",OR(AK291&lt;&gt;"programado",AL291&lt;&gt;""),OR(AM291&lt;&gt;"específica",AN291&lt;&gt;""),OR(AO291&lt;&gt;"específica",AP291&lt;&gt;"")),"OK","Revisar"))</f>
        <v/>
      </c>
    </row>
    <row r="292" ht="15" customHeight="1" spans="1:46" x14ac:dyDescent="0.25">
      <c r="A292" s="15"/>
      <c r="B292" s="15"/>
      <c r="C292" s="15"/>
      <c r="D292" s="15"/>
      <c r="E292" s="15"/>
      <c r="F292" s="15"/>
      <c r="G292" s="15"/>
      <c r="H292" s="15"/>
      <c r="I292" s="15"/>
      <c r="J292" s="19">
        <f>IF(OR(H292="",I292=""),"",IFERROR(INDEX(Catalogo_Vehiculos!$C$2:$C$1325,MATCH(TRUE(),INDEX(Catalogo_Vehiculos!$G$2:$G$1325=H292&amp;"|"&amp;I292,0),0)),"No en catálogo"))</f>
      </c>
      <c r="K292" s="19">
        <f>IF(OR(H292="",I292=""),"",IFERROR(INDEX(Catalogo_Vehiculos!$D$2:$D$1325,MATCH(TRUE(),INDEX(Catalogo_Vehiculos!$G$2:$G$1325=H292&amp;"|"&amp;I292,0),0)),"No en catálogo"))</f>
      </c>
      <c r="L292" s="19">
        <f>IF(OR(H292="",I292=""),"",IFERROR(INDEX(Catalogo_Vehiculos!$E$2:$E$1325,MATCH(TRUE(),INDEX(Catalogo_Vehiculos!$G$2:$G$1325=H292&amp;"|"&amp;I292,0),0)),"No en catálogo"))</f>
      </c>
      <c r="M292" s="19">
        <f>IF(OR(H292="",I292=""),"",IFERROR(INDEX(Catalogo_Vehiculos!$F$2:$F$1325,MATCH(TRUE(),INDEX(Catalogo_Vehiculos!$G$2:$G$1325=H292&amp;"|"&amp;I292,0),0)),"No en catálogo"))</f>
      </c>
      <c r="N292" s="20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9"/>
      <c r="Z292" s="19"/>
      <c r="AA292" s="15"/>
      <c r="AB292" s="15"/>
      <c r="AC292" s="15"/>
      <c r="AD292" s="15"/>
      <c r="AE292" s="15"/>
      <c r="AF292" s="19"/>
      <c r="AG292" s="19"/>
      <c r="AH292" s="15"/>
      <c r="AI292" s="15"/>
      <c r="AJ292" s="15"/>
      <c r="AK292" s="15"/>
      <c r="AL292" s="21"/>
      <c r="AM292" s="15"/>
      <c r="AN292" s="15"/>
      <c r="AO292" s="15"/>
      <c r="AP292" s="15"/>
      <c r="AQ292" s="15"/>
      <c r="AR292" s="15"/>
      <c r="AS292" s="15"/>
      <c r="AT292" s="19" t="str">
        <f>IF(COUNTA(A292:I292)+COUNTA(N292:X292)+COUNTA(AA292:AE292)+COUNTA(AH292:AS292)=0,"",IF(AND(A292&lt;&gt;"",E292&lt;&gt;"",OR(F292&lt;&gt;"",G292&lt;&gt;""),H292&lt;&gt;"",I292&lt;&gt;"",J292&lt;&gt;"No en catálogo",S292&lt;&gt;"",T292&lt;&gt;"",U292&lt;&gt;"",V292&lt;&gt;"",OR(AR292&lt;&gt;"",AND(W292&lt;&gt;"",X292&lt;&gt;"",AA292&lt;&gt;"",AB292&lt;&gt;"")),OR(AS292&lt;&gt;"",AND(AD292&lt;&gt;"",AE292&lt;&gt;"",AH292&lt;&gt;"",AI292&lt;&gt;"")),AK292&lt;&gt;"",OR(AK292&lt;&gt;"programado",AL292&lt;&gt;""),OR(AM292&lt;&gt;"específica",AN292&lt;&gt;""),OR(AO292&lt;&gt;"específica",AP292&lt;&gt;"")),"OK","Revisar"))</f>
        <v/>
      </c>
    </row>
    <row r="293" ht="15" customHeight="1" spans="1:46" x14ac:dyDescent="0.25">
      <c r="A293" s="15"/>
      <c r="B293" s="15"/>
      <c r="C293" s="15"/>
      <c r="D293" s="15"/>
      <c r="E293" s="15"/>
      <c r="F293" s="15"/>
      <c r="G293" s="15"/>
      <c r="H293" s="15"/>
      <c r="I293" s="15"/>
      <c r="J293" s="19">
        <f>IF(OR(H293="",I293=""),"",IFERROR(INDEX(Catalogo_Vehiculos!$C$2:$C$1325,MATCH(TRUE(),INDEX(Catalogo_Vehiculos!$G$2:$G$1325=H293&amp;"|"&amp;I293,0),0)),"No en catálogo"))</f>
      </c>
      <c r="K293" s="19">
        <f>IF(OR(H293="",I293=""),"",IFERROR(INDEX(Catalogo_Vehiculos!$D$2:$D$1325,MATCH(TRUE(),INDEX(Catalogo_Vehiculos!$G$2:$G$1325=H293&amp;"|"&amp;I293,0),0)),"No en catálogo"))</f>
      </c>
      <c r="L293" s="19">
        <f>IF(OR(H293="",I293=""),"",IFERROR(INDEX(Catalogo_Vehiculos!$E$2:$E$1325,MATCH(TRUE(),INDEX(Catalogo_Vehiculos!$G$2:$G$1325=H293&amp;"|"&amp;I293,0),0)),"No en catálogo"))</f>
      </c>
      <c r="M293" s="19">
        <f>IF(OR(H293="",I293=""),"",IFERROR(INDEX(Catalogo_Vehiculos!$F$2:$F$1325,MATCH(TRUE(),INDEX(Catalogo_Vehiculos!$G$2:$G$1325=H293&amp;"|"&amp;I293,0),0)),"No en catálogo"))</f>
      </c>
      <c r="N293" s="20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9"/>
      <c r="Z293" s="19"/>
      <c r="AA293" s="15"/>
      <c r="AB293" s="15"/>
      <c r="AC293" s="15"/>
      <c r="AD293" s="15"/>
      <c r="AE293" s="15"/>
      <c r="AF293" s="19"/>
      <c r="AG293" s="19"/>
      <c r="AH293" s="15"/>
      <c r="AI293" s="15"/>
      <c r="AJ293" s="15"/>
      <c r="AK293" s="15"/>
      <c r="AL293" s="21"/>
      <c r="AM293" s="15"/>
      <c r="AN293" s="15"/>
      <c r="AO293" s="15"/>
      <c r="AP293" s="15"/>
      <c r="AQ293" s="15"/>
      <c r="AR293" s="15"/>
      <c r="AS293" s="15"/>
      <c r="AT293" s="19" t="str">
        <f>IF(COUNTA(A293:I293)+COUNTA(N293:X293)+COUNTA(AA293:AE293)+COUNTA(AH293:AS293)=0,"",IF(AND(A293&lt;&gt;"",E293&lt;&gt;"",OR(F293&lt;&gt;"",G293&lt;&gt;""),H293&lt;&gt;"",I293&lt;&gt;"",J293&lt;&gt;"No en catálogo",S293&lt;&gt;"",T293&lt;&gt;"",U293&lt;&gt;"",V293&lt;&gt;"",OR(AR293&lt;&gt;"",AND(W293&lt;&gt;"",X293&lt;&gt;"",AA293&lt;&gt;"",AB293&lt;&gt;"")),OR(AS293&lt;&gt;"",AND(AD293&lt;&gt;"",AE293&lt;&gt;"",AH293&lt;&gt;"",AI293&lt;&gt;"")),AK293&lt;&gt;"",OR(AK293&lt;&gt;"programado",AL293&lt;&gt;""),OR(AM293&lt;&gt;"específica",AN293&lt;&gt;""),OR(AO293&lt;&gt;"específica",AP293&lt;&gt;"")),"OK","Revisar"))</f>
        <v/>
      </c>
    </row>
    <row r="294" ht="15" customHeight="1" spans="1:46" x14ac:dyDescent="0.25">
      <c r="A294" s="15"/>
      <c r="B294" s="15"/>
      <c r="C294" s="15"/>
      <c r="D294" s="15"/>
      <c r="E294" s="15"/>
      <c r="F294" s="15"/>
      <c r="G294" s="15"/>
      <c r="H294" s="15"/>
      <c r="I294" s="15"/>
      <c r="J294" s="19">
        <f>IF(OR(H294="",I294=""),"",IFERROR(INDEX(Catalogo_Vehiculos!$C$2:$C$1325,MATCH(TRUE(),INDEX(Catalogo_Vehiculos!$G$2:$G$1325=H294&amp;"|"&amp;I294,0),0)),"No en catálogo"))</f>
      </c>
      <c r="K294" s="19">
        <f>IF(OR(H294="",I294=""),"",IFERROR(INDEX(Catalogo_Vehiculos!$D$2:$D$1325,MATCH(TRUE(),INDEX(Catalogo_Vehiculos!$G$2:$G$1325=H294&amp;"|"&amp;I294,0),0)),"No en catálogo"))</f>
      </c>
      <c r="L294" s="19">
        <f>IF(OR(H294="",I294=""),"",IFERROR(INDEX(Catalogo_Vehiculos!$E$2:$E$1325,MATCH(TRUE(),INDEX(Catalogo_Vehiculos!$G$2:$G$1325=H294&amp;"|"&amp;I294,0),0)),"No en catálogo"))</f>
      </c>
      <c r="M294" s="19">
        <f>IF(OR(H294="",I294=""),"",IFERROR(INDEX(Catalogo_Vehiculos!$F$2:$F$1325,MATCH(TRUE(),INDEX(Catalogo_Vehiculos!$G$2:$G$1325=H294&amp;"|"&amp;I294,0),0)),"No en catálogo"))</f>
      </c>
      <c r="N294" s="20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9"/>
      <c r="Z294" s="19"/>
      <c r="AA294" s="15"/>
      <c r="AB294" s="15"/>
      <c r="AC294" s="15"/>
      <c r="AD294" s="15"/>
      <c r="AE294" s="15"/>
      <c r="AF294" s="19"/>
      <c r="AG294" s="19"/>
      <c r="AH294" s="15"/>
      <c r="AI294" s="15"/>
      <c r="AJ294" s="15"/>
      <c r="AK294" s="15"/>
      <c r="AL294" s="21"/>
      <c r="AM294" s="15"/>
      <c r="AN294" s="15"/>
      <c r="AO294" s="15"/>
      <c r="AP294" s="15"/>
      <c r="AQ294" s="15"/>
      <c r="AR294" s="15"/>
      <c r="AS294" s="15"/>
      <c r="AT294" s="19" t="str">
        <f>IF(COUNTA(A294:I294)+COUNTA(N294:X294)+COUNTA(AA294:AE294)+COUNTA(AH294:AS294)=0,"",IF(AND(A294&lt;&gt;"",E294&lt;&gt;"",OR(F294&lt;&gt;"",G294&lt;&gt;""),H294&lt;&gt;"",I294&lt;&gt;"",J294&lt;&gt;"No en catálogo",S294&lt;&gt;"",T294&lt;&gt;"",U294&lt;&gt;"",V294&lt;&gt;"",OR(AR294&lt;&gt;"",AND(W294&lt;&gt;"",X294&lt;&gt;"",AA294&lt;&gt;"",AB294&lt;&gt;"")),OR(AS294&lt;&gt;"",AND(AD294&lt;&gt;"",AE294&lt;&gt;"",AH294&lt;&gt;"",AI294&lt;&gt;"")),AK294&lt;&gt;"",OR(AK294&lt;&gt;"programado",AL294&lt;&gt;""),OR(AM294&lt;&gt;"específica",AN294&lt;&gt;""),OR(AO294&lt;&gt;"específica",AP294&lt;&gt;"")),"OK","Revisar"))</f>
        <v/>
      </c>
    </row>
    <row r="295" ht="15" customHeight="1" spans="1:46" x14ac:dyDescent="0.25">
      <c r="A295" s="15"/>
      <c r="B295" s="15"/>
      <c r="C295" s="15"/>
      <c r="D295" s="15"/>
      <c r="E295" s="15"/>
      <c r="F295" s="15"/>
      <c r="G295" s="15"/>
      <c r="H295" s="15"/>
      <c r="I295" s="15"/>
      <c r="J295" s="19">
        <f>IF(OR(H295="",I295=""),"",IFERROR(INDEX(Catalogo_Vehiculos!$C$2:$C$1325,MATCH(TRUE(),INDEX(Catalogo_Vehiculos!$G$2:$G$1325=H295&amp;"|"&amp;I295,0),0)),"No en catálogo"))</f>
      </c>
      <c r="K295" s="19">
        <f>IF(OR(H295="",I295=""),"",IFERROR(INDEX(Catalogo_Vehiculos!$D$2:$D$1325,MATCH(TRUE(),INDEX(Catalogo_Vehiculos!$G$2:$G$1325=H295&amp;"|"&amp;I295,0),0)),"No en catálogo"))</f>
      </c>
      <c r="L295" s="19">
        <f>IF(OR(H295="",I295=""),"",IFERROR(INDEX(Catalogo_Vehiculos!$E$2:$E$1325,MATCH(TRUE(),INDEX(Catalogo_Vehiculos!$G$2:$G$1325=H295&amp;"|"&amp;I295,0),0)),"No en catálogo"))</f>
      </c>
      <c r="M295" s="19">
        <f>IF(OR(H295="",I295=""),"",IFERROR(INDEX(Catalogo_Vehiculos!$F$2:$F$1325,MATCH(TRUE(),INDEX(Catalogo_Vehiculos!$G$2:$G$1325=H295&amp;"|"&amp;I295,0),0)),"No en catálogo"))</f>
      </c>
      <c r="N295" s="20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9"/>
      <c r="Z295" s="19"/>
      <c r="AA295" s="15"/>
      <c r="AB295" s="15"/>
      <c r="AC295" s="15"/>
      <c r="AD295" s="15"/>
      <c r="AE295" s="15"/>
      <c r="AF295" s="19"/>
      <c r="AG295" s="19"/>
      <c r="AH295" s="15"/>
      <c r="AI295" s="15"/>
      <c r="AJ295" s="15"/>
      <c r="AK295" s="15"/>
      <c r="AL295" s="21"/>
      <c r="AM295" s="15"/>
      <c r="AN295" s="15"/>
      <c r="AO295" s="15"/>
      <c r="AP295" s="15"/>
      <c r="AQ295" s="15"/>
      <c r="AR295" s="15"/>
      <c r="AS295" s="15"/>
      <c r="AT295" s="19" t="str">
        <f>IF(COUNTA(A295:I295)+COUNTA(N295:X295)+COUNTA(AA295:AE295)+COUNTA(AH295:AS295)=0,"",IF(AND(A295&lt;&gt;"",E295&lt;&gt;"",OR(F295&lt;&gt;"",G295&lt;&gt;""),H295&lt;&gt;"",I295&lt;&gt;"",J295&lt;&gt;"No en catálogo",S295&lt;&gt;"",T295&lt;&gt;"",U295&lt;&gt;"",V295&lt;&gt;"",OR(AR295&lt;&gt;"",AND(W295&lt;&gt;"",X295&lt;&gt;"",AA295&lt;&gt;"",AB295&lt;&gt;"")),OR(AS295&lt;&gt;"",AND(AD295&lt;&gt;"",AE295&lt;&gt;"",AH295&lt;&gt;"",AI295&lt;&gt;"")),AK295&lt;&gt;"",OR(AK295&lt;&gt;"programado",AL295&lt;&gt;""),OR(AM295&lt;&gt;"específica",AN295&lt;&gt;""),OR(AO295&lt;&gt;"específica",AP295&lt;&gt;"")),"OK","Revisar"))</f>
        <v/>
      </c>
    </row>
    <row r="296" ht="15" customHeight="1" spans="1:46" x14ac:dyDescent="0.25">
      <c r="A296" s="15"/>
      <c r="B296" s="15"/>
      <c r="C296" s="15"/>
      <c r="D296" s="15"/>
      <c r="E296" s="15"/>
      <c r="F296" s="15"/>
      <c r="G296" s="15"/>
      <c r="H296" s="15"/>
      <c r="I296" s="15"/>
      <c r="J296" s="19">
        <f>IF(OR(H296="",I296=""),"",IFERROR(INDEX(Catalogo_Vehiculos!$C$2:$C$1325,MATCH(TRUE(),INDEX(Catalogo_Vehiculos!$G$2:$G$1325=H296&amp;"|"&amp;I296,0),0)),"No en catálogo"))</f>
      </c>
      <c r="K296" s="19">
        <f>IF(OR(H296="",I296=""),"",IFERROR(INDEX(Catalogo_Vehiculos!$D$2:$D$1325,MATCH(TRUE(),INDEX(Catalogo_Vehiculos!$G$2:$G$1325=H296&amp;"|"&amp;I296,0),0)),"No en catálogo"))</f>
      </c>
      <c r="L296" s="19">
        <f>IF(OR(H296="",I296=""),"",IFERROR(INDEX(Catalogo_Vehiculos!$E$2:$E$1325,MATCH(TRUE(),INDEX(Catalogo_Vehiculos!$G$2:$G$1325=H296&amp;"|"&amp;I296,0),0)),"No en catálogo"))</f>
      </c>
      <c r="M296" s="19">
        <f>IF(OR(H296="",I296=""),"",IFERROR(INDEX(Catalogo_Vehiculos!$F$2:$F$1325,MATCH(TRUE(),INDEX(Catalogo_Vehiculos!$G$2:$G$1325=H296&amp;"|"&amp;I296,0),0)),"No en catálogo"))</f>
      </c>
      <c r="N296" s="20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9"/>
      <c r="Z296" s="19"/>
      <c r="AA296" s="15"/>
      <c r="AB296" s="15"/>
      <c r="AC296" s="15"/>
      <c r="AD296" s="15"/>
      <c r="AE296" s="15"/>
      <c r="AF296" s="19"/>
      <c r="AG296" s="19"/>
      <c r="AH296" s="15"/>
      <c r="AI296" s="15"/>
      <c r="AJ296" s="15"/>
      <c r="AK296" s="15"/>
      <c r="AL296" s="21"/>
      <c r="AM296" s="15"/>
      <c r="AN296" s="15"/>
      <c r="AO296" s="15"/>
      <c r="AP296" s="15"/>
      <c r="AQ296" s="15"/>
      <c r="AR296" s="15"/>
      <c r="AS296" s="15"/>
      <c r="AT296" s="19" t="str">
        <f>IF(COUNTA(A296:I296)+COUNTA(N296:X296)+COUNTA(AA296:AE296)+COUNTA(AH296:AS296)=0,"",IF(AND(A296&lt;&gt;"",E296&lt;&gt;"",OR(F296&lt;&gt;"",G296&lt;&gt;""),H296&lt;&gt;"",I296&lt;&gt;"",J296&lt;&gt;"No en catálogo",S296&lt;&gt;"",T296&lt;&gt;"",U296&lt;&gt;"",V296&lt;&gt;"",OR(AR296&lt;&gt;"",AND(W296&lt;&gt;"",X296&lt;&gt;"",AA296&lt;&gt;"",AB296&lt;&gt;"")),OR(AS296&lt;&gt;"",AND(AD296&lt;&gt;"",AE296&lt;&gt;"",AH296&lt;&gt;"",AI296&lt;&gt;"")),AK296&lt;&gt;"",OR(AK296&lt;&gt;"programado",AL296&lt;&gt;""),OR(AM296&lt;&gt;"específica",AN296&lt;&gt;""),OR(AO296&lt;&gt;"específica",AP296&lt;&gt;"")),"OK","Revisar"))</f>
        <v/>
      </c>
    </row>
    <row r="297" ht="15" customHeight="1" spans="1:46" x14ac:dyDescent="0.25">
      <c r="A297" s="15"/>
      <c r="B297" s="15"/>
      <c r="C297" s="15"/>
      <c r="D297" s="15"/>
      <c r="E297" s="15"/>
      <c r="F297" s="15"/>
      <c r="G297" s="15"/>
      <c r="H297" s="15"/>
      <c r="I297" s="15"/>
      <c r="J297" s="19">
        <f>IF(OR(H297="",I297=""),"",IFERROR(INDEX(Catalogo_Vehiculos!$C$2:$C$1325,MATCH(TRUE(),INDEX(Catalogo_Vehiculos!$G$2:$G$1325=H297&amp;"|"&amp;I297,0),0)),"No en catálogo"))</f>
      </c>
      <c r="K297" s="19">
        <f>IF(OR(H297="",I297=""),"",IFERROR(INDEX(Catalogo_Vehiculos!$D$2:$D$1325,MATCH(TRUE(),INDEX(Catalogo_Vehiculos!$G$2:$G$1325=H297&amp;"|"&amp;I297,0),0)),"No en catálogo"))</f>
      </c>
      <c r="L297" s="19">
        <f>IF(OR(H297="",I297=""),"",IFERROR(INDEX(Catalogo_Vehiculos!$E$2:$E$1325,MATCH(TRUE(),INDEX(Catalogo_Vehiculos!$G$2:$G$1325=H297&amp;"|"&amp;I297,0),0)),"No en catálogo"))</f>
      </c>
      <c r="M297" s="19">
        <f>IF(OR(H297="",I297=""),"",IFERROR(INDEX(Catalogo_Vehiculos!$F$2:$F$1325,MATCH(TRUE(),INDEX(Catalogo_Vehiculos!$G$2:$G$1325=H297&amp;"|"&amp;I297,0),0)),"No en catálogo"))</f>
      </c>
      <c r="N297" s="20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9"/>
      <c r="Z297" s="19"/>
      <c r="AA297" s="15"/>
      <c r="AB297" s="15"/>
      <c r="AC297" s="15"/>
      <c r="AD297" s="15"/>
      <c r="AE297" s="15"/>
      <c r="AF297" s="19"/>
      <c r="AG297" s="19"/>
      <c r="AH297" s="15"/>
      <c r="AI297" s="15"/>
      <c r="AJ297" s="15"/>
      <c r="AK297" s="15"/>
      <c r="AL297" s="21"/>
      <c r="AM297" s="15"/>
      <c r="AN297" s="15"/>
      <c r="AO297" s="15"/>
      <c r="AP297" s="15"/>
      <c r="AQ297" s="15"/>
      <c r="AR297" s="15"/>
      <c r="AS297" s="15"/>
      <c r="AT297" s="19" t="str">
        <f>IF(COUNTA(A297:I297)+COUNTA(N297:X297)+COUNTA(AA297:AE297)+COUNTA(AH297:AS297)=0,"",IF(AND(A297&lt;&gt;"",E297&lt;&gt;"",OR(F297&lt;&gt;"",G297&lt;&gt;""),H297&lt;&gt;"",I297&lt;&gt;"",J297&lt;&gt;"No en catálogo",S297&lt;&gt;"",T297&lt;&gt;"",U297&lt;&gt;"",V297&lt;&gt;"",OR(AR297&lt;&gt;"",AND(W297&lt;&gt;"",X297&lt;&gt;"",AA297&lt;&gt;"",AB297&lt;&gt;"")),OR(AS297&lt;&gt;"",AND(AD297&lt;&gt;"",AE297&lt;&gt;"",AH297&lt;&gt;"",AI297&lt;&gt;"")),AK297&lt;&gt;"",OR(AK297&lt;&gt;"programado",AL297&lt;&gt;""),OR(AM297&lt;&gt;"específica",AN297&lt;&gt;""),OR(AO297&lt;&gt;"específica",AP297&lt;&gt;"")),"OK","Revisar"))</f>
        <v/>
      </c>
    </row>
    <row r="298" ht="15" customHeight="1" spans="1:46" x14ac:dyDescent="0.25">
      <c r="A298" s="15"/>
      <c r="B298" s="15"/>
      <c r="C298" s="15"/>
      <c r="D298" s="15"/>
      <c r="E298" s="15"/>
      <c r="F298" s="15"/>
      <c r="G298" s="15"/>
      <c r="H298" s="15"/>
      <c r="I298" s="15"/>
      <c r="J298" s="19">
        <f>IF(OR(H298="",I298=""),"",IFERROR(INDEX(Catalogo_Vehiculos!$C$2:$C$1325,MATCH(TRUE(),INDEX(Catalogo_Vehiculos!$G$2:$G$1325=H298&amp;"|"&amp;I298,0),0)),"No en catálogo"))</f>
      </c>
      <c r="K298" s="19">
        <f>IF(OR(H298="",I298=""),"",IFERROR(INDEX(Catalogo_Vehiculos!$D$2:$D$1325,MATCH(TRUE(),INDEX(Catalogo_Vehiculos!$G$2:$G$1325=H298&amp;"|"&amp;I298,0),0)),"No en catálogo"))</f>
      </c>
      <c r="L298" s="19">
        <f>IF(OR(H298="",I298=""),"",IFERROR(INDEX(Catalogo_Vehiculos!$E$2:$E$1325,MATCH(TRUE(),INDEX(Catalogo_Vehiculos!$G$2:$G$1325=H298&amp;"|"&amp;I298,0),0)),"No en catálogo"))</f>
      </c>
      <c r="M298" s="19">
        <f>IF(OR(H298="",I298=""),"",IFERROR(INDEX(Catalogo_Vehiculos!$F$2:$F$1325,MATCH(TRUE(),INDEX(Catalogo_Vehiculos!$G$2:$G$1325=H298&amp;"|"&amp;I298,0),0)),"No en catálogo"))</f>
      </c>
      <c r="N298" s="20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9"/>
      <c r="Z298" s="19"/>
      <c r="AA298" s="15"/>
      <c r="AB298" s="15"/>
      <c r="AC298" s="15"/>
      <c r="AD298" s="15"/>
      <c r="AE298" s="15"/>
      <c r="AF298" s="19"/>
      <c r="AG298" s="19"/>
      <c r="AH298" s="15"/>
      <c r="AI298" s="15"/>
      <c r="AJ298" s="15"/>
      <c r="AK298" s="15"/>
      <c r="AL298" s="21"/>
      <c r="AM298" s="15"/>
      <c r="AN298" s="15"/>
      <c r="AO298" s="15"/>
      <c r="AP298" s="15"/>
      <c r="AQ298" s="15"/>
      <c r="AR298" s="15"/>
      <c r="AS298" s="15"/>
      <c r="AT298" s="19" t="str">
        <f>IF(COUNTA(A298:I298)+COUNTA(N298:X298)+COUNTA(AA298:AE298)+COUNTA(AH298:AS298)=0,"",IF(AND(A298&lt;&gt;"",E298&lt;&gt;"",OR(F298&lt;&gt;"",G298&lt;&gt;""),H298&lt;&gt;"",I298&lt;&gt;"",J298&lt;&gt;"No en catálogo",S298&lt;&gt;"",T298&lt;&gt;"",U298&lt;&gt;"",V298&lt;&gt;"",OR(AR298&lt;&gt;"",AND(W298&lt;&gt;"",X298&lt;&gt;"",AA298&lt;&gt;"",AB298&lt;&gt;"")),OR(AS298&lt;&gt;"",AND(AD298&lt;&gt;"",AE298&lt;&gt;"",AH298&lt;&gt;"",AI298&lt;&gt;"")),AK298&lt;&gt;"",OR(AK298&lt;&gt;"programado",AL298&lt;&gt;""),OR(AM298&lt;&gt;"específica",AN298&lt;&gt;""),OR(AO298&lt;&gt;"específica",AP298&lt;&gt;"")),"OK","Revisar"))</f>
        <v/>
      </c>
    </row>
    <row r="299" ht="15" customHeight="1" spans="1:46" x14ac:dyDescent="0.25">
      <c r="A299" s="15"/>
      <c r="B299" s="15"/>
      <c r="C299" s="15"/>
      <c r="D299" s="15"/>
      <c r="E299" s="15"/>
      <c r="F299" s="15"/>
      <c r="G299" s="15"/>
      <c r="H299" s="15"/>
      <c r="I299" s="15"/>
      <c r="J299" s="19">
        <f>IF(OR(H299="",I299=""),"",IFERROR(INDEX(Catalogo_Vehiculos!$C$2:$C$1325,MATCH(TRUE(),INDEX(Catalogo_Vehiculos!$G$2:$G$1325=H299&amp;"|"&amp;I299,0),0)),"No en catálogo"))</f>
      </c>
      <c r="K299" s="19">
        <f>IF(OR(H299="",I299=""),"",IFERROR(INDEX(Catalogo_Vehiculos!$D$2:$D$1325,MATCH(TRUE(),INDEX(Catalogo_Vehiculos!$G$2:$G$1325=H299&amp;"|"&amp;I299,0),0)),"No en catálogo"))</f>
      </c>
      <c r="L299" s="19">
        <f>IF(OR(H299="",I299=""),"",IFERROR(INDEX(Catalogo_Vehiculos!$E$2:$E$1325,MATCH(TRUE(),INDEX(Catalogo_Vehiculos!$G$2:$G$1325=H299&amp;"|"&amp;I299,0),0)),"No en catálogo"))</f>
      </c>
      <c r="M299" s="19">
        <f>IF(OR(H299="",I299=""),"",IFERROR(INDEX(Catalogo_Vehiculos!$F$2:$F$1325,MATCH(TRUE(),INDEX(Catalogo_Vehiculos!$G$2:$G$1325=H299&amp;"|"&amp;I299,0),0)),"No en catálogo"))</f>
      </c>
      <c r="N299" s="20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9"/>
      <c r="Z299" s="19"/>
      <c r="AA299" s="15"/>
      <c r="AB299" s="15"/>
      <c r="AC299" s="15"/>
      <c r="AD299" s="15"/>
      <c r="AE299" s="15"/>
      <c r="AF299" s="19"/>
      <c r="AG299" s="19"/>
      <c r="AH299" s="15"/>
      <c r="AI299" s="15"/>
      <c r="AJ299" s="15"/>
      <c r="AK299" s="15"/>
      <c r="AL299" s="21"/>
      <c r="AM299" s="15"/>
      <c r="AN299" s="15"/>
      <c r="AO299" s="15"/>
      <c r="AP299" s="15"/>
      <c r="AQ299" s="15"/>
      <c r="AR299" s="15"/>
      <c r="AS299" s="15"/>
      <c r="AT299" s="19" t="str">
        <f>IF(COUNTA(A299:I299)+COUNTA(N299:X299)+COUNTA(AA299:AE299)+COUNTA(AH299:AS299)=0,"",IF(AND(A299&lt;&gt;"",E299&lt;&gt;"",OR(F299&lt;&gt;"",G299&lt;&gt;""),H299&lt;&gt;"",I299&lt;&gt;"",J299&lt;&gt;"No en catálogo",S299&lt;&gt;"",T299&lt;&gt;"",U299&lt;&gt;"",V299&lt;&gt;"",OR(AR299&lt;&gt;"",AND(W299&lt;&gt;"",X299&lt;&gt;"",AA299&lt;&gt;"",AB299&lt;&gt;"")),OR(AS299&lt;&gt;"",AND(AD299&lt;&gt;"",AE299&lt;&gt;"",AH299&lt;&gt;"",AI299&lt;&gt;"")),AK299&lt;&gt;"",OR(AK299&lt;&gt;"programado",AL299&lt;&gt;""),OR(AM299&lt;&gt;"específica",AN299&lt;&gt;""),OR(AO299&lt;&gt;"específica",AP299&lt;&gt;"")),"OK","Revisar"))</f>
        <v/>
      </c>
    </row>
    <row r="300" ht="15" customHeight="1" spans="1:46" x14ac:dyDescent="0.25">
      <c r="A300" s="15"/>
      <c r="B300" s="15"/>
      <c r="C300" s="15"/>
      <c r="D300" s="15"/>
      <c r="E300" s="15"/>
      <c r="F300" s="15"/>
      <c r="G300" s="15"/>
      <c r="H300" s="15"/>
      <c r="I300" s="15"/>
      <c r="J300" s="19">
        <f>IF(OR(H300="",I300=""),"",IFERROR(INDEX(Catalogo_Vehiculos!$C$2:$C$1325,MATCH(TRUE(),INDEX(Catalogo_Vehiculos!$G$2:$G$1325=H300&amp;"|"&amp;I300,0),0)),"No en catálogo"))</f>
      </c>
      <c r="K300" s="19">
        <f>IF(OR(H300="",I300=""),"",IFERROR(INDEX(Catalogo_Vehiculos!$D$2:$D$1325,MATCH(TRUE(),INDEX(Catalogo_Vehiculos!$G$2:$G$1325=H300&amp;"|"&amp;I300,0),0)),"No en catálogo"))</f>
      </c>
      <c r="L300" s="19">
        <f>IF(OR(H300="",I300=""),"",IFERROR(INDEX(Catalogo_Vehiculos!$E$2:$E$1325,MATCH(TRUE(),INDEX(Catalogo_Vehiculos!$G$2:$G$1325=H300&amp;"|"&amp;I300,0),0)),"No en catálogo"))</f>
      </c>
      <c r="M300" s="19">
        <f>IF(OR(H300="",I300=""),"",IFERROR(INDEX(Catalogo_Vehiculos!$F$2:$F$1325,MATCH(TRUE(),INDEX(Catalogo_Vehiculos!$G$2:$G$1325=H300&amp;"|"&amp;I300,0),0)),"No en catálogo"))</f>
      </c>
      <c r="N300" s="20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9"/>
      <c r="Z300" s="19"/>
      <c r="AA300" s="15"/>
      <c r="AB300" s="15"/>
      <c r="AC300" s="15"/>
      <c r="AD300" s="15"/>
      <c r="AE300" s="15"/>
      <c r="AF300" s="19"/>
      <c r="AG300" s="19"/>
      <c r="AH300" s="15"/>
      <c r="AI300" s="15"/>
      <c r="AJ300" s="15"/>
      <c r="AK300" s="15"/>
      <c r="AL300" s="21"/>
      <c r="AM300" s="15"/>
      <c r="AN300" s="15"/>
      <c r="AO300" s="15"/>
      <c r="AP300" s="15"/>
      <c r="AQ300" s="15"/>
      <c r="AR300" s="15"/>
      <c r="AS300" s="15"/>
      <c r="AT300" s="19" t="str">
        <f>IF(COUNTA(A300:I300)+COUNTA(N300:X300)+COUNTA(AA300:AE300)+COUNTA(AH300:AS300)=0,"",IF(AND(A300&lt;&gt;"",E300&lt;&gt;"",OR(F300&lt;&gt;"",G300&lt;&gt;""),H300&lt;&gt;"",I300&lt;&gt;"",J300&lt;&gt;"No en catálogo",S300&lt;&gt;"",T300&lt;&gt;"",U300&lt;&gt;"",V300&lt;&gt;"",OR(AR300&lt;&gt;"",AND(W300&lt;&gt;"",X300&lt;&gt;"",AA300&lt;&gt;"",AB300&lt;&gt;"")),OR(AS300&lt;&gt;"",AND(AD300&lt;&gt;"",AE300&lt;&gt;"",AH300&lt;&gt;"",AI300&lt;&gt;"")),AK300&lt;&gt;"",OR(AK300&lt;&gt;"programado",AL300&lt;&gt;""),OR(AM300&lt;&gt;"específica",AN300&lt;&gt;""),OR(AO300&lt;&gt;"específica",AP300&lt;&gt;"")),"OK","Revisar"))</f>
        <v/>
      </c>
    </row>
    <row r="301" ht="15" customHeight="1" spans="1:46" x14ac:dyDescent="0.25">
      <c r="A301" s="15"/>
      <c r="B301" s="15"/>
      <c r="C301" s="15"/>
      <c r="D301" s="15"/>
      <c r="E301" s="15"/>
      <c r="F301" s="15"/>
      <c r="G301" s="15"/>
      <c r="H301" s="15"/>
      <c r="I301" s="15"/>
      <c r="J301" s="19">
        <f>IF(OR(H301="",I301=""),"",IFERROR(INDEX(Catalogo_Vehiculos!$C$2:$C$1325,MATCH(TRUE(),INDEX(Catalogo_Vehiculos!$G$2:$G$1325=H301&amp;"|"&amp;I301,0),0)),"No en catálogo"))</f>
      </c>
      <c r="K301" s="19">
        <f>IF(OR(H301="",I301=""),"",IFERROR(INDEX(Catalogo_Vehiculos!$D$2:$D$1325,MATCH(TRUE(),INDEX(Catalogo_Vehiculos!$G$2:$G$1325=H301&amp;"|"&amp;I301,0),0)),"No en catálogo"))</f>
      </c>
      <c r="L301" s="19">
        <f>IF(OR(H301="",I301=""),"",IFERROR(INDEX(Catalogo_Vehiculos!$E$2:$E$1325,MATCH(TRUE(),INDEX(Catalogo_Vehiculos!$G$2:$G$1325=H301&amp;"|"&amp;I301,0),0)),"No en catálogo"))</f>
      </c>
      <c r="M301" s="19">
        <f>IF(OR(H301="",I301=""),"",IFERROR(INDEX(Catalogo_Vehiculos!$F$2:$F$1325,MATCH(TRUE(),INDEX(Catalogo_Vehiculos!$G$2:$G$1325=H301&amp;"|"&amp;I301,0),0)),"No en catálogo"))</f>
      </c>
      <c r="N301" s="20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9"/>
      <c r="Z301" s="19"/>
      <c r="AA301" s="15"/>
      <c r="AB301" s="15"/>
      <c r="AC301" s="15"/>
      <c r="AD301" s="15"/>
      <c r="AE301" s="15"/>
      <c r="AF301" s="19"/>
      <c r="AG301" s="19"/>
      <c r="AH301" s="15"/>
      <c r="AI301" s="15"/>
      <c r="AJ301" s="15"/>
      <c r="AK301" s="15"/>
      <c r="AL301" s="21"/>
      <c r="AM301" s="15"/>
      <c r="AN301" s="15"/>
      <c r="AO301" s="15"/>
      <c r="AP301" s="15"/>
      <c r="AQ301" s="15"/>
      <c r="AR301" s="15"/>
      <c r="AS301" s="15"/>
      <c r="AT301" s="19" t="str">
        <f>IF(COUNTA(A301:I301)+COUNTA(N301:X301)+COUNTA(AA301:AE301)+COUNTA(AH301:AS301)=0,"",IF(AND(A301&lt;&gt;"",E301&lt;&gt;"",OR(F301&lt;&gt;"",G301&lt;&gt;""),H301&lt;&gt;"",I301&lt;&gt;"",J301&lt;&gt;"No en catálogo",S301&lt;&gt;"",T301&lt;&gt;"",U301&lt;&gt;"",V301&lt;&gt;"",OR(AR301&lt;&gt;"",AND(W301&lt;&gt;"",X301&lt;&gt;"",AA301&lt;&gt;"",AB301&lt;&gt;"")),OR(AS301&lt;&gt;"",AND(AD301&lt;&gt;"",AE301&lt;&gt;"",AH301&lt;&gt;"",AI301&lt;&gt;"")),AK301&lt;&gt;"",OR(AK301&lt;&gt;"programado",AL301&lt;&gt;""),OR(AM301&lt;&gt;"específica",AN301&lt;&gt;""),OR(AO301&lt;&gt;"específica",AP301&lt;&gt;"")),"OK","Revisar"))</f>
        <v/>
      </c>
    </row>
    <row r="302" ht="15" customHeight="1" spans="1:46" x14ac:dyDescent="0.25">
      <c r="A302" s="15"/>
      <c r="B302" s="15"/>
      <c r="C302" s="15"/>
      <c r="D302" s="15"/>
      <c r="E302" s="15"/>
      <c r="F302" s="15"/>
      <c r="G302" s="15"/>
      <c r="H302" s="15"/>
      <c r="I302" s="15"/>
      <c r="J302" s="19">
        <f>IF(OR(H302="",I302=""),"",IFERROR(INDEX(Catalogo_Vehiculos!$C$2:$C$1325,MATCH(TRUE(),INDEX(Catalogo_Vehiculos!$G$2:$G$1325=H302&amp;"|"&amp;I302,0),0)),"No en catálogo"))</f>
      </c>
      <c r="K302" s="19">
        <f>IF(OR(H302="",I302=""),"",IFERROR(INDEX(Catalogo_Vehiculos!$D$2:$D$1325,MATCH(TRUE(),INDEX(Catalogo_Vehiculos!$G$2:$G$1325=H302&amp;"|"&amp;I302,0),0)),"No en catálogo"))</f>
      </c>
      <c r="L302" s="19">
        <f>IF(OR(H302="",I302=""),"",IFERROR(INDEX(Catalogo_Vehiculos!$E$2:$E$1325,MATCH(TRUE(),INDEX(Catalogo_Vehiculos!$G$2:$G$1325=H302&amp;"|"&amp;I302,0),0)),"No en catálogo"))</f>
      </c>
      <c r="M302" s="19">
        <f>IF(OR(H302="",I302=""),"",IFERROR(INDEX(Catalogo_Vehiculos!$F$2:$F$1325,MATCH(TRUE(),INDEX(Catalogo_Vehiculos!$G$2:$G$1325=H302&amp;"|"&amp;I302,0),0)),"No en catálogo"))</f>
      </c>
      <c r="N302" s="20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9"/>
      <c r="Z302" s="19"/>
      <c r="AA302" s="15"/>
      <c r="AB302" s="15"/>
      <c r="AC302" s="15"/>
      <c r="AD302" s="15"/>
      <c r="AE302" s="15"/>
      <c r="AF302" s="19"/>
      <c r="AG302" s="19"/>
      <c r="AH302" s="15"/>
      <c r="AI302" s="15"/>
      <c r="AJ302" s="15"/>
      <c r="AK302" s="15"/>
      <c r="AL302" s="21"/>
      <c r="AM302" s="15"/>
      <c r="AN302" s="15"/>
      <c r="AO302" s="15"/>
      <c r="AP302" s="15"/>
      <c r="AQ302" s="15"/>
      <c r="AR302" s="15"/>
      <c r="AS302" s="15"/>
      <c r="AT302" s="19" t="str">
        <f>IF(COUNTA(A302:I302)+COUNTA(N302:X302)+COUNTA(AA302:AE302)+COUNTA(AH302:AS302)=0,"",IF(AND(A302&lt;&gt;"",E302&lt;&gt;"",OR(F302&lt;&gt;"",G302&lt;&gt;""),H302&lt;&gt;"",I302&lt;&gt;"",J302&lt;&gt;"No en catálogo",S302&lt;&gt;"",T302&lt;&gt;"",U302&lt;&gt;"",V302&lt;&gt;"",OR(AR302&lt;&gt;"",AND(W302&lt;&gt;"",X302&lt;&gt;"",AA302&lt;&gt;"",AB302&lt;&gt;"")),OR(AS302&lt;&gt;"",AND(AD302&lt;&gt;"",AE302&lt;&gt;"",AH302&lt;&gt;"",AI302&lt;&gt;"")),AK302&lt;&gt;"",OR(AK302&lt;&gt;"programado",AL302&lt;&gt;""),OR(AM302&lt;&gt;"específica",AN302&lt;&gt;""),OR(AO302&lt;&gt;"específica",AP302&lt;&gt;"")),"OK","Revisar"))</f>
        <v/>
      </c>
    </row>
    <row r="303" ht="15" customHeight="1" spans="1:46" x14ac:dyDescent="0.25">
      <c r="A303" s="15"/>
      <c r="B303" s="15"/>
      <c r="C303" s="15"/>
      <c r="D303" s="15"/>
      <c r="E303" s="15"/>
      <c r="F303" s="15"/>
      <c r="G303" s="15"/>
      <c r="H303" s="15"/>
      <c r="I303" s="15"/>
      <c r="J303" s="19">
        <f>IF(OR(H303="",I303=""),"",IFERROR(INDEX(Catalogo_Vehiculos!$C$2:$C$1325,MATCH(TRUE(),INDEX(Catalogo_Vehiculos!$G$2:$G$1325=H303&amp;"|"&amp;I303,0),0)),"No en catálogo"))</f>
      </c>
      <c r="K303" s="19">
        <f>IF(OR(H303="",I303=""),"",IFERROR(INDEX(Catalogo_Vehiculos!$D$2:$D$1325,MATCH(TRUE(),INDEX(Catalogo_Vehiculos!$G$2:$G$1325=H303&amp;"|"&amp;I303,0),0)),"No en catálogo"))</f>
      </c>
      <c r="L303" s="19">
        <f>IF(OR(H303="",I303=""),"",IFERROR(INDEX(Catalogo_Vehiculos!$E$2:$E$1325,MATCH(TRUE(),INDEX(Catalogo_Vehiculos!$G$2:$G$1325=H303&amp;"|"&amp;I303,0),0)),"No en catálogo"))</f>
      </c>
      <c r="M303" s="19">
        <f>IF(OR(H303="",I303=""),"",IFERROR(INDEX(Catalogo_Vehiculos!$F$2:$F$1325,MATCH(TRUE(),INDEX(Catalogo_Vehiculos!$G$2:$G$1325=H303&amp;"|"&amp;I303,0),0)),"No en catálogo"))</f>
      </c>
      <c r="N303" s="20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9"/>
      <c r="Z303" s="19"/>
      <c r="AA303" s="15"/>
      <c r="AB303" s="15"/>
      <c r="AC303" s="15"/>
      <c r="AD303" s="15"/>
      <c r="AE303" s="15"/>
      <c r="AF303" s="19"/>
      <c r="AG303" s="19"/>
      <c r="AH303" s="15"/>
      <c r="AI303" s="15"/>
      <c r="AJ303" s="15"/>
      <c r="AK303" s="15"/>
      <c r="AL303" s="21"/>
      <c r="AM303" s="15"/>
      <c r="AN303" s="15"/>
      <c r="AO303" s="15"/>
      <c r="AP303" s="15"/>
      <c r="AQ303" s="15"/>
      <c r="AR303" s="15"/>
      <c r="AS303" s="15"/>
      <c r="AT303" s="19" t="str">
        <f>IF(COUNTA(A303:I303)+COUNTA(N303:X303)+COUNTA(AA303:AE303)+COUNTA(AH303:AS303)=0,"",IF(AND(A303&lt;&gt;"",E303&lt;&gt;"",OR(F303&lt;&gt;"",G303&lt;&gt;""),H303&lt;&gt;"",I303&lt;&gt;"",J303&lt;&gt;"No en catálogo",S303&lt;&gt;"",T303&lt;&gt;"",U303&lt;&gt;"",V303&lt;&gt;"",OR(AR303&lt;&gt;"",AND(W303&lt;&gt;"",X303&lt;&gt;"",AA303&lt;&gt;"",AB303&lt;&gt;"")),OR(AS303&lt;&gt;"",AND(AD303&lt;&gt;"",AE303&lt;&gt;"",AH303&lt;&gt;"",AI303&lt;&gt;"")),AK303&lt;&gt;"",OR(AK303&lt;&gt;"programado",AL303&lt;&gt;""),OR(AM303&lt;&gt;"específica",AN303&lt;&gt;""),OR(AO303&lt;&gt;"específica",AP303&lt;&gt;"")),"OK","Revisar"))</f>
        <v/>
      </c>
    </row>
    <row r="304" ht="15" customHeight="1" spans="1:46" x14ac:dyDescent="0.25">
      <c r="A304" s="15"/>
      <c r="B304" s="15"/>
      <c r="C304" s="15"/>
      <c r="D304" s="15"/>
      <c r="E304" s="15"/>
      <c r="F304" s="15"/>
      <c r="G304" s="15"/>
      <c r="H304" s="15"/>
      <c r="I304" s="15"/>
      <c r="J304" s="19">
        <f>IF(OR(H304="",I304=""),"",IFERROR(INDEX(Catalogo_Vehiculos!$C$2:$C$1325,MATCH(TRUE(),INDEX(Catalogo_Vehiculos!$G$2:$G$1325=H304&amp;"|"&amp;I304,0),0)),"No en catálogo"))</f>
      </c>
      <c r="K304" s="19">
        <f>IF(OR(H304="",I304=""),"",IFERROR(INDEX(Catalogo_Vehiculos!$D$2:$D$1325,MATCH(TRUE(),INDEX(Catalogo_Vehiculos!$G$2:$G$1325=H304&amp;"|"&amp;I304,0),0)),"No en catálogo"))</f>
      </c>
      <c r="L304" s="19">
        <f>IF(OR(H304="",I304=""),"",IFERROR(INDEX(Catalogo_Vehiculos!$E$2:$E$1325,MATCH(TRUE(),INDEX(Catalogo_Vehiculos!$G$2:$G$1325=H304&amp;"|"&amp;I304,0),0)),"No en catálogo"))</f>
      </c>
      <c r="M304" s="19">
        <f>IF(OR(H304="",I304=""),"",IFERROR(INDEX(Catalogo_Vehiculos!$F$2:$F$1325,MATCH(TRUE(),INDEX(Catalogo_Vehiculos!$G$2:$G$1325=H304&amp;"|"&amp;I304,0),0)),"No en catálogo"))</f>
      </c>
      <c r="N304" s="20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9"/>
      <c r="Z304" s="19"/>
      <c r="AA304" s="15"/>
      <c r="AB304" s="15"/>
      <c r="AC304" s="15"/>
      <c r="AD304" s="15"/>
      <c r="AE304" s="15"/>
      <c r="AF304" s="19"/>
      <c r="AG304" s="19"/>
      <c r="AH304" s="15"/>
      <c r="AI304" s="15"/>
      <c r="AJ304" s="15"/>
      <c r="AK304" s="15"/>
      <c r="AL304" s="21"/>
      <c r="AM304" s="15"/>
      <c r="AN304" s="15"/>
      <c r="AO304" s="15"/>
      <c r="AP304" s="15"/>
      <c r="AQ304" s="15"/>
      <c r="AR304" s="15"/>
      <c r="AS304" s="15"/>
      <c r="AT304" s="19" t="str">
        <f>IF(COUNTA(A304:I304)+COUNTA(N304:X304)+COUNTA(AA304:AE304)+COUNTA(AH304:AS304)=0,"",IF(AND(A304&lt;&gt;"",E304&lt;&gt;"",OR(F304&lt;&gt;"",G304&lt;&gt;""),H304&lt;&gt;"",I304&lt;&gt;"",J304&lt;&gt;"No en catálogo",S304&lt;&gt;"",T304&lt;&gt;"",U304&lt;&gt;"",V304&lt;&gt;"",OR(AR304&lt;&gt;"",AND(W304&lt;&gt;"",X304&lt;&gt;"",AA304&lt;&gt;"",AB304&lt;&gt;"")),OR(AS304&lt;&gt;"",AND(AD304&lt;&gt;"",AE304&lt;&gt;"",AH304&lt;&gt;"",AI304&lt;&gt;"")),AK304&lt;&gt;"",OR(AK304&lt;&gt;"programado",AL304&lt;&gt;""),OR(AM304&lt;&gt;"específica",AN304&lt;&gt;""),OR(AO304&lt;&gt;"específica",AP304&lt;&gt;"")),"OK","Revisar"))</f>
        <v/>
      </c>
    </row>
    <row r="305" ht="15" customHeight="1" spans="1:46" x14ac:dyDescent="0.25">
      <c r="A305" s="15"/>
      <c r="B305" s="15"/>
      <c r="C305" s="15"/>
      <c r="D305" s="15"/>
      <c r="E305" s="15"/>
      <c r="F305" s="15"/>
      <c r="G305" s="15"/>
      <c r="H305" s="15"/>
      <c r="I305" s="15"/>
      <c r="J305" s="19">
        <f>IF(OR(H305="",I305=""),"",IFERROR(INDEX(Catalogo_Vehiculos!$C$2:$C$1325,MATCH(TRUE(),INDEX(Catalogo_Vehiculos!$G$2:$G$1325=H305&amp;"|"&amp;I305,0),0)),"No en catálogo"))</f>
      </c>
      <c r="K305" s="19">
        <f>IF(OR(H305="",I305=""),"",IFERROR(INDEX(Catalogo_Vehiculos!$D$2:$D$1325,MATCH(TRUE(),INDEX(Catalogo_Vehiculos!$G$2:$G$1325=H305&amp;"|"&amp;I305,0),0)),"No en catálogo"))</f>
      </c>
      <c r="L305" s="19">
        <f>IF(OR(H305="",I305=""),"",IFERROR(INDEX(Catalogo_Vehiculos!$E$2:$E$1325,MATCH(TRUE(),INDEX(Catalogo_Vehiculos!$G$2:$G$1325=H305&amp;"|"&amp;I305,0),0)),"No en catálogo"))</f>
      </c>
      <c r="M305" s="19">
        <f>IF(OR(H305="",I305=""),"",IFERROR(INDEX(Catalogo_Vehiculos!$F$2:$F$1325,MATCH(TRUE(),INDEX(Catalogo_Vehiculos!$G$2:$G$1325=H305&amp;"|"&amp;I305,0),0)),"No en catálogo"))</f>
      </c>
      <c r="N305" s="20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9"/>
      <c r="Z305" s="19"/>
      <c r="AA305" s="15"/>
      <c r="AB305" s="15"/>
      <c r="AC305" s="15"/>
      <c r="AD305" s="15"/>
      <c r="AE305" s="15"/>
      <c r="AF305" s="19"/>
      <c r="AG305" s="19"/>
      <c r="AH305" s="15"/>
      <c r="AI305" s="15"/>
      <c r="AJ305" s="15"/>
      <c r="AK305" s="15"/>
      <c r="AL305" s="21"/>
      <c r="AM305" s="15"/>
      <c r="AN305" s="15"/>
      <c r="AO305" s="15"/>
      <c r="AP305" s="15"/>
      <c r="AQ305" s="15"/>
      <c r="AR305" s="15"/>
      <c r="AS305" s="15"/>
      <c r="AT305" s="19" t="str">
        <f>IF(COUNTA(A305:I305)+COUNTA(N305:X305)+COUNTA(AA305:AE305)+COUNTA(AH305:AS305)=0,"",IF(AND(A305&lt;&gt;"",E305&lt;&gt;"",OR(F305&lt;&gt;"",G305&lt;&gt;""),H305&lt;&gt;"",I305&lt;&gt;"",J305&lt;&gt;"No en catálogo",S305&lt;&gt;"",T305&lt;&gt;"",U305&lt;&gt;"",V305&lt;&gt;"",OR(AR305&lt;&gt;"",AND(W305&lt;&gt;"",X305&lt;&gt;"",AA305&lt;&gt;"",AB305&lt;&gt;"")),OR(AS305&lt;&gt;"",AND(AD305&lt;&gt;"",AE305&lt;&gt;"",AH305&lt;&gt;"",AI305&lt;&gt;"")),AK305&lt;&gt;"",OR(AK305&lt;&gt;"programado",AL305&lt;&gt;""),OR(AM305&lt;&gt;"específica",AN305&lt;&gt;""),OR(AO305&lt;&gt;"específica",AP305&lt;&gt;"")),"OK","Revisar"))</f>
        <v/>
      </c>
    </row>
    <row r="306" ht="15" customHeight="1" spans="1:46" x14ac:dyDescent="0.25">
      <c r="A306" s="15"/>
      <c r="B306" s="15"/>
      <c r="C306" s="15"/>
      <c r="D306" s="15"/>
      <c r="E306" s="15"/>
      <c r="F306" s="15"/>
      <c r="G306" s="15"/>
      <c r="H306" s="15"/>
      <c r="I306" s="15"/>
      <c r="J306" s="19">
        <f>IF(OR(H306="",I306=""),"",IFERROR(INDEX(Catalogo_Vehiculos!$C$2:$C$1325,MATCH(TRUE(),INDEX(Catalogo_Vehiculos!$G$2:$G$1325=H306&amp;"|"&amp;I306,0),0)),"No en catálogo"))</f>
      </c>
      <c r="K306" s="19">
        <f>IF(OR(H306="",I306=""),"",IFERROR(INDEX(Catalogo_Vehiculos!$D$2:$D$1325,MATCH(TRUE(),INDEX(Catalogo_Vehiculos!$G$2:$G$1325=H306&amp;"|"&amp;I306,0),0)),"No en catálogo"))</f>
      </c>
      <c r="L306" s="19">
        <f>IF(OR(H306="",I306=""),"",IFERROR(INDEX(Catalogo_Vehiculos!$E$2:$E$1325,MATCH(TRUE(),INDEX(Catalogo_Vehiculos!$G$2:$G$1325=H306&amp;"|"&amp;I306,0),0)),"No en catálogo"))</f>
      </c>
      <c r="M306" s="19">
        <f>IF(OR(H306="",I306=""),"",IFERROR(INDEX(Catalogo_Vehiculos!$F$2:$F$1325,MATCH(TRUE(),INDEX(Catalogo_Vehiculos!$G$2:$G$1325=H306&amp;"|"&amp;I306,0),0)),"No en catálogo"))</f>
      </c>
      <c r="N306" s="20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9"/>
      <c r="Z306" s="19"/>
      <c r="AA306" s="15"/>
      <c r="AB306" s="15"/>
      <c r="AC306" s="15"/>
      <c r="AD306" s="15"/>
      <c r="AE306" s="15"/>
      <c r="AF306" s="19"/>
      <c r="AG306" s="19"/>
      <c r="AH306" s="15"/>
      <c r="AI306" s="15"/>
      <c r="AJ306" s="15"/>
      <c r="AK306" s="15"/>
      <c r="AL306" s="21"/>
      <c r="AM306" s="15"/>
      <c r="AN306" s="15"/>
      <c r="AO306" s="15"/>
      <c r="AP306" s="15"/>
      <c r="AQ306" s="15"/>
      <c r="AR306" s="15"/>
      <c r="AS306" s="15"/>
      <c r="AT306" s="19" t="str">
        <f>IF(COUNTA(A306:I306)+COUNTA(N306:X306)+COUNTA(AA306:AE306)+COUNTA(AH306:AS306)=0,"",IF(AND(A306&lt;&gt;"",E306&lt;&gt;"",OR(F306&lt;&gt;"",G306&lt;&gt;""),H306&lt;&gt;"",I306&lt;&gt;"",J306&lt;&gt;"No en catálogo",S306&lt;&gt;"",T306&lt;&gt;"",U306&lt;&gt;"",V306&lt;&gt;"",OR(AR306&lt;&gt;"",AND(W306&lt;&gt;"",X306&lt;&gt;"",AA306&lt;&gt;"",AB306&lt;&gt;"")),OR(AS306&lt;&gt;"",AND(AD306&lt;&gt;"",AE306&lt;&gt;"",AH306&lt;&gt;"",AI306&lt;&gt;"")),AK306&lt;&gt;"",OR(AK306&lt;&gt;"programado",AL306&lt;&gt;""),OR(AM306&lt;&gt;"específica",AN306&lt;&gt;""),OR(AO306&lt;&gt;"específica",AP306&lt;&gt;"")),"OK","Revisar"))</f>
        <v/>
      </c>
    </row>
    <row r="307" ht="15" customHeight="1" spans="1:46" x14ac:dyDescent="0.25">
      <c r="A307" s="15"/>
      <c r="B307" s="15"/>
      <c r="C307" s="15"/>
      <c r="D307" s="15"/>
      <c r="E307" s="15"/>
      <c r="F307" s="15"/>
      <c r="G307" s="15"/>
      <c r="H307" s="15"/>
      <c r="I307" s="15"/>
      <c r="J307" s="19">
        <f>IF(OR(H307="",I307=""),"",IFERROR(INDEX(Catalogo_Vehiculos!$C$2:$C$1325,MATCH(TRUE(),INDEX(Catalogo_Vehiculos!$G$2:$G$1325=H307&amp;"|"&amp;I307,0),0)),"No en catálogo"))</f>
      </c>
      <c r="K307" s="19">
        <f>IF(OR(H307="",I307=""),"",IFERROR(INDEX(Catalogo_Vehiculos!$D$2:$D$1325,MATCH(TRUE(),INDEX(Catalogo_Vehiculos!$G$2:$G$1325=H307&amp;"|"&amp;I307,0),0)),"No en catálogo"))</f>
      </c>
      <c r="L307" s="19">
        <f>IF(OR(H307="",I307=""),"",IFERROR(INDEX(Catalogo_Vehiculos!$E$2:$E$1325,MATCH(TRUE(),INDEX(Catalogo_Vehiculos!$G$2:$G$1325=H307&amp;"|"&amp;I307,0),0)),"No en catálogo"))</f>
      </c>
      <c r="M307" s="19">
        <f>IF(OR(H307="",I307=""),"",IFERROR(INDEX(Catalogo_Vehiculos!$F$2:$F$1325,MATCH(TRUE(),INDEX(Catalogo_Vehiculos!$G$2:$G$1325=H307&amp;"|"&amp;I307,0),0)),"No en catálogo"))</f>
      </c>
      <c r="N307" s="20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9"/>
      <c r="Z307" s="19"/>
      <c r="AA307" s="15"/>
      <c r="AB307" s="15"/>
      <c r="AC307" s="15"/>
      <c r="AD307" s="15"/>
      <c r="AE307" s="15"/>
      <c r="AF307" s="19"/>
      <c r="AG307" s="19"/>
      <c r="AH307" s="15"/>
      <c r="AI307" s="15"/>
      <c r="AJ307" s="15"/>
      <c r="AK307" s="15"/>
      <c r="AL307" s="21"/>
      <c r="AM307" s="15"/>
      <c r="AN307" s="15"/>
      <c r="AO307" s="15"/>
      <c r="AP307" s="15"/>
      <c r="AQ307" s="15"/>
      <c r="AR307" s="15"/>
      <c r="AS307" s="15"/>
      <c r="AT307" s="19" t="str">
        <f>IF(COUNTA(A307:I307)+COUNTA(N307:X307)+COUNTA(AA307:AE307)+COUNTA(AH307:AS307)=0,"",IF(AND(A307&lt;&gt;"",E307&lt;&gt;"",OR(F307&lt;&gt;"",G307&lt;&gt;""),H307&lt;&gt;"",I307&lt;&gt;"",J307&lt;&gt;"No en catálogo",S307&lt;&gt;"",T307&lt;&gt;"",U307&lt;&gt;"",V307&lt;&gt;"",OR(AR307&lt;&gt;"",AND(W307&lt;&gt;"",X307&lt;&gt;"",AA307&lt;&gt;"",AB307&lt;&gt;"")),OR(AS307&lt;&gt;"",AND(AD307&lt;&gt;"",AE307&lt;&gt;"",AH307&lt;&gt;"",AI307&lt;&gt;"")),AK307&lt;&gt;"",OR(AK307&lt;&gt;"programado",AL307&lt;&gt;""),OR(AM307&lt;&gt;"específica",AN307&lt;&gt;""),OR(AO307&lt;&gt;"específica",AP307&lt;&gt;"")),"OK","Revisar"))</f>
        <v/>
      </c>
    </row>
    <row r="308" ht="15" customHeight="1" spans="1:46" x14ac:dyDescent="0.25">
      <c r="A308" s="15"/>
      <c r="B308" s="15"/>
      <c r="C308" s="15"/>
      <c r="D308" s="15"/>
      <c r="E308" s="15"/>
      <c r="F308" s="15"/>
      <c r="G308" s="15"/>
      <c r="H308" s="15"/>
      <c r="I308" s="15"/>
      <c r="J308" s="19">
        <f>IF(OR(H308="",I308=""),"",IFERROR(INDEX(Catalogo_Vehiculos!$C$2:$C$1325,MATCH(TRUE(),INDEX(Catalogo_Vehiculos!$G$2:$G$1325=H308&amp;"|"&amp;I308,0),0)),"No en catálogo"))</f>
      </c>
      <c r="K308" s="19">
        <f>IF(OR(H308="",I308=""),"",IFERROR(INDEX(Catalogo_Vehiculos!$D$2:$D$1325,MATCH(TRUE(),INDEX(Catalogo_Vehiculos!$G$2:$G$1325=H308&amp;"|"&amp;I308,0),0)),"No en catálogo"))</f>
      </c>
      <c r="L308" s="19">
        <f>IF(OR(H308="",I308=""),"",IFERROR(INDEX(Catalogo_Vehiculos!$E$2:$E$1325,MATCH(TRUE(),INDEX(Catalogo_Vehiculos!$G$2:$G$1325=H308&amp;"|"&amp;I308,0),0)),"No en catálogo"))</f>
      </c>
      <c r="M308" s="19">
        <f>IF(OR(H308="",I308=""),"",IFERROR(INDEX(Catalogo_Vehiculos!$F$2:$F$1325,MATCH(TRUE(),INDEX(Catalogo_Vehiculos!$G$2:$G$1325=H308&amp;"|"&amp;I308,0),0)),"No en catálogo"))</f>
      </c>
      <c r="N308" s="20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9"/>
      <c r="Z308" s="19"/>
      <c r="AA308" s="15"/>
      <c r="AB308" s="15"/>
      <c r="AC308" s="15"/>
      <c r="AD308" s="15"/>
      <c r="AE308" s="15"/>
      <c r="AF308" s="19"/>
      <c r="AG308" s="19"/>
      <c r="AH308" s="15"/>
      <c r="AI308" s="15"/>
      <c r="AJ308" s="15"/>
      <c r="AK308" s="15"/>
      <c r="AL308" s="21"/>
      <c r="AM308" s="15"/>
      <c r="AN308" s="15"/>
      <c r="AO308" s="15"/>
      <c r="AP308" s="15"/>
      <c r="AQ308" s="15"/>
      <c r="AR308" s="15"/>
      <c r="AS308" s="15"/>
      <c r="AT308" s="19" t="str">
        <f>IF(COUNTA(A308:I308)+COUNTA(N308:X308)+COUNTA(AA308:AE308)+COUNTA(AH308:AS308)=0,"",IF(AND(A308&lt;&gt;"",E308&lt;&gt;"",OR(F308&lt;&gt;"",G308&lt;&gt;""),H308&lt;&gt;"",I308&lt;&gt;"",J308&lt;&gt;"No en catálogo",S308&lt;&gt;"",T308&lt;&gt;"",U308&lt;&gt;"",V308&lt;&gt;"",OR(AR308&lt;&gt;"",AND(W308&lt;&gt;"",X308&lt;&gt;"",AA308&lt;&gt;"",AB308&lt;&gt;"")),OR(AS308&lt;&gt;"",AND(AD308&lt;&gt;"",AE308&lt;&gt;"",AH308&lt;&gt;"",AI308&lt;&gt;"")),AK308&lt;&gt;"",OR(AK308&lt;&gt;"programado",AL308&lt;&gt;""),OR(AM308&lt;&gt;"específica",AN308&lt;&gt;""),OR(AO308&lt;&gt;"específica",AP308&lt;&gt;"")),"OK","Revisar"))</f>
        <v/>
      </c>
    </row>
    <row r="309" ht="15" customHeight="1" spans="1:46" x14ac:dyDescent="0.25">
      <c r="A309" s="15"/>
      <c r="B309" s="15"/>
      <c r="C309" s="15"/>
      <c r="D309" s="15"/>
      <c r="E309" s="15"/>
      <c r="F309" s="15"/>
      <c r="G309" s="15"/>
      <c r="H309" s="15"/>
      <c r="I309" s="15"/>
      <c r="J309" s="19">
        <f>IF(OR(H309="",I309=""),"",IFERROR(INDEX(Catalogo_Vehiculos!$C$2:$C$1325,MATCH(TRUE(),INDEX(Catalogo_Vehiculos!$G$2:$G$1325=H309&amp;"|"&amp;I309,0),0)),"No en catálogo"))</f>
      </c>
      <c r="K309" s="19">
        <f>IF(OR(H309="",I309=""),"",IFERROR(INDEX(Catalogo_Vehiculos!$D$2:$D$1325,MATCH(TRUE(),INDEX(Catalogo_Vehiculos!$G$2:$G$1325=H309&amp;"|"&amp;I309,0),0)),"No en catálogo"))</f>
      </c>
      <c r="L309" s="19">
        <f>IF(OR(H309="",I309=""),"",IFERROR(INDEX(Catalogo_Vehiculos!$E$2:$E$1325,MATCH(TRUE(),INDEX(Catalogo_Vehiculos!$G$2:$G$1325=H309&amp;"|"&amp;I309,0),0)),"No en catálogo"))</f>
      </c>
      <c r="M309" s="19">
        <f>IF(OR(H309="",I309=""),"",IFERROR(INDEX(Catalogo_Vehiculos!$F$2:$F$1325,MATCH(TRUE(),INDEX(Catalogo_Vehiculos!$G$2:$G$1325=H309&amp;"|"&amp;I309,0),0)),"No en catálogo"))</f>
      </c>
      <c r="N309" s="20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9"/>
      <c r="Z309" s="19"/>
      <c r="AA309" s="15"/>
      <c r="AB309" s="15"/>
      <c r="AC309" s="15"/>
      <c r="AD309" s="15"/>
      <c r="AE309" s="15"/>
      <c r="AF309" s="19"/>
      <c r="AG309" s="19"/>
      <c r="AH309" s="15"/>
      <c r="AI309" s="15"/>
      <c r="AJ309" s="15"/>
      <c r="AK309" s="15"/>
      <c r="AL309" s="21"/>
      <c r="AM309" s="15"/>
      <c r="AN309" s="15"/>
      <c r="AO309" s="15"/>
      <c r="AP309" s="15"/>
      <c r="AQ309" s="15"/>
      <c r="AR309" s="15"/>
      <c r="AS309" s="15"/>
      <c r="AT309" s="19" t="str">
        <f>IF(COUNTA(A309:I309)+COUNTA(N309:X309)+COUNTA(AA309:AE309)+COUNTA(AH309:AS309)=0,"",IF(AND(A309&lt;&gt;"",E309&lt;&gt;"",OR(F309&lt;&gt;"",G309&lt;&gt;""),H309&lt;&gt;"",I309&lt;&gt;"",J309&lt;&gt;"No en catálogo",S309&lt;&gt;"",T309&lt;&gt;"",U309&lt;&gt;"",V309&lt;&gt;"",OR(AR309&lt;&gt;"",AND(W309&lt;&gt;"",X309&lt;&gt;"",AA309&lt;&gt;"",AB309&lt;&gt;"")),OR(AS309&lt;&gt;"",AND(AD309&lt;&gt;"",AE309&lt;&gt;"",AH309&lt;&gt;"",AI309&lt;&gt;"")),AK309&lt;&gt;"",OR(AK309&lt;&gt;"programado",AL309&lt;&gt;""),OR(AM309&lt;&gt;"específica",AN309&lt;&gt;""),OR(AO309&lt;&gt;"específica",AP309&lt;&gt;"")),"OK","Revisar"))</f>
        <v/>
      </c>
    </row>
    <row r="310" ht="15" customHeight="1" spans="1:46" x14ac:dyDescent="0.25">
      <c r="A310" s="15"/>
      <c r="B310" s="15"/>
      <c r="C310" s="15"/>
      <c r="D310" s="15"/>
      <c r="E310" s="15"/>
      <c r="F310" s="15"/>
      <c r="G310" s="15"/>
      <c r="H310" s="15"/>
      <c r="I310" s="15"/>
      <c r="J310" s="19">
        <f>IF(OR(H310="",I310=""),"",IFERROR(INDEX(Catalogo_Vehiculos!$C$2:$C$1325,MATCH(TRUE(),INDEX(Catalogo_Vehiculos!$G$2:$G$1325=H310&amp;"|"&amp;I310,0),0)),"No en catálogo"))</f>
      </c>
      <c r="K310" s="19">
        <f>IF(OR(H310="",I310=""),"",IFERROR(INDEX(Catalogo_Vehiculos!$D$2:$D$1325,MATCH(TRUE(),INDEX(Catalogo_Vehiculos!$G$2:$G$1325=H310&amp;"|"&amp;I310,0),0)),"No en catálogo"))</f>
      </c>
      <c r="L310" s="19">
        <f>IF(OR(H310="",I310=""),"",IFERROR(INDEX(Catalogo_Vehiculos!$E$2:$E$1325,MATCH(TRUE(),INDEX(Catalogo_Vehiculos!$G$2:$G$1325=H310&amp;"|"&amp;I310,0),0)),"No en catálogo"))</f>
      </c>
      <c r="M310" s="19">
        <f>IF(OR(H310="",I310=""),"",IFERROR(INDEX(Catalogo_Vehiculos!$F$2:$F$1325,MATCH(TRUE(),INDEX(Catalogo_Vehiculos!$G$2:$G$1325=H310&amp;"|"&amp;I310,0),0)),"No en catálogo"))</f>
      </c>
      <c r="N310" s="20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9"/>
      <c r="Z310" s="19"/>
      <c r="AA310" s="15"/>
      <c r="AB310" s="15"/>
      <c r="AC310" s="15"/>
      <c r="AD310" s="15"/>
      <c r="AE310" s="15"/>
      <c r="AF310" s="19"/>
      <c r="AG310" s="19"/>
      <c r="AH310" s="15"/>
      <c r="AI310" s="15"/>
      <c r="AJ310" s="15"/>
      <c r="AK310" s="15"/>
      <c r="AL310" s="21"/>
      <c r="AM310" s="15"/>
      <c r="AN310" s="15"/>
      <c r="AO310" s="15"/>
      <c r="AP310" s="15"/>
      <c r="AQ310" s="15"/>
      <c r="AR310" s="15"/>
      <c r="AS310" s="15"/>
      <c r="AT310" s="19" t="str">
        <f>IF(COUNTA(A310:I310)+COUNTA(N310:X310)+COUNTA(AA310:AE310)+COUNTA(AH310:AS310)=0,"",IF(AND(A310&lt;&gt;"",E310&lt;&gt;"",OR(F310&lt;&gt;"",G310&lt;&gt;""),H310&lt;&gt;"",I310&lt;&gt;"",J310&lt;&gt;"No en catálogo",S310&lt;&gt;"",T310&lt;&gt;"",U310&lt;&gt;"",V310&lt;&gt;"",OR(AR310&lt;&gt;"",AND(W310&lt;&gt;"",X310&lt;&gt;"",AA310&lt;&gt;"",AB310&lt;&gt;"")),OR(AS310&lt;&gt;"",AND(AD310&lt;&gt;"",AE310&lt;&gt;"",AH310&lt;&gt;"",AI310&lt;&gt;"")),AK310&lt;&gt;"",OR(AK310&lt;&gt;"programado",AL310&lt;&gt;""),OR(AM310&lt;&gt;"específica",AN310&lt;&gt;""),OR(AO310&lt;&gt;"específica",AP310&lt;&gt;"")),"OK","Revisar"))</f>
        <v/>
      </c>
    </row>
    <row r="311" ht="15" customHeight="1" spans="1:46" x14ac:dyDescent="0.25">
      <c r="A311" s="15"/>
      <c r="B311" s="15"/>
      <c r="C311" s="15"/>
      <c r="D311" s="15"/>
      <c r="E311" s="15"/>
      <c r="F311" s="15"/>
      <c r="G311" s="15"/>
      <c r="H311" s="15"/>
      <c r="I311" s="15"/>
      <c r="J311" s="19">
        <f>IF(OR(H311="",I311=""),"",IFERROR(INDEX(Catalogo_Vehiculos!$C$2:$C$1325,MATCH(TRUE(),INDEX(Catalogo_Vehiculos!$G$2:$G$1325=H311&amp;"|"&amp;I311,0),0)),"No en catálogo"))</f>
      </c>
      <c r="K311" s="19">
        <f>IF(OR(H311="",I311=""),"",IFERROR(INDEX(Catalogo_Vehiculos!$D$2:$D$1325,MATCH(TRUE(),INDEX(Catalogo_Vehiculos!$G$2:$G$1325=H311&amp;"|"&amp;I311,0),0)),"No en catálogo"))</f>
      </c>
      <c r="L311" s="19">
        <f>IF(OR(H311="",I311=""),"",IFERROR(INDEX(Catalogo_Vehiculos!$E$2:$E$1325,MATCH(TRUE(),INDEX(Catalogo_Vehiculos!$G$2:$G$1325=H311&amp;"|"&amp;I311,0),0)),"No en catálogo"))</f>
      </c>
      <c r="M311" s="19">
        <f>IF(OR(H311="",I311=""),"",IFERROR(INDEX(Catalogo_Vehiculos!$F$2:$F$1325,MATCH(TRUE(),INDEX(Catalogo_Vehiculos!$G$2:$G$1325=H311&amp;"|"&amp;I311,0),0)),"No en catálogo"))</f>
      </c>
      <c r="N311" s="20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9"/>
      <c r="Z311" s="19"/>
      <c r="AA311" s="15"/>
      <c r="AB311" s="15"/>
      <c r="AC311" s="15"/>
      <c r="AD311" s="15"/>
      <c r="AE311" s="15"/>
      <c r="AF311" s="19"/>
      <c r="AG311" s="19"/>
      <c r="AH311" s="15"/>
      <c r="AI311" s="15"/>
      <c r="AJ311" s="15"/>
      <c r="AK311" s="15"/>
      <c r="AL311" s="21"/>
      <c r="AM311" s="15"/>
      <c r="AN311" s="15"/>
      <c r="AO311" s="15"/>
      <c r="AP311" s="15"/>
      <c r="AQ311" s="15"/>
      <c r="AR311" s="15"/>
      <c r="AS311" s="15"/>
      <c r="AT311" s="19" t="str">
        <f>IF(COUNTA(A311:I311)+COUNTA(N311:X311)+COUNTA(AA311:AE311)+COUNTA(AH311:AS311)=0,"",IF(AND(A311&lt;&gt;"",E311&lt;&gt;"",OR(F311&lt;&gt;"",G311&lt;&gt;""),H311&lt;&gt;"",I311&lt;&gt;"",J311&lt;&gt;"No en catálogo",S311&lt;&gt;"",T311&lt;&gt;"",U311&lt;&gt;"",V311&lt;&gt;"",OR(AR311&lt;&gt;"",AND(W311&lt;&gt;"",X311&lt;&gt;"",AA311&lt;&gt;"",AB311&lt;&gt;"")),OR(AS311&lt;&gt;"",AND(AD311&lt;&gt;"",AE311&lt;&gt;"",AH311&lt;&gt;"",AI311&lt;&gt;"")),AK311&lt;&gt;"",OR(AK311&lt;&gt;"programado",AL311&lt;&gt;""),OR(AM311&lt;&gt;"específica",AN311&lt;&gt;""),OR(AO311&lt;&gt;"específica",AP311&lt;&gt;"")),"OK","Revisar"))</f>
        <v/>
      </c>
    </row>
    <row r="312" ht="15" customHeight="1" spans="1:46" x14ac:dyDescent="0.25">
      <c r="A312" s="15"/>
      <c r="B312" s="15"/>
      <c r="C312" s="15"/>
      <c r="D312" s="15"/>
      <c r="E312" s="15"/>
      <c r="F312" s="15"/>
      <c r="G312" s="15"/>
      <c r="H312" s="15"/>
      <c r="I312" s="15"/>
      <c r="J312" s="19">
        <f>IF(OR(H312="",I312=""),"",IFERROR(INDEX(Catalogo_Vehiculos!$C$2:$C$1325,MATCH(TRUE(),INDEX(Catalogo_Vehiculos!$G$2:$G$1325=H312&amp;"|"&amp;I312,0),0)),"No en catálogo"))</f>
      </c>
      <c r="K312" s="19">
        <f>IF(OR(H312="",I312=""),"",IFERROR(INDEX(Catalogo_Vehiculos!$D$2:$D$1325,MATCH(TRUE(),INDEX(Catalogo_Vehiculos!$G$2:$G$1325=H312&amp;"|"&amp;I312,0),0)),"No en catálogo"))</f>
      </c>
      <c r="L312" s="19">
        <f>IF(OR(H312="",I312=""),"",IFERROR(INDEX(Catalogo_Vehiculos!$E$2:$E$1325,MATCH(TRUE(),INDEX(Catalogo_Vehiculos!$G$2:$G$1325=H312&amp;"|"&amp;I312,0),0)),"No en catálogo"))</f>
      </c>
      <c r="M312" s="19">
        <f>IF(OR(H312="",I312=""),"",IFERROR(INDEX(Catalogo_Vehiculos!$F$2:$F$1325,MATCH(TRUE(),INDEX(Catalogo_Vehiculos!$G$2:$G$1325=H312&amp;"|"&amp;I312,0),0)),"No en catálogo"))</f>
      </c>
      <c r="N312" s="20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9"/>
      <c r="Z312" s="19"/>
      <c r="AA312" s="15"/>
      <c r="AB312" s="15"/>
      <c r="AC312" s="15"/>
      <c r="AD312" s="15"/>
      <c r="AE312" s="15"/>
      <c r="AF312" s="19"/>
      <c r="AG312" s="19"/>
      <c r="AH312" s="15"/>
      <c r="AI312" s="15"/>
      <c r="AJ312" s="15"/>
      <c r="AK312" s="15"/>
      <c r="AL312" s="21"/>
      <c r="AM312" s="15"/>
      <c r="AN312" s="15"/>
      <c r="AO312" s="15"/>
      <c r="AP312" s="15"/>
      <c r="AQ312" s="15"/>
      <c r="AR312" s="15"/>
      <c r="AS312" s="15"/>
      <c r="AT312" s="19" t="str">
        <f>IF(COUNTA(A312:I312)+COUNTA(N312:X312)+COUNTA(AA312:AE312)+COUNTA(AH312:AS312)=0,"",IF(AND(A312&lt;&gt;"",E312&lt;&gt;"",OR(F312&lt;&gt;"",G312&lt;&gt;""),H312&lt;&gt;"",I312&lt;&gt;"",J312&lt;&gt;"No en catálogo",S312&lt;&gt;"",T312&lt;&gt;"",U312&lt;&gt;"",V312&lt;&gt;"",OR(AR312&lt;&gt;"",AND(W312&lt;&gt;"",X312&lt;&gt;"",AA312&lt;&gt;"",AB312&lt;&gt;"")),OR(AS312&lt;&gt;"",AND(AD312&lt;&gt;"",AE312&lt;&gt;"",AH312&lt;&gt;"",AI312&lt;&gt;"")),AK312&lt;&gt;"",OR(AK312&lt;&gt;"programado",AL312&lt;&gt;""),OR(AM312&lt;&gt;"específica",AN312&lt;&gt;""),OR(AO312&lt;&gt;"específica",AP312&lt;&gt;"")),"OK","Revisar"))</f>
        <v/>
      </c>
    </row>
    <row r="313" ht="15" customHeight="1" spans="1:46" x14ac:dyDescent="0.25">
      <c r="A313" s="15"/>
      <c r="B313" s="15"/>
      <c r="C313" s="15"/>
      <c r="D313" s="15"/>
      <c r="E313" s="15"/>
      <c r="F313" s="15"/>
      <c r="G313" s="15"/>
      <c r="H313" s="15"/>
      <c r="I313" s="15"/>
      <c r="J313" s="19">
        <f>IF(OR(H313="",I313=""),"",IFERROR(INDEX(Catalogo_Vehiculos!$C$2:$C$1325,MATCH(TRUE(),INDEX(Catalogo_Vehiculos!$G$2:$G$1325=H313&amp;"|"&amp;I313,0),0)),"No en catálogo"))</f>
      </c>
      <c r="K313" s="19">
        <f>IF(OR(H313="",I313=""),"",IFERROR(INDEX(Catalogo_Vehiculos!$D$2:$D$1325,MATCH(TRUE(),INDEX(Catalogo_Vehiculos!$G$2:$G$1325=H313&amp;"|"&amp;I313,0),0)),"No en catálogo"))</f>
      </c>
      <c r="L313" s="19">
        <f>IF(OR(H313="",I313=""),"",IFERROR(INDEX(Catalogo_Vehiculos!$E$2:$E$1325,MATCH(TRUE(),INDEX(Catalogo_Vehiculos!$G$2:$G$1325=H313&amp;"|"&amp;I313,0),0)),"No en catálogo"))</f>
      </c>
      <c r="M313" s="19">
        <f>IF(OR(H313="",I313=""),"",IFERROR(INDEX(Catalogo_Vehiculos!$F$2:$F$1325,MATCH(TRUE(),INDEX(Catalogo_Vehiculos!$G$2:$G$1325=H313&amp;"|"&amp;I313,0),0)),"No en catálogo"))</f>
      </c>
      <c r="N313" s="20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9"/>
      <c r="Z313" s="19"/>
      <c r="AA313" s="15"/>
      <c r="AB313" s="15"/>
      <c r="AC313" s="15"/>
      <c r="AD313" s="15"/>
      <c r="AE313" s="15"/>
      <c r="AF313" s="19"/>
      <c r="AG313" s="19"/>
      <c r="AH313" s="15"/>
      <c r="AI313" s="15"/>
      <c r="AJ313" s="15"/>
      <c r="AK313" s="15"/>
      <c r="AL313" s="21"/>
      <c r="AM313" s="15"/>
      <c r="AN313" s="15"/>
      <c r="AO313" s="15"/>
      <c r="AP313" s="15"/>
      <c r="AQ313" s="15"/>
      <c r="AR313" s="15"/>
      <c r="AS313" s="15"/>
      <c r="AT313" s="19" t="str">
        <f>IF(COUNTA(A313:I313)+COUNTA(N313:X313)+COUNTA(AA313:AE313)+COUNTA(AH313:AS313)=0,"",IF(AND(A313&lt;&gt;"",E313&lt;&gt;"",OR(F313&lt;&gt;"",G313&lt;&gt;""),H313&lt;&gt;"",I313&lt;&gt;"",J313&lt;&gt;"No en catálogo",S313&lt;&gt;"",T313&lt;&gt;"",U313&lt;&gt;"",V313&lt;&gt;"",OR(AR313&lt;&gt;"",AND(W313&lt;&gt;"",X313&lt;&gt;"",AA313&lt;&gt;"",AB313&lt;&gt;"")),OR(AS313&lt;&gt;"",AND(AD313&lt;&gt;"",AE313&lt;&gt;"",AH313&lt;&gt;"",AI313&lt;&gt;"")),AK313&lt;&gt;"",OR(AK313&lt;&gt;"programado",AL313&lt;&gt;""),OR(AM313&lt;&gt;"específica",AN313&lt;&gt;""),OR(AO313&lt;&gt;"específica",AP313&lt;&gt;"")),"OK","Revisar"))</f>
        <v/>
      </c>
    </row>
    <row r="314" ht="15" customHeight="1" spans="1:46" x14ac:dyDescent="0.25">
      <c r="A314" s="15"/>
      <c r="B314" s="15"/>
      <c r="C314" s="15"/>
      <c r="D314" s="15"/>
      <c r="E314" s="15"/>
      <c r="F314" s="15"/>
      <c r="G314" s="15"/>
      <c r="H314" s="15"/>
      <c r="I314" s="15"/>
      <c r="J314" s="19">
        <f>IF(OR(H314="",I314=""),"",IFERROR(INDEX(Catalogo_Vehiculos!$C$2:$C$1325,MATCH(TRUE(),INDEX(Catalogo_Vehiculos!$G$2:$G$1325=H314&amp;"|"&amp;I314,0),0)),"No en catálogo"))</f>
      </c>
      <c r="K314" s="19">
        <f>IF(OR(H314="",I314=""),"",IFERROR(INDEX(Catalogo_Vehiculos!$D$2:$D$1325,MATCH(TRUE(),INDEX(Catalogo_Vehiculos!$G$2:$G$1325=H314&amp;"|"&amp;I314,0),0)),"No en catálogo"))</f>
      </c>
      <c r="L314" s="19">
        <f>IF(OR(H314="",I314=""),"",IFERROR(INDEX(Catalogo_Vehiculos!$E$2:$E$1325,MATCH(TRUE(),INDEX(Catalogo_Vehiculos!$G$2:$G$1325=H314&amp;"|"&amp;I314,0),0)),"No en catálogo"))</f>
      </c>
      <c r="M314" s="19">
        <f>IF(OR(H314="",I314=""),"",IFERROR(INDEX(Catalogo_Vehiculos!$F$2:$F$1325,MATCH(TRUE(),INDEX(Catalogo_Vehiculos!$G$2:$G$1325=H314&amp;"|"&amp;I314,0),0)),"No en catálogo"))</f>
      </c>
      <c r="N314" s="20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9"/>
      <c r="Z314" s="19"/>
      <c r="AA314" s="15"/>
      <c r="AB314" s="15"/>
      <c r="AC314" s="15"/>
      <c r="AD314" s="15"/>
      <c r="AE314" s="15"/>
      <c r="AF314" s="19"/>
      <c r="AG314" s="19"/>
      <c r="AH314" s="15"/>
      <c r="AI314" s="15"/>
      <c r="AJ314" s="15"/>
      <c r="AK314" s="15"/>
      <c r="AL314" s="21"/>
      <c r="AM314" s="15"/>
      <c r="AN314" s="15"/>
      <c r="AO314" s="15"/>
      <c r="AP314" s="15"/>
      <c r="AQ314" s="15"/>
      <c r="AR314" s="15"/>
      <c r="AS314" s="15"/>
      <c r="AT314" s="19" t="str">
        <f>IF(COUNTA(A314:I314)+COUNTA(N314:X314)+COUNTA(AA314:AE314)+COUNTA(AH314:AS314)=0,"",IF(AND(A314&lt;&gt;"",E314&lt;&gt;"",OR(F314&lt;&gt;"",G314&lt;&gt;""),H314&lt;&gt;"",I314&lt;&gt;"",J314&lt;&gt;"No en catálogo",S314&lt;&gt;"",T314&lt;&gt;"",U314&lt;&gt;"",V314&lt;&gt;"",OR(AR314&lt;&gt;"",AND(W314&lt;&gt;"",X314&lt;&gt;"",AA314&lt;&gt;"",AB314&lt;&gt;"")),OR(AS314&lt;&gt;"",AND(AD314&lt;&gt;"",AE314&lt;&gt;"",AH314&lt;&gt;"",AI314&lt;&gt;"")),AK314&lt;&gt;"",OR(AK314&lt;&gt;"programado",AL314&lt;&gt;""),OR(AM314&lt;&gt;"específica",AN314&lt;&gt;""),OR(AO314&lt;&gt;"específica",AP314&lt;&gt;"")),"OK","Revisar"))</f>
        <v/>
      </c>
    </row>
    <row r="315" ht="15" customHeight="1" spans="1:46" x14ac:dyDescent="0.25">
      <c r="A315" s="15"/>
      <c r="B315" s="15"/>
      <c r="C315" s="15"/>
      <c r="D315" s="15"/>
      <c r="E315" s="15"/>
      <c r="F315" s="15"/>
      <c r="G315" s="15"/>
      <c r="H315" s="15"/>
      <c r="I315" s="15"/>
      <c r="J315" s="19">
        <f>IF(OR(H315="",I315=""),"",IFERROR(INDEX(Catalogo_Vehiculos!$C$2:$C$1325,MATCH(TRUE(),INDEX(Catalogo_Vehiculos!$G$2:$G$1325=H315&amp;"|"&amp;I315,0),0)),"No en catálogo"))</f>
      </c>
      <c r="K315" s="19">
        <f>IF(OR(H315="",I315=""),"",IFERROR(INDEX(Catalogo_Vehiculos!$D$2:$D$1325,MATCH(TRUE(),INDEX(Catalogo_Vehiculos!$G$2:$G$1325=H315&amp;"|"&amp;I315,0),0)),"No en catálogo"))</f>
      </c>
      <c r="L315" s="19">
        <f>IF(OR(H315="",I315=""),"",IFERROR(INDEX(Catalogo_Vehiculos!$E$2:$E$1325,MATCH(TRUE(),INDEX(Catalogo_Vehiculos!$G$2:$G$1325=H315&amp;"|"&amp;I315,0),0)),"No en catálogo"))</f>
      </c>
      <c r="M315" s="19">
        <f>IF(OR(H315="",I315=""),"",IFERROR(INDEX(Catalogo_Vehiculos!$F$2:$F$1325,MATCH(TRUE(),INDEX(Catalogo_Vehiculos!$G$2:$G$1325=H315&amp;"|"&amp;I315,0),0)),"No en catálogo"))</f>
      </c>
      <c r="N315" s="20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9"/>
      <c r="Z315" s="19"/>
      <c r="AA315" s="15"/>
      <c r="AB315" s="15"/>
      <c r="AC315" s="15"/>
      <c r="AD315" s="15"/>
      <c r="AE315" s="15"/>
      <c r="AF315" s="19"/>
      <c r="AG315" s="19"/>
      <c r="AH315" s="15"/>
      <c r="AI315" s="15"/>
      <c r="AJ315" s="15"/>
      <c r="AK315" s="15"/>
      <c r="AL315" s="21"/>
      <c r="AM315" s="15"/>
      <c r="AN315" s="15"/>
      <c r="AO315" s="15"/>
      <c r="AP315" s="15"/>
      <c r="AQ315" s="15"/>
      <c r="AR315" s="15"/>
      <c r="AS315" s="15"/>
      <c r="AT315" s="19" t="str">
        <f>IF(COUNTA(A315:I315)+COUNTA(N315:X315)+COUNTA(AA315:AE315)+COUNTA(AH315:AS315)=0,"",IF(AND(A315&lt;&gt;"",E315&lt;&gt;"",OR(F315&lt;&gt;"",G315&lt;&gt;""),H315&lt;&gt;"",I315&lt;&gt;"",J315&lt;&gt;"No en catálogo",S315&lt;&gt;"",T315&lt;&gt;"",U315&lt;&gt;"",V315&lt;&gt;"",OR(AR315&lt;&gt;"",AND(W315&lt;&gt;"",X315&lt;&gt;"",AA315&lt;&gt;"",AB315&lt;&gt;"")),OR(AS315&lt;&gt;"",AND(AD315&lt;&gt;"",AE315&lt;&gt;"",AH315&lt;&gt;"",AI315&lt;&gt;"")),AK315&lt;&gt;"",OR(AK315&lt;&gt;"programado",AL315&lt;&gt;""),OR(AM315&lt;&gt;"específica",AN315&lt;&gt;""),OR(AO315&lt;&gt;"específica",AP315&lt;&gt;"")),"OK","Revisar"))</f>
        <v/>
      </c>
    </row>
    <row r="316" ht="15" customHeight="1" spans="1:46" x14ac:dyDescent="0.25">
      <c r="A316" s="15"/>
      <c r="B316" s="15"/>
      <c r="C316" s="15"/>
      <c r="D316" s="15"/>
      <c r="E316" s="15"/>
      <c r="F316" s="15"/>
      <c r="G316" s="15"/>
      <c r="H316" s="15"/>
      <c r="I316" s="15"/>
      <c r="J316" s="19">
        <f>IF(OR(H316="",I316=""),"",IFERROR(INDEX(Catalogo_Vehiculos!$C$2:$C$1325,MATCH(TRUE(),INDEX(Catalogo_Vehiculos!$G$2:$G$1325=H316&amp;"|"&amp;I316,0),0)),"No en catálogo"))</f>
      </c>
      <c r="K316" s="19">
        <f>IF(OR(H316="",I316=""),"",IFERROR(INDEX(Catalogo_Vehiculos!$D$2:$D$1325,MATCH(TRUE(),INDEX(Catalogo_Vehiculos!$G$2:$G$1325=H316&amp;"|"&amp;I316,0),0)),"No en catálogo"))</f>
      </c>
      <c r="L316" s="19">
        <f>IF(OR(H316="",I316=""),"",IFERROR(INDEX(Catalogo_Vehiculos!$E$2:$E$1325,MATCH(TRUE(),INDEX(Catalogo_Vehiculos!$G$2:$G$1325=H316&amp;"|"&amp;I316,0),0)),"No en catálogo"))</f>
      </c>
      <c r="M316" s="19">
        <f>IF(OR(H316="",I316=""),"",IFERROR(INDEX(Catalogo_Vehiculos!$F$2:$F$1325,MATCH(TRUE(),INDEX(Catalogo_Vehiculos!$G$2:$G$1325=H316&amp;"|"&amp;I316,0),0)),"No en catálogo"))</f>
      </c>
      <c r="N316" s="20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9"/>
      <c r="Z316" s="19"/>
      <c r="AA316" s="15"/>
      <c r="AB316" s="15"/>
      <c r="AC316" s="15"/>
      <c r="AD316" s="15"/>
      <c r="AE316" s="15"/>
      <c r="AF316" s="19"/>
      <c r="AG316" s="19"/>
      <c r="AH316" s="15"/>
      <c r="AI316" s="15"/>
      <c r="AJ316" s="15"/>
      <c r="AK316" s="15"/>
      <c r="AL316" s="21"/>
      <c r="AM316" s="15"/>
      <c r="AN316" s="15"/>
      <c r="AO316" s="15"/>
      <c r="AP316" s="15"/>
      <c r="AQ316" s="15"/>
      <c r="AR316" s="15"/>
      <c r="AS316" s="15"/>
      <c r="AT316" s="19" t="str">
        <f>IF(COUNTA(A316:I316)+COUNTA(N316:X316)+COUNTA(AA316:AE316)+COUNTA(AH316:AS316)=0,"",IF(AND(A316&lt;&gt;"",E316&lt;&gt;"",OR(F316&lt;&gt;"",G316&lt;&gt;""),H316&lt;&gt;"",I316&lt;&gt;"",J316&lt;&gt;"No en catálogo",S316&lt;&gt;"",T316&lt;&gt;"",U316&lt;&gt;"",V316&lt;&gt;"",OR(AR316&lt;&gt;"",AND(W316&lt;&gt;"",X316&lt;&gt;"",AA316&lt;&gt;"",AB316&lt;&gt;"")),OR(AS316&lt;&gt;"",AND(AD316&lt;&gt;"",AE316&lt;&gt;"",AH316&lt;&gt;"",AI316&lt;&gt;"")),AK316&lt;&gt;"",OR(AK316&lt;&gt;"programado",AL316&lt;&gt;""),OR(AM316&lt;&gt;"específica",AN316&lt;&gt;""),OR(AO316&lt;&gt;"específica",AP316&lt;&gt;"")),"OK","Revisar"))</f>
        <v/>
      </c>
    </row>
    <row r="317" ht="15" customHeight="1" spans="1:46" x14ac:dyDescent="0.25">
      <c r="A317" s="15"/>
      <c r="B317" s="15"/>
      <c r="C317" s="15"/>
      <c r="D317" s="15"/>
      <c r="E317" s="15"/>
      <c r="F317" s="15"/>
      <c r="G317" s="15"/>
      <c r="H317" s="15"/>
      <c r="I317" s="15"/>
      <c r="J317" s="19">
        <f>IF(OR(H317="",I317=""),"",IFERROR(INDEX(Catalogo_Vehiculos!$C$2:$C$1325,MATCH(TRUE(),INDEX(Catalogo_Vehiculos!$G$2:$G$1325=H317&amp;"|"&amp;I317,0),0)),"No en catálogo"))</f>
      </c>
      <c r="K317" s="19">
        <f>IF(OR(H317="",I317=""),"",IFERROR(INDEX(Catalogo_Vehiculos!$D$2:$D$1325,MATCH(TRUE(),INDEX(Catalogo_Vehiculos!$G$2:$G$1325=H317&amp;"|"&amp;I317,0),0)),"No en catálogo"))</f>
      </c>
      <c r="L317" s="19">
        <f>IF(OR(H317="",I317=""),"",IFERROR(INDEX(Catalogo_Vehiculos!$E$2:$E$1325,MATCH(TRUE(),INDEX(Catalogo_Vehiculos!$G$2:$G$1325=H317&amp;"|"&amp;I317,0),0)),"No en catálogo"))</f>
      </c>
      <c r="M317" s="19">
        <f>IF(OR(H317="",I317=""),"",IFERROR(INDEX(Catalogo_Vehiculos!$F$2:$F$1325,MATCH(TRUE(),INDEX(Catalogo_Vehiculos!$G$2:$G$1325=H317&amp;"|"&amp;I317,0),0)),"No en catálogo"))</f>
      </c>
      <c r="N317" s="20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9"/>
      <c r="Z317" s="19"/>
      <c r="AA317" s="15"/>
      <c r="AB317" s="15"/>
      <c r="AC317" s="15"/>
      <c r="AD317" s="15"/>
      <c r="AE317" s="15"/>
      <c r="AF317" s="19"/>
      <c r="AG317" s="19"/>
      <c r="AH317" s="15"/>
      <c r="AI317" s="15"/>
      <c r="AJ317" s="15"/>
      <c r="AK317" s="15"/>
      <c r="AL317" s="21"/>
      <c r="AM317" s="15"/>
      <c r="AN317" s="15"/>
      <c r="AO317" s="15"/>
      <c r="AP317" s="15"/>
      <c r="AQ317" s="15"/>
      <c r="AR317" s="15"/>
      <c r="AS317" s="15"/>
      <c r="AT317" s="19" t="str">
        <f>IF(COUNTA(A317:I317)+COUNTA(N317:X317)+COUNTA(AA317:AE317)+COUNTA(AH317:AS317)=0,"",IF(AND(A317&lt;&gt;"",E317&lt;&gt;"",OR(F317&lt;&gt;"",G317&lt;&gt;""),H317&lt;&gt;"",I317&lt;&gt;"",J317&lt;&gt;"No en catálogo",S317&lt;&gt;"",T317&lt;&gt;"",U317&lt;&gt;"",V317&lt;&gt;"",OR(AR317&lt;&gt;"",AND(W317&lt;&gt;"",X317&lt;&gt;"",AA317&lt;&gt;"",AB317&lt;&gt;"")),OR(AS317&lt;&gt;"",AND(AD317&lt;&gt;"",AE317&lt;&gt;"",AH317&lt;&gt;"",AI317&lt;&gt;"")),AK317&lt;&gt;"",OR(AK317&lt;&gt;"programado",AL317&lt;&gt;""),OR(AM317&lt;&gt;"específica",AN317&lt;&gt;""),OR(AO317&lt;&gt;"específica",AP317&lt;&gt;"")),"OK","Revisar"))</f>
        <v/>
      </c>
    </row>
    <row r="318" ht="15" customHeight="1" spans="1:46" x14ac:dyDescent="0.25">
      <c r="A318" s="15"/>
      <c r="B318" s="15"/>
      <c r="C318" s="15"/>
      <c r="D318" s="15"/>
      <c r="E318" s="15"/>
      <c r="F318" s="15"/>
      <c r="G318" s="15"/>
      <c r="H318" s="15"/>
      <c r="I318" s="15"/>
      <c r="J318" s="19">
        <f>IF(OR(H318="",I318=""),"",IFERROR(INDEX(Catalogo_Vehiculos!$C$2:$C$1325,MATCH(TRUE(),INDEX(Catalogo_Vehiculos!$G$2:$G$1325=H318&amp;"|"&amp;I318,0),0)),"No en catálogo"))</f>
      </c>
      <c r="K318" s="19">
        <f>IF(OR(H318="",I318=""),"",IFERROR(INDEX(Catalogo_Vehiculos!$D$2:$D$1325,MATCH(TRUE(),INDEX(Catalogo_Vehiculos!$G$2:$G$1325=H318&amp;"|"&amp;I318,0),0)),"No en catálogo"))</f>
      </c>
      <c r="L318" s="19">
        <f>IF(OR(H318="",I318=""),"",IFERROR(INDEX(Catalogo_Vehiculos!$E$2:$E$1325,MATCH(TRUE(),INDEX(Catalogo_Vehiculos!$G$2:$G$1325=H318&amp;"|"&amp;I318,0),0)),"No en catálogo"))</f>
      </c>
      <c r="M318" s="19">
        <f>IF(OR(H318="",I318=""),"",IFERROR(INDEX(Catalogo_Vehiculos!$F$2:$F$1325,MATCH(TRUE(),INDEX(Catalogo_Vehiculos!$G$2:$G$1325=H318&amp;"|"&amp;I318,0),0)),"No en catálogo"))</f>
      </c>
      <c r="N318" s="20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9"/>
      <c r="Z318" s="19"/>
      <c r="AA318" s="15"/>
      <c r="AB318" s="15"/>
      <c r="AC318" s="15"/>
      <c r="AD318" s="15"/>
      <c r="AE318" s="15"/>
      <c r="AF318" s="19"/>
      <c r="AG318" s="19"/>
      <c r="AH318" s="15"/>
      <c r="AI318" s="15"/>
      <c r="AJ318" s="15"/>
      <c r="AK318" s="15"/>
      <c r="AL318" s="21"/>
      <c r="AM318" s="15"/>
      <c r="AN318" s="15"/>
      <c r="AO318" s="15"/>
      <c r="AP318" s="15"/>
      <c r="AQ318" s="15"/>
      <c r="AR318" s="15"/>
      <c r="AS318" s="15"/>
      <c r="AT318" s="19" t="str">
        <f>IF(COUNTA(A318:I318)+COUNTA(N318:X318)+COUNTA(AA318:AE318)+COUNTA(AH318:AS318)=0,"",IF(AND(A318&lt;&gt;"",E318&lt;&gt;"",OR(F318&lt;&gt;"",G318&lt;&gt;""),H318&lt;&gt;"",I318&lt;&gt;"",J318&lt;&gt;"No en catálogo",S318&lt;&gt;"",T318&lt;&gt;"",U318&lt;&gt;"",V318&lt;&gt;"",OR(AR318&lt;&gt;"",AND(W318&lt;&gt;"",X318&lt;&gt;"",AA318&lt;&gt;"",AB318&lt;&gt;"")),OR(AS318&lt;&gt;"",AND(AD318&lt;&gt;"",AE318&lt;&gt;"",AH318&lt;&gt;"",AI318&lt;&gt;"")),AK318&lt;&gt;"",OR(AK318&lt;&gt;"programado",AL318&lt;&gt;""),OR(AM318&lt;&gt;"específica",AN318&lt;&gt;""),OR(AO318&lt;&gt;"específica",AP318&lt;&gt;"")),"OK","Revisar"))</f>
        <v/>
      </c>
    </row>
    <row r="319" ht="15" customHeight="1" spans="1:46" x14ac:dyDescent="0.25">
      <c r="A319" s="15"/>
      <c r="B319" s="15"/>
      <c r="C319" s="15"/>
      <c r="D319" s="15"/>
      <c r="E319" s="15"/>
      <c r="F319" s="15"/>
      <c r="G319" s="15"/>
      <c r="H319" s="15"/>
      <c r="I319" s="15"/>
      <c r="J319" s="19">
        <f>IF(OR(H319="",I319=""),"",IFERROR(INDEX(Catalogo_Vehiculos!$C$2:$C$1325,MATCH(TRUE(),INDEX(Catalogo_Vehiculos!$G$2:$G$1325=H319&amp;"|"&amp;I319,0),0)),"No en catálogo"))</f>
      </c>
      <c r="K319" s="19">
        <f>IF(OR(H319="",I319=""),"",IFERROR(INDEX(Catalogo_Vehiculos!$D$2:$D$1325,MATCH(TRUE(),INDEX(Catalogo_Vehiculos!$G$2:$G$1325=H319&amp;"|"&amp;I319,0),0)),"No en catálogo"))</f>
      </c>
      <c r="L319" s="19">
        <f>IF(OR(H319="",I319=""),"",IFERROR(INDEX(Catalogo_Vehiculos!$E$2:$E$1325,MATCH(TRUE(),INDEX(Catalogo_Vehiculos!$G$2:$G$1325=H319&amp;"|"&amp;I319,0),0)),"No en catálogo"))</f>
      </c>
      <c r="M319" s="19">
        <f>IF(OR(H319="",I319=""),"",IFERROR(INDEX(Catalogo_Vehiculos!$F$2:$F$1325,MATCH(TRUE(),INDEX(Catalogo_Vehiculos!$G$2:$G$1325=H319&amp;"|"&amp;I319,0),0)),"No en catálogo"))</f>
      </c>
      <c r="N319" s="20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9"/>
      <c r="Z319" s="19"/>
      <c r="AA319" s="15"/>
      <c r="AB319" s="15"/>
      <c r="AC319" s="15"/>
      <c r="AD319" s="15"/>
      <c r="AE319" s="15"/>
      <c r="AF319" s="19"/>
      <c r="AG319" s="19"/>
      <c r="AH319" s="15"/>
      <c r="AI319" s="15"/>
      <c r="AJ319" s="15"/>
      <c r="AK319" s="15"/>
      <c r="AL319" s="21"/>
      <c r="AM319" s="15"/>
      <c r="AN319" s="15"/>
      <c r="AO319" s="15"/>
      <c r="AP319" s="15"/>
      <c r="AQ319" s="15"/>
      <c r="AR319" s="15"/>
      <c r="AS319" s="15"/>
      <c r="AT319" s="19" t="str">
        <f>IF(COUNTA(A319:I319)+COUNTA(N319:X319)+COUNTA(AA319:AE319)+COUNTA(AH319:AS319)=0,"",IF(AND(A319&lt;&gt;"",E319&lt;&gt;"",OR(F319&lt;&gt;"",G319&lt;&gt;""),H319&lt;&gt;"",I319&lt;&gt;"",J319&lt;&gt;"No en catálogo",S319&lt;&gt;"",T319&lt;&gt;"",U319&lt;&gt;"",V319&lt;&gt;"",OR(AR319&lt;&gt;"",AND(W319&lt;&gt;"",X319&lt;&gt;"",AA319&lt;&gt;"",AB319&lt;&gt;"")),OR(AS319&lt;&gt;"",AND(AD319&lt;&gt;"",AE319&lt;&gt;"",AH319&lt;&gt;"",AI319&lt;&gt;"")),AK319&lt;&gt;"",OR(AK319&lt;&gt;"programado",AL319&lt;&gt;""),OR(AM319&lt;&gt;"específica",AN319&lt;&gt;""),OR(AO319&lt;&gt;"específica",AP319&lt;&gt;"")),"OK","Revisar"))</f>
        <v/>
      </c>
    </row>
    <row r="320" ht="15" customHeight="1" spans="1:46" x14ac:dyDescent="0.25">
      <c r="A320" s="15"/>
      <c r="B320" s="15"/>
      <c r="C320" s="15"/>
      <c r="D320" s="15"/>
      <c r="E320" s="15"/>
      <c r="F320" s="15"/>
      <c r="G320" s="15"/>
      <c r="H320" s="15"/>
      <c r="I320" s="15"/>
      <c r="J320" s="19">
        <f>IF(OR(H320="",I320=""),"",IFERROR(INDEX(Catalogo_Vehiculos!$C$2:$C$1325,MATCH(TRUE(),INDEX(Catalogo_Vehiculos!$G$2:$G$1325=H320&amp;"|"&amp;I320,0),0)),"No en catálogo"))</f>
      </c>
      <c r="K320" s="19">
        <f>IF(OR(H320="",I320=""),"",IFERROR(INDEX(Catalogo_Vehiculos!$D$2:$D$1325,MATCH(TRUE(),INDEX(Catalogo_Vehiculos!$G$2:$G$1325=H320&amp;"|"&amp;I320,0),0)),"No en catálogo"))</f>
      </c>
      <c r="L320" s="19">
        <f>IF(OR(H320="",I320=""),"",IFERROR(INDEX(Catalogo_Vehiculos!$E$2:$E$1325,MATCH(TRUE(),INDEX(Catalogo_Vehiculos!$G$2:$G$1325=H320&amp;"|"&amp;I320,0),0)),"No en catálogo"))</f>
      </c>
      <c r="M320" s="19">
        <f>IF(OR(H320="",I320=""),"",IFERROR(INDEX(Catalogo_Vehiculos!$F$2:$F$1325,MATCH(TRUE(),INDEX(Catalogo_Vehiculos!$G$2:$G$1325=H320&amp;"|"&amp;I320,0),0)),"No en catálogo"))</f>
      </c>
      <c r="N320" s="20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9"/>
      <c r="Z320" s="19"/>
      <c r="AA320" s="15"/>
      <c r="AB320" s="15"/>
      <c r="AC320" s="15"/>
      <c r="AD320" s="15"/>
      <c r="AE320" s="15"/>
      <c r="AF320" s="19"/>
      <c r="AG320" s="19"/>
      <c r="AH320" s="15"/>
      <c r="AI320" s="15"/>
      <c r="AJ320" s="15"/>
      <c r="AK320" s="15"/>
      <c r="AL320" s="21"/>
      <c r="AM320" s="15"/>
      <c r="AN320" s="15"/>
      <c r="AO320" s="15"/>
      <c r="AP320" s="15"/>
      <c r="AQ320" s="15"/>
      <c r="AR320" s="15"/>
      <c r="AS320" s="15"/>
      <c r="AT320" s="19" t="str">
        <f>IF(COUNTA(A320:I320)+COUNTA(N320:X320)+COUNTA(AA320:AE320)+COUNTA(AH320:AS320)=0,"",IF(AND(A320&lt;&gt;"",E320&lt;&gt;"",OR(F320&lt;&gt;"",G320&lt;&gt;""),H320&lt;&gt;"",I320&lt;&gt;"",J320&lt;&gt;"No en catálogo",S320&lt;&gt;"",T320&lt;&gt;"",U320&lt;&gt;"",V320&lt;&gt;"",OR(AR320&lt;&gt;"",AND(W320&lt;&gt;"",X320&lt;&gt;"",AA320&lt;&gt;"",AB320&lt;&gt;"")),OR(AS320&lt;&gt;"",AND(AD320&lt;&gt;"",AE320&lt;&gt;"",AH320&lt;&gt;"",AI320&lt;&gt;"")),AK320&lt;&gt;"",OR(AK320&lt;&gt;"programado",AL320&lt;&gt;""),OR(AM320&lt;&gt;"específica",AN320&lt;&gt;""),OR(AO320&lt;&gt;"específica",AP320&lt;&gt;"")),"OK","Revisar"))</f>
        <v/>
      </c>
    </row>
    <row r="321" ht="15" customHeight="1" spans="1:46" x14ac:dyDescent="0.25">
      <c r="A321" s="15"/>
      <c r="B321" s="15"/>
      <c r="C321" s="15"/>
      <c r="D321" s="15"/>
      <c r="E321" s="15"/>
      <c r="F321" s="15"/>
      <c r="G321" s="15"/>
      <c r="H321" s="15"/>
      <c r="I321" s="15"/>
      <c r="J321" s="19">
        <f>IF(OR(H321="",I321=""),"",IFERROR(INDEX(Catalogo_Vehiculos!$C$2:$C$1325,MATCH(TRUE(),INDEX(Catalogo_Vehiculos!$G$2:$G$1325=H321&amp;"|"&amp;I321,0),0)),"No en catálogo"))</f>
      </c>
      <c r="K321" s="19">
        <f>IF(OR(H321="",I321=""),"",IFERROR(INDEX(Catalogo_Vehiculos!$D$2:$D$1325,MATCH(TRUE(),INDEX(Catalogo_Vehiculos!$G$2:$G$1325=H321&amp;"|"&amp;I321,0),0)),"No en catálogo"))</f>
      </c>
      <c r="L321" s="19">
        <f>IF(OR(H321="",I321=""),"",IFERROR(INDEX(Catalogo_Vehiculos!$E$2:$E$1325,MATCH(TRUE(),INDEX(Catalogo_Vehiculos!$G$2:$G$1325=H321&amp;"|"&amp;I321,0),0)),"No en catálogo"))</f>
      </c>
      <c r="M321" s="19">
        <f>IF(OR(H321="",I321=""),"",IFERROR(INDEX(Catalogo_Vehiculos!$F$2:$F$1325,MATCH(TRUE(),INDEX(Catalogo_Vehiculos!$G$2:$G$1325=H321&amp;"|"&amp;I321,0),0)),"No en catálogo"))</f>
      </c>
      <c r="N321" s="20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9"/>
      <c r="Z321" s="19"/>
      <c r="AA321" s="15"/>
      <c r="AB321" s="15"/>
      <c r="AC321" s="15"/>
      <c r="AD321" s="15"/>
      <c r="AE321" s="15"/>
      <c r="AF321" s="19"/>
      <c r="AG321" s="19"/>
      <c r="AH321" s="15"/>
      <c r="AI321" s="15"/>
      <c r="AJ321" s="15"/>
      <c r="AK321" s="15"/>
      <c r="AL321" s="21"/>
      <c r="AM321" s="15"/>
      <c r="AN321" s="15"/>
      <c r="AO321" s="15"/>
      <c r="AP321" s="15"/>
      <c r="AQ321" s="15"/>
      <c r="AR321" s="15"/>
      <c r="AS321" s="15"/>
      <c r="AT321" s="19" t="str">
        <f>IF(COUNTA(A321:I321)+COUNTA(N321:X321)+COUNTA(AA321:AE321)+COUNTA(AH321:AS321)=0,"",IF(AND(A321&lt;&gt;"",E321&lt;&gt;"",OR(F321&lt;&gt;"",G321&lt;&gt;""),H321&lt;&gt;"",I321&lt;&gt;"",J321&lt;&gt;"No en catálogo",S321&lt;&gt;"",T321&lt;&gt;"",U321&lt;&gt;"",V321&lt;&gt;"",OR(AR321&lt;&gt;"",AND(W321&lt;&gt;"",X321&lt;&gt;"",AA321&lt;&gt;"",AB321&lt;&gt;"")),OR(AS321&lt;&gt;"",AND(AD321&lt;&gt;"",AE321&lt;&gt;"",AH321&lt;&gt;"",AI321&lt;&gt;"")),AK321&lt;&gt;"",OR(AK321&lt;&gt;"programado",AL321&lt;&gt;""),OR(AM321&lt;&gt;"específica",AN321&lt;&gt;""),OR(AO321&lt;&gt;"específica",AP321&lt;&gt;"")),"OK","Revisar"))</f>
        <v/>
      </c>
    </row>
    <row r="322" ht="15" customHeight="1" spans="1:46" x14ac:dyDescent="0.25">
      <c r="A322" s="15"/>
      <c r="B322" s="15"/>
      <c r="C322" s="15"/>
      <c r="D322" s="15"/>
      <c r="E322" s="15"/>
      <c r="F322" s="15"/>
      <c r="G322" s="15"/>
      <c r="H322" s="15"/>
      <c r="I322" s="15"/>
      <c r="J322" s="19">
        <f>IF(OR(H322="",I322=""),"",IFERROR(INDEX(Catalogo_Vehiculos!$C$2:$C$1325,MATCH(TRUE(),INDEX(Catalogo_Vehiculos!$G$2:$G$1325=H322&amp;"|"&amp;I322,0),0)),"No en catálogo"))</f>
      </c>
      <c r="K322" s="19">
        <f>IF(OR(H322="",I322=""),"",IFERROR(INDEX(Catalogo_Vehiculos!$D$2:$D$1325,MATCH(TRUE(),INDEX(Catalogo_Vehiculos!$G$2:$G$1325=H322&amp;"|"&amp;I322,0),0)),"No en catálogo"))</f>
      </c>
      <c r="L322" s="19">
        <f>IF(OR(H322="",I322=""),"",IFERROR(INDEX(Catalogo_Vehiculos!$E$2:$E$1325,MATCH(TRUE(),INDEX(Catalogo_Vehiculos!$G$2:$G$1325=H322&amp;"|"&amp;I322,0),0)),"No en catálogo"))</f>
      </c>
      <c r="M322" s="19">
        <f>IF(OR(H322="",I322=""),"",IFERROR(INDEX(Catalogo_Vehiculos!$F$2:$F$1325,MATCH(TRUE(),INDEX(Catalogo_Vehiculos!$G$2:$G$1325=H322&amp;"|"&amp;I322,0),0)),"No en catálogo"))</f>
      </c>
      <c r="N322" s="20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9"/>
      <c r="Z322" s="19"/>
      <c r="AA322" s="15"/>
      <c r="AB322" s="15"/>
      <c r="AC322" s="15"/>
      <c r="AD322" s="15"/>
      <c r="AE322" s="15"/>
      <c r="AF322" s="19"/>
      <c r="AG322" s="19"/>
      <c r="AH322" s="15"/>
      <c r="AI322" s="15"/>
      <c r="AJ322" s="15"/>
      <c r="AK322" s="15"/>
      <c r="AL322" s="21"/>
      <c r="AM322" s="15"/>
      <c r="AN322" s="15"/>
      <c r="AO322" s="15"/>
      <c r="AP322" s="15"/>
      <c r="AQ322" s="15"/>
      <c r="AR322" s="15"/>
      <c r="AS322" s="15"/>
      <c r="AT322" s="19" t="str">
        <f>IF(COUNTA(A322:I322)+COUNTA(N322:X322)+COUNTA(AA322:AE322)+COUNTA(AH322:AS322)=0,"",IF(AND(A322&lt;&gt;"",E322&lt;&gt;"",OR(F322&lt;&gt;"",G322&lt;&gt;""),H322&lt;&gt;"",I322&lt;&gt;"",J322&lt;&gt;"No en catálogo",S322&lt;&gt;"",T322&lt;&gt;"",U322&lt;&gt;"",V322&lt;&gt;"",OR(AR322&lt;&gt;"",AND(W322&lt;&gt;"",X322&lt;&gt;"",AA322&lt;&gt;"",AB322&lt;&gt;"")),OR(AS322&lt;&gt;"",AND(AD322&lt;&gt;"",AE322&lt;&gt;"",AH322&lt;&gt;"",AI322&lt;&gt;"")),AK322&lt;&gt;"",OR(AK322&lt;&gt;"programado",AL322&lt;&gt;""),OR(AM322&lt;&gt;"específica",AN322&lt;&gt;""),OR(AO322&lt;&gt;"específica",AP322&lt;&gt;"")),"OK","Revisar"))</f>
        <v/>
      </c>
    </row>
    <row r="323" ht="15" customHeight="1" spans="1:46" x14ac:dyDescent="0.25">
      <c r="A323" s="15"/>
      <c r="B323" s="15"/>
      <c r="C323" s="15"/>
      <c r="D323" s="15"/>
      <c r="E323" s="15"/>
      <c r="F323" s="15"/>
      <c r="G323" s="15"/>
      <c r="H323" s="15"/>
      <c r="I323" s="15"/>
      <c r="J323" s="19">
        <f>IF(OR(H323="",I323=""),"",IFERROR(INDEX(Catalogo_Vehiculos!$C$2:$C$1325,MATCH(TRUE(),INDEX(Catalogo_Vehiculos!$G$2:$G$1325=H323&amp;"|"&amp;I323,0),0)),"No en catálogo"))</f>
      </c>
      <c r="K323" s="19">
        <f>IF(OR(H323="",I323=""),"",IFERROR(INDEX(Catalogo_Vehiculos!$D$2:$D$1325,MATCH(TRUE(),INDEX(Catalogo_Vehiculos!$G$2:$G$1325=H323&amp;"|"&amp;I323,0),0)),"No en catálogo"))</f>
      </c>
      <c r="L323" s="19">
        <f>IF(OR(H323="",I323=""),"",IFERROR(INDEX(Catalogo_Vehiculos!$E$2:$E$1325,MATCH(TRUE(),INDEX(Catalogo_Vehiculos!$G$2:$G$1325=H323&amp;"|"&amp;I323,0),0)),"No en catálogo"))</f>
      </c>
      <c r="M323" s="19">
        <f>IF(OR(H323="",I323=""),"",IFERROR(INDEX(Catalogo_Vehiculos!$F$2:$F$1325,MATCH(TRUE(),INDEX(Catalogo_Vehiculos!$G$2:$G$1325=H323&amp;"|"&amp;I323,0),0)),"No en catálogo"))</f>
      </c>
      <c r="N323" s="20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9"/>
      <c r="Z323" s="19"/>
      <c r="AA323" s="15"/>
      <c r="AB323" s="15"/>
      <c r="AC323" s="15"/>
      <c r="AD323" s="15"/>
      <c r="AE323" s="15"/>
      <c r="AF323" s="19"/>
      <c r="AG323" s="19"/>
      <c r="AH323" s="15"/>
      <c r="AI323" s="15"/>
      <c r="AJ323" s="15"/>
      <c r="AK323" s="15"/>
      <c r="AL323" s="21"/>
      <c r="AM323" s="15"/>
      <c r="AN323" s="15"/>
      <c r="AO323" s="15"/>
      <c r="AP323" s="15"/>
      <c r="AQ323" s="15"/>
      <c r="AR323" s="15"/>
      <c r="AS323" s="15"/>
      <c r="AT323" s="19" t="str">
        <f>IF(COUNTA(A323:I323)+COUNTA(N323:X323)+COUNTA(AA323:AE323)+COUNTA(AH323:AS323)=0,"",IF(AND(A323&lt;&gt;"",E323&lt;&gt;"",OR(F323&lt;&gt;"",G323&lt;&gt;""),H323&lt;&gt;"",I323&lt;&gt;"",J323&lt;&gt;"No en catálogo",S323&lt;&gt;"",T323&lt;&gt;"",U323&lt;&gt;"",V323&lt;&gt;"",OR(AR323&lt;&gt;"",AND(W323&lt;&gt;"",X323&lt;&gt;"",AA323&lt;&gt;"",AB323&lt;&gt;"")),OR(AS323&lt;&gt;"",AND(AD323&lt;&gt;"",AE323&lt;&gt;"",AH323&lt;&gt;"",AI323&lt;&gt;"")),AK323&lt;&gt;"",OR(AK323&lt;&gt;"programado",AL323&lt;&gt;""),OR(AM323&lt;&gt;"específica",AN323&lt;&gt;""),OR(AO323&lt;&gt;"específica",AP323&lt;&gt;"")),"OK","Revisar"))</f>
        <v/>
      </c>
    </row>
    <row r="324" ht="15" customHeight="1" spans="1:46" x14ac:dyDescent="0.25">
      <c r="A324" s="15"/>
      <c r="B324" s="15"/>
      <c r="C324" s="15"/>
      <c r="D324" s="15"/>
      <c r="E324" s="15"/>
      <c r="F324" s="15"/>
      <c r="G324" s="15"/>
      <c r="H324" s="15"/>
      <c r="I324" s="15"/>
      <c r="J324" s="19">
        <f>IF(OR(H324="",I324=""),"",IFERROR(INDEX(Catalogo_Vehiculos!$C$2:$C$1325,MATCH(TRUE(),INDEX(Catalogo_Vehiculos!$G$2:$G$1325=H324&amp;"|"&amp;I324,0),0)),"No en catálogo"))</f>
      </c>
      <c r="K324" s="19">
        <f>IF(OR(H324="",I324=""),"",IFERROR(INDEX(Catalogo_Vehiculos!$D$2:$D$1325,MATCH(TRUE(),INDEX(Catalogo_Vehiculos!$G$2:$G$1325=H324&amp;"|"&amp;I324,0),0)),"No en catálogo"))</f>
      </c>
      <c r="L324" s="19">
        <f>IF(OR(H324="",I324=""),"",IFERROR(INDEX(Catalogo_Vehiculos!$E$2:$E$1325,MATCH(TRUE(),INDEX(Catalogo_Vehiculos!$G$2:$G$1325=H324&amp;"|"&amp;I324,0),0)),"No en catálogo"))</f>
      </c>
      <c r="M324" s="19">
        <f>IF(OR(H324="",I324=""),"",IFERROR(INDEX(Catalogo_Vehiculos!$F$2:$F$1325,MATCH(TRUE(),INDEX(Catalogo_Vehiculos!$G$2:$G$1325=H324&amp;"|"&amp;I324,0),0)),"No en catálogo"))</f>
      </c>
      <c r="N324" s="20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9"/>
      <c r="Z324" s="19"/>
      <c r="AA324" s="15"/>
      <c r="AB324" s="15"/>
      <c r="AC324" s="15"/>
      <c r="AD324" s="15"/>
      <c r="AE324" s="15"/>
      <c r="AF324" s="19"/>
      <c r="AG324" s="19"/>
      <c r="AH324" s="15"/>
      <c r="AI324" s="15"/>
      <c r="AJ324" s="15"/>
      <c r="AK324" s="15"/>
      <c r="AL324" s="21"/>
      <c r="AM324" s="15"/>
      <c r="AN324" s="15"/>
      <c r="AO324" s="15"/>
      <c r="AP324" s="15"/>
      <c r="AQ324" s="15"/>
      <c r="AR324" s="15"/>
      <c r="AS324" s="15"/>
      <c r="AT324" s="19" t="str">
        <f>IF(COUNTA(A324:I324)+COUNTA(N324:X324)+COUNTA(AA324:AE324)+COUNTA(AH324:AS324)=0,"",IF(AND(A324&lt;&gt;"",E324&lt;&gt;"",OR(F324&lt;&gt;"",G324&lt;&gt;""),H324&lt;&gt;"",I324&lt;&gt;"",J324&lt;&gt;"No en catálogo",S324&lt;&gt;"",T324&lt;&gt;"",U324&lt;&gt;"",V324&lt;&gt;"",OR(AR324&lt;&gt;"",AND(W324&lt;&gt;"",X324&lt;&gt;"",AA324&lt;&gt;"",AB324&lt;&gt;"")),OR(AS324&lt;&gt;"",AND(AD324&lt;&gt;"",AE324&lt;&gt;"",AH324&lt;&gt;"",AI324&lt;&gt;"")),AK324&lt;&gt;"",OR(AK324&lt;&gt;"programado",AL324&lt;&gt;""),OR(AM324&lt;&gt;"específica",AN324&lt;&gt;""),OR(AO324&lt;&gt;"específica",AP324&lt;&gt;"")),"OK","Revisar"))</f>
        <v/>
      </c>
    </row>
    <row r="325" ht="15" customHeight="1" spans="1:46" x14ac:dyDescent="0.25">
      <c r="A325" s="15"/>
      <c r="B325" s="15"/>
      <c r="C325" s="15"/>
      <c r="D325" s="15"/>
      <c r="E325" s="15"/>
      <c r="F325" s="15"/>
      <c r="G325" s="15"/>
      <c r="H325" s="15"/>
      <c r="I325" s="15"/>
      <c r="J325" s="19">
        <f>IF(OR(H325="",I325=""),"",IFERROR(INDEX(Catalogo_Vehiculos!$C$2:$C$1325,MATCH(TRUE(),INDEX(Catalogo_Vehiculos!$G$2:$G$1325=H325&amp;"|"&amp;I325,0),0)),"No en catálogo"))</f>
      </c>
      <c r="K325" s="19">
        <f>IF(OR(H325="",I325=""),"",IFERROR(INDEX(Catalogo_Vehiculos!$D$2:$D$1325,MATCH(TRUE(),INDEX(Catalogo_Vehiculos!$G$2:$G$1325=H325&amp;"|"&amp;I325,0),0)),"No en catálogo"))</f>
      </c>
      <c r="L325" s="19">
        <f>IF(OR(H325="",I325=""),"",IFERROR(INDEX(Catalogo_Vehiculos!$E$2:$E$1325,MATCH(TRUE(),INDEX(Catalogo_Vehiculos!$G$2:$G$1325=H325&amp;"|"&amp;I325,0),0)),"No en catálogo"))</f>
      </c>
      <c r="M325" s="19">
        <f>IF(OR(H325="",I325=""),"",IFERROR(INDEX(Catalogo_Vehiculos!$F$2:$F$1325,MATCH(TRUE(),INDEX(Catalogo_Vehiculos!$G$2:$G$1325=H325&amp;"|"&amp;I325,0),0)),"No en catálogo"))</f>
      </c>
      <c r="N325" s="20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9"/>
      <c r="Z325" s="19"/>
      <c r="AA325" s="15"/>
      <c r="AB325" s="15"/>
      <c r="AC325" s="15"/>
      <c r="AD325" s="15"/>
      <c r="AE325" s="15"/>
      <c r="AF325" s="19"/>
      <c r="AG325" s="19"/>
      <c r="AH325" s="15"/>
      <c r="AI325" s="15"/>
      <c r="AJ325" s="15"/>
      <c r="AK325" s="15"/>
      <c r="AL325" s="21"/>
      <c r="AM325" s="15"/>
      <c r="AN325" s="15"/>
      <c r="AO325" s="15"/>
      <c r="AP325" s="15"/>
      <c r="AQ325" s="15"/>
      <c r="AR325" s="15"/>
      <c r="AS325" s="15"/>
      <c r="AT325" s="19" t="str">
        <f>IF(COUNTA(A325:I325)+COUNTA(N325:X325)+COUNTA(AA325:AE325)+COUNTA(AH325:AS325)=0,"",IF(AND(A325&lt;&gt;"",E325&lt;&gt;"",OR(F325&lt;&gt;"",G325&lt;&gt;""),H325&lt;&gt;"",I325&lt;&gt;"",J325&lt;&gt;"No en catálogo",S325&lt;&gt;"",T325&lt;&gt;"",U325&lt;&gt;"",V325&lt;&gt;"",OR(AR325&lt;&gt;"",AND(W325&lt;&gt;"",X325&lt;&gt;"",AA325&lt;&gt;"",AB325&lt;&gt;"")),OR(AS325&lt;&gt;"",AND(AD325&lt;&gt;"",AE325&lt;&gt;"",AH325&lt;&gt;"",AI325&lt;&gt;"")),AK325&lt;&gt;"",OR(AK325&lt;&gt;"programado",AL325&lt;&gt;""),OR(AM325&lt;&gt;"específica",AN325&lt;&gt;""),OR(AO325&lt;&gt;"específica",AP325&lt;&gt;"")),"OK","Revisar"))</f>
        <v/>
      </c>
    </row>
    <row r="326" ht="15" customHeight="1" spans="1:46" x14ac:dyDescent="0.25">
      <c r="A326" s="15"/>
      <c r="B326" s="15"/>
      <c r="C326" s="15"/>
      <c r="D326" s="15"/>
      <c r="E326" s="15"/>
      <c r="F326" s="15"/>
      <c r="G326" s="15"/>
      <c r="H326" s="15"/>
      <c r="I326" s="15"/>
      <c r="J326" s="19">
        <f>IF(OR(H326="",I326=""),"",IFERROR(INDEX(Catalogo_Vehiculos!$C$2:$C$1325,MATCH(TRUE(),INDEX(Catalogo_Vehiculos!$G$2:$G$1325=H326&amp;"|"&amp;I326,0),0)),"No en catálogo"))</f>
      </c>
      <c r="K326" s="19">
        <f>IF(OR(H326="",I326=""),"",IFERROR(INDEX(Catalogo_Vehiculos!$D$2:$D$1325,MATCH(TRUE(),INDEX(Catalogo_Vehiculos!$G$2:$G$1325=H326&amp;"|"&amp;I326,0),0)),"No en catálogo"))</f>
      </c>
      <c r="L326" s="19">
        <f>IF(OR(H326="",I326=""),"",IFERROR(INDEX(Catalogo_Vehiculos!$E$2:$E$1325,MATCH(TRUE(),INDEX(Catalogo_Vehiculos!$G$2:$G$1325=H326&amp;"|"&amp;I326,0),0)),"No en catálogo"))</f>
      </c>
      <c r="M326" s="19">
        <f>IF(OR(H326="",I326=""),"",IFERROR(INDEX(Catalogo_Vehiculos!$F$2:$F$1325,MATCH(TRUE(),INDEX(Catalogo_Vehiculos!$G$2:$G$1325=H326&amp;"|"&amp;I326,0),0)),"No en catálogo"))</f>
      </c>
      <c r="N326" s="20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9"/>
      <c r="Z326" s="19"/>
      <c r="AA326" s="15"/>
      <c r="AB326" s="15"/>
      <c r="AC326" s="15"/>
      <c r="AD326" s="15"/>
      <c r="AE326" s="15"/>
      <c r="AF326" s="19"/>
      <c r="AG326" s="19"/>
      <c r="AH326" s="15"/>
      <c r="AI326" s="15"/>
      <c r="AJ326" s="15"/>
      <c r="AK326" s="15"/>
      <c r="AL326" s="21"/>
      <c r="AM326" s="15"/>
      <c r="AN326" s="15"/>
      <c r="AO326" s="15"/>
      <c r="AP326" s="15"/>
      <c r="AQ326" s="15"/>
      <c r="AR326" s="15"/>
      <c r="AS326" s="15"/>
      <c r="AT326" s="19" t="str">
        <f>IF(COUNTA(A326:I326)+COUNTA(N326:X326)+COUNTA(AA326:AE326)+COUNTA(AH326:AS326)=0,"",IF(AND(A326&lt;&gt;"",E326&lt;&gt;"",OR(F326&lt;&gt;"",G326&lt;&gt;""),H326&lt;&gt;"",I326&lt;&gt;"",J326&lt;&gt;"No en catálogo",S326&lt;&gt;"",T326&lt;&gt;"",U326&lt;&gt;"",V326&lt;&gt;"",OR(AR326&lt;&gt;"",AND(W326&lt;&gt;"",X326&lt;&gt;"",AA326&lt;&gt;"",AB326&lt;&gt;"")),OR(AS326&lt;&gt;"",AND(AD326&lt;&gt;"",AE326&lt;&gt;"",AH326&lt;&gt;"",AI326&lt;&gt;"")),AK326&lt;&gt;"",OR(AK326&lt;&gt;"programado",AL326&lt;&gt;""),OR(AM326&lt;&gt;"específica",AN326&lt;&gt;""),OR(AO326&lt;&gt;"específica",AP326&lt;&gt;"")),"OK","Revisar"))</f>
        <v/>
      </c>
    </row>
    <row r="327" ht="15" customHeight="1" spans="1:46" x14ac:dyDescent="0.25">
      <c r="A327" s="15"/>
      <c r="B327" s="15"/>
      <c r="C327" s="15"/>
      <c r="D327" s="15"/>
      <c r="E327" s="15"/>
      <c r="F327" s="15"/>
      <c r="G327" s="15"/>
      <c r="H327" s="15"/>
      <c r="I327" s="15"/>
      <c r="J327" s="19">
        <f>IF(OR(H327="",I327=""),"",IFERROR(INDEX(Catalogo_Vehiculos!$C$2:$C$1325,MATCH(TRUE(),INDEX(Catalogo_Vehiculos!$G$2:$G$1325=H327&amp;"|"&amp;I327,0),0)),"No en catálogo"))</f>
      </c>
      <c r="K327" s="19">
        <f>IF(OR(H327="",I327=""),"",IFERROR(INDEX(Catalogo_Vehiculos!$D$2:$D$1325,MATCH(TRUE(),INDEX(Catalogo_Vehiculos!$G$2:$G$1325=H327&amp;"|"&amp;I327,0),0)),"No en catálogo"))</f>
      </c>
      <c r="L327" s="19">
        <f>IF(OR(H327="",I327=""),"",IFERROR(INDEX(Catalogo_Vehiculos!$E$2:$E$1325,MATCH(TRUE(),INDEX(Catalogo_Vehiculos!$G$2:$G$1325=H327&amp;"|"&amp;I327,0),0)),"No en catálogo"))</f>
      </c>
      <c r="M327" s="19">
        <f>IF(OR(H327="",I327=""),"",IFERROR(INDEX(Catalogo_Vehiculos!$F$2:$F$1325,MATCH(TRUE(),INDEX(Catalogo_Vehiculos!$G$2:$G$1325=H327&amp;"|"&amp;I327,0),0)),"No en catálogo"))</f>
      </c>
      <c r="N327" s="20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9"/>
      <c r="Z327" s="19"/>
      <c r="AA327" s="15"/>
      <c r="AB327" s="15"/>
      <c r="AC327" s="15"/>
      <c r="AD327" s="15"/>
      <c r="AE327" s="15"/>
      <c r="AF327" s="19"/>
      <c r="AG327" s="19"/>
      <c r="AH327" s="15"/>
      <c r="AI327" s="15"/>
      <c r="AJ327" s="15"/>
      <c r="AK327" s="15"/>
      <c r="AL327" s="21"/>
      <c r="AM327" s="15"/>
      <c r="AN327" s="15"/>
      <c r="AO327" s="15"/>
      <c r="AP327" s="15"/>
      <c r="AQ327" s="15"/>
      <c r="AR327" s="15"/>
      <c r="AS327" s="15"/>
      <c r="AT327" s="19" t="str">
        <f>IF(COUNTA(A327:I327)+COUNTA(N327:X327)+COUNTA(AA327:AE327)+COUNTA(AH327:AS327)=0,"",IF(AND(A327&lt;&gt;"",E327&lt;&gt;"",OR(F327&lt;&gt;"",G327&lt;&gt;""),H327&lt;&gt;"",I327&lt;&gt;"",J327&lt;&gt;"No en catálogo",S327&lt;&gt;"",T327&lt;&gt;"",U327&lt;&gt;"",V327&lt;&gt;"",OR(AR327&lt;&gt;"",AND(W327&lt;&gt;"",X327&lt;&gt;"",AA327&lt;&gt;"",AB327&lt;&gt;"")),OR(AS327&lt;&gt;"",AND(AD327&lt;&gt;"",AE327&lt;&gt;"",AH327&lt;&gt;"",AI327&lt;&gt;"")),AK327&lt;&gt;"",OR(AK327&lt;&gt;"programado",AL327&lt;&gt;""),OR(AM327&lt;&gt;"específica",AN327&lt;&gt;""),OR(AO327&lt;&gt;"específica",AP327&lt;&gt;"")),"OK","Revisar"))</f>
        <v/>
      </c>
    </row>
    <row r="328" ht="15" customHeight="1" spans="1:46" x14ac:dyDescent="0.25">
      <c r="A328" s="15"/>
      <c r="B328" s="15"/>
      <c r="C328" s="15"/>
      <c r="D328" s="15"/>
      <c r="E328" s="15"/>
      <c r="F328" s="15"/>
      <c r="G328" s="15"/>
      <c r="H328" s="15"/>
      <c r="I328" s="15"/>
      <c r="J328" s="19">
        <f>IF(OR(H328="",I328=""),"",IFERROR(INDEX(Catalogo_Vehiculos!$C$2:$C$1325,MATCH(TRUE(),INDEX(Catalogo_Vehiculos!$G$2:$G$1325=H328&amp;"|"&amp;I328,0),0)),"No en catálogo"))</f>
      </c>
      <c r="K328" s="19">
        <f>IF(OR(H328="",I328=""),"",IFERROR(INDEX(Catalogo_Vehiculos!$D$2:$D$1325,MATCH(TRUE(),INDEX(Catalogo_Vehiculos!$G$2:$G$1325=H328&amp;"|"&amp;I328,0),0)),"No en catálogo"))</f>
      </c>
      <c r="L328" s="19">
        <f>IF(OR(H328="",I328=""),"",IFERROR(INDEX(Catalogo_Vehiculos!$E$2:$E$1325,MATCH(TRUE(),INDEX(Catalogo_Vehiculos!$G$2:$G$1325=H328&amp;"|"&amp;I328,0),0)),"No en catálogo"))</f>
      </c>
      <c r="M328" s="19">
        <f>IF(OR(H328="",I328=""),"",IFERROR(INDEX(Catalogo_Vehiculos!$F$2:$F$1325,MATCH(TRUE(),INDEX(Catalogo_Vehiculos!$G$2:$G$1325=H328&amp;"|"&amp;I328,0),0)),"No en catálogo"))</f>
      </c>
      <c r="N328" s="20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9"/>
      <c r="Z328" s="19"/>
      <c r="AA328" s="15"/>
      <c r="AB328" s="15"/>
      <c r="AC328" s="15"/>
      <c r="AD328" s="15"/>
      <c r="AE328" s="15"/>
      <c r="AF328" s="19"/>
      <c r="AG328" s="19"/>
      <c r="AH328" s="15"/>
      <c r="AI328" s="15"/>
      <c r="AJ328" s="15"/>
      <c r="AK328" s="15"/>
      <c r="AL328" s="21"/>
      <c r="AM328" s="15"/>
      <c r="AN328" s="15"/>
      <c r="AO328" s="15"/>
      <c r="AP328" s="15"/>
      <c r="AQ328" s="15"/>
      <c r="AR328" s="15"/>
      <c r="AS328" s="15"/>
      <c r="AT328" s="19" t="str">
        <f>IF(COUNTA(A328:I328)+COUNTA(N328:X328)+COUNTA(AA328:AE328)+COUNTA(AH328:AS328)=0,"",IF(AND(A328&lt;&gt;"",E328&lt;&gt;"",OR(F328&lt;&gt;"",G328&lt;&gt;""),H328&lt;&gt;"",I328&lt;&gt;"",J328&lt;&gt;"No en catálogo",S328&lt;&gt;"",T328&lt;&gt;"",U328&lt;&gt;"",V328&lt;&gt;"",OR(AR328&lt;&gt;"",AND(W328&lt;&gt;"",X328&lt;&gt;"",AA328&lt;&gt;"",AB328&lt;&gt;"")),OR(AS328&lt;&gt;"",AND(AD328&lt;&gt;"",AE328&lt;&gt;"",AH328&lt;&gt;"",AI328&lt;&gt;"")),AK328&lt;&gt;"",OR(AK328&lt;&gt;"programado",AL328&lt;&gt;""),OR(AM328&lt;&gt;"específica",AN328&lt;&gt;""),OR(AO328&lt;&gt;"específica",AP328&lt;&gt;"")),"OK","Revisar"))</f>
        <v/>
      </c>
    </row>
    <row r="329" ht="15" customHeight="1" spans="1:46" x14ac:dyDescent="0.25">
      <c r="A329" s="15"/>
      <c r="B329" s="15"/>
      <c r="C329" s="15"/>
      <c r="D329" s="15"/>
      <c r="E329" s="15"/>
      <c r="F329" s="15"/>
      <c r="G329" s="15"/>
      <c r="H329" s="15"/>
      <c r="I329" s="15"/>
      <c r="J329" s="19">
        <f>IF(OR(H329="",I329=""),"",IFERROR(INDEX(Catalogo_Vehiculos!$C$2:$C$1325,MATCH(TRUE(),INDEX(Catalogo_Vehiculos!$G$2:$G$1325=H329&amp;"|"&amp;I329,0),0)),"No en catálogo"))</f>
      </c>
      <c r="K329" s="19">
        <f>IF(OR(H329="",I329=""),"",IFERROR(INDEX(Catalogo_Vehiculos!$D$2:$D$1325,MATCH(TRUE(),INDEX(Catalogo_Vehiculos!$G$2:$G$1325=H329&amp;"|"&amp;I329,0),0)),"No en catálogo"))</f>
      </c>
      <c r="L329" s="19">
        <f>IF(OR(H329="",I329=""),"",IFERROR(INDEX(Catalogo_Vehiculos!$E$2:$E$1325,MATCH(TRUE(),INDEX(Catalogo_Vehiculos!$G$2:$G$1325=H329&amp;"|"&amp;I329,0),0)),"No en catálogo"))</f>
      </c>
      <c r="M329" s="19">
        <f>IF(OR(H329="",I329=""),"",IFERROR(INDEX(Catalogo_Vehiculos!$F$2:$F$1325,MATCH(TRUE(),INDEX(Catalogo_Vehiculos!$G$2:$G$1325=H329&amp;"|"&amp;I329,0),0)),"No en catálogo"))</f>
      </c>
      <c r="N329" s="20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9"/>
      <c r="Z329" s="19"/>
      <c r="AA329" s="15"/>
      <c r="AB329" s="15"/>
      <c r="AC329" s="15"/>
      <c r="AD329" s="15"/>
      <c r="AE329" s="15"/>
      <c r="AF329" s="19"/>
      <c r="AG329" s="19"/>
      <c r="AH329" s="15"/>
      <c r="AI329" s="15"/>
      <c r="AJ329" s="15"/>
      <c r="AK329" s="15"/>
      <c r="AL329" s="21"/>
      <c r="AM329" s="15"/>
      <c r="AN329" s="15"/>
      <c r="AO329" s="15"/>
      <c r="AP329" s="15"/>
      <c r="AQ329" s="15"/>
      <c r="AR329" s="15"/>
      <c r="AS329" s="15"/>
      <c r="AT329" s="19" t="str">
        <f>IF(COUNTA(A329:I329)+COUNTA(N329:X329)+COUNTA(AA329:AE329)+COUNTA(AH329:AS329)=0,"",IF(AND(A329&lt;&gt;"",E329&lt;&gt;"",OR(F329&lt;&gt;"",G329&lt;&gt;""),H329&lt;&gt;"",I329&lt;&gt;"",J329&lt;&gt;"No en catálogo",S329&lt;&gt;"",T329&lt;&gt;"",U329&lt;&gt;"",V329&lt;&gt;"",OR(AR329&lt;&gt;"",AND(W329&lt;&gt;"",X329&lt;&gt;"",AA329&lt;&gt;"",AB329&lt;&gt;"")),OR(AS329&lt;&gt;"",AND(AD329&lt;&gt;"",AE329&lt;&gt;"",AH329&lt;&gt;"",AI329&lt;&gt;"")),AK329&lt;&gt;"",OR(AK329&lt;&gt;"programado",AL329&lt;&gt;""),OR(AM329&lt;&gt;"específica",AN329&lt;&gt;""),OR(AO329&lt;&gt;"específica",AP329&lt;&gt;"")),"OK","Revisar"))</f>
        <v/>
      </c>
    </row>
    <row r="330" ht="15" customHeight="1" spans="1:46" x14ac:dyDescent="0.25">
      <c r="A330" s="15"/>
      <c r="B330" s="15"/>
      <c r="C330" s="15"/>
      <c r="D330" s="15"/>
      <c r="E330" s="15"/>
      <c r="F330" s="15"/>
      <c r="G330" s="15"/>
      <c r="H330" s="15"/>
      <c r="I330" s="15"/>
      <c r="J330" s="19">
        <f>IF(OR(H330="",I330=""),"",IFERROR(INDEX(Catalogo_Vehiculos!$C$2:$C$1325,MATCH(TRUE(),INDEX(Catalogo_Vehiculos!$G$2:$G$1325=H330&amp;"|"&amp;I330,0),0)),"No en catálogo"))</f>
      </c>
      <c r="K330" s="19">
        <f>IF(OR(H330="",I330=""),"",IFERROR(INDEX(Catalogo_Vehiculos!$D$2:$D$1325,MATCH(TRUE(),INDEX(Catalogo_Vehiculos!$G$2:$G$1325=H330&amp;"|"&amp;I330,0),0)),"No en catálogo"))</f>
      </c>
      <c r="L330" s="19">
        <f>IF(OR(H330="",I330=""),"",IFERROR(INDEX(Catalogo_Vehiculos!$E$2:$E$1325,MATCH(TRUE(),INDEX(Catalogo_Vehiculos!$G$2:$G$1325=H330&amp;"|"&amp;I330,0),0)),"No en catálogo"))</f>
      </c>
      <c r="M330" s="19">
        <f>IF(OR(H330="",I330=""),"",IFERROR(INDEX(Catalogo_Vehiculos!$F$2:$F$1325,MATCH(TRUE(),INDEX(Catalogo_Vehiculos!$G$2:$G$1325=H330&amp;"|"&amp;I330,0),0)),"No en catálogo"))</f>
      </c>
      <c r="N330" s="20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9"/>
      <c r="Z330" s="19"/>
      <c r="AA330" s="15"/>
      <c r="AB330" s="15"/>
      <c r="AC330" s="15"/>
      <c r="AD330" s="15"/>
      <c r="AE330" s="15"/>
      <c r="AF330" s="19"/>
      <c r="AG330" s="19"/>
      <c r="AH330" s="15"/>
      <c r="AI330" s="15"/>
      <c r="AJ330" s="15"/>
      <c r="AK330" s="15"/>
      <c r="AL330" s="21"/>
      <c r="AM330" s="15"/>
      <c r="AN330" s="15"/>
      <c r="AO330" s="15"/>
      <c r="AP330" s="15"/>
      <c r="AQ330" s="15"/>
      <c r="AR330" s="15"/>
      <c r="AS330" s="15"/>
      <c r="AT330" s="19" t="str">
        <f>IF(COUNTA(A330:I330)+COUNTA(N330:X330)+COUNTA(AA330:AE330)+COUNTA(AH330:AS330)=0,"",IF(AND(A330&lt;&gt;"",E330&lt;&gt;"",OR(F330&lt;&gt;"",G330&lt;&gt;""),H330&lt;&gt;"",I330&lt;&gt;"",J330&lt;&gt;"No en catálogo",S330&lt;&gt;"",T330&lt;&gt;"",U330&lt;&gt;"",V330&lt;&gt;"",OR(AR330&lt;&gt;"",AND(W330&lt;&gt;"",X330&lt;&gt;"",AA330&lt;&gt;"",AB330&lt;&gt;"")),OR(AS330&lt;&gt;"",AND(AD330&lt;&gt;"",AE330&lt;&gt;"",AH330&lt;&gt;"",AI330&lt;&gt;"")),AK330&lt;&gt;"",OR(AK330&lt;&gt;"programado",AL330&lt;&gt;""),OR(AM330&lt;&gt;"específica",AN330&lt;&gt;""),OR(AO330&lt;&gt;"específica",AP330&lt;&gt;"")),"OK","Revisar"))</f>
        <v/>
      </c>
    </row>
    <row r="331" ht="15" customHeight="1" spans="1:46" x14ac:dyDescent="0.25">
      <c r="A331" s="15"/>
      <c r="B331" s="15"/>
      <c r="C331" s="15"/>
      <c r="D331" s="15"/>
      <c r="E331" s="15"/>
      <c r="F331" s="15"/>
      <c r="G331" s="15"/>
      <c r="H331" s="15"/>
      <c r="I331" s="15"/>
      <c r="J331" s="19">
        <f>IF(OR(H331="",I331=""),"",IFERROR(INDEX(Catalogo_Vehiculos!$C$2:$C$1325,MATCH(TRUE(),INDEX(Catalogo_Vehiculos!$G$2:$G$1325=H331&amp;"|"&amp;I331,0),0)),"No en catálogo"))</f>
      </c>
      <c r="K331" s="19">
        <f>IF(OR(H331="",I331=""),"",IFERROR(INDEX(Catalogo_Vehiculos!$D$2:$D$1325,MATCH(TRUE(),INDEX(Catalogo_Vehiculos!$G$2:$G$1325=H331&amp;"|"&amp;I331,0),0)),"No en catálogo"))</f>
      </c>
      <c r="L331" s="19">
        <f>IF(OR(H331="",I331=""),"",IFERROR(INDEX(Catalogo_Vehiculos!$E$2:$E$1325,MATCH(TRUE(),INDEX(Catalogo_Vehiculos!$G$2:$G$1325=H331&amp;"|"&amp;I331,0),0)),"No en catálogo"))</f>
      </c>
      <c r="M331" s="19">
        <f>IF(OR(H331="",I331=""),"",IFERROR(INDEX(Catalogo_Vehiculos!$F$2:$F$1325,MATCH(TRUE(),INDEX(Catalogo_Vehiculos!$G$2:$G$1325=H331&amp;"|"&amp;I331,0),0)),"No en catálogo"))</f>
      </c>
      <c r="N331" s="20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9"/>
      <c r="Z331" s="19"/>
      <c r="AA331" s="15"/>
      <c r="AB331" s="15"/>
      <c r="AC331" s="15"/>
      <c r="AD331" s="15"/>
      <c r="AE331" s="15"/>
      <c r="AF331" s="19"/>
      <c r="AG331" s="19"/>
      <c r="AH331" s="15"/>
      <c r="AI331" s="15"/>
      <c r="AJ331" s="15"/>
      <c r="AK331" s="15"/>
      <c r="AL331" s="21"/>
      <c r="AM331" s="15"/>
      <c r="AN331" s="15"/>
      <c r="AO331" s="15"/>
      <c r="AP331" s="15"/>
      <c r="AQ331" s="15"/>
      <c r="AR331" s="15"/>
      <c r="AS331" s="15"/>
      <c r="AT331" s="19" t="str">
        <f>IF(COUNTA(A331:I331)+COUNTA(N331:X331)+COUNTA(AA331:AE331)+COUNTA(AH331:AS331)=0,"",IF(AND(A331&lt;&gt;"",E331&lt;&gt;"",OR(F331&lt;&gt;"",G331&lt;&gt;""),H331&lt;&gt;"",I331&lt;&gt;"",J331&lt;&gt;"No en catálogo",S331&lt;&gt;"",T331&lt;&gt;"",U331&lt;&gt;"",V331&lt;&gt;"",OR(AR331&lt;&gt;"",AND(W331&lt;&gt;"",X331&lt;&gt;"",AA331&lt;&gt;"",AB331&lt;&gt;"")),OR(AS331&lt;&gt;"",AND(AD331&lt;&gt;"",AE331&lt;&gt;"",AH331&lt;&gt;"",AI331&lt;&gt;"")),AK331&lt;&gt;"",OR(AK331&lt;&gt;"programado",AL331&lt;&gt;""),OR(AM331&lt;&gt;"específica",AN331&lt;&gt;""),OR(AO331&lt;&gt;"específica",AP331&lt;&gt;"")),"OK","Revisar"))</f>
        <v/>
      </c>
    </row>
    <row r="332" ht="15" customHeight="1" spans="1:46" x14ac:dyDescent="0.25">
      <c r="A332" s="15"/>
      <c r="B332" s="15"/>
      <c r="C332" s="15"/>
      <c r="D332" s="15"/>
      <c r="E332" s="15"/>
      <c r="F332" s="15"/>
      <c r="G332" s="15"/>
      <c r="H332" s="15"/>
      <c r="I332" s="15"/>
      <c r="J332" s="19">
        <f>IF(OR(H332="",I332=""),"",IFERROR(INDEX(Catalogo_Vehiculos!$C$2:$C$1325,MATCH(TRUE(),INDEX(Catalogo_Vehiculos!$G$2:$G$1325=H332&amp;"|"&amp;I332,0),0)),"No en catálogo"))</f>
      </c>
      <c r="K332" s="19">
        <f>IF(OR(H332="",I332=""),"",IFERROR(INDEX(Catalogo_Vehiculos!$D$2:$D$1325,MATCH(TRUE(),INDEX(Catalogo_Vehiculos!$G$2:$G$1325=H332&amp;"|"&amp;I332,0),0)),"No en catálogo"))</f>
      </c>
      <c r="L332" s="19">
        <f>IF(OR(H332="",I332=""),"",IFERROR(INDEX(Catalogo_Vehiculos!$E$2:$E$1325,MATCH(TRUE(),INDEX(Catalogo_Vehiculos!$G$2:$G$1325=H332&amp;"|"&amp;I332,0),0)),"No en catálogo"))</f>
      </c>
      <c r="M332" s="19">
        <f>IF(OR(H332="",I332=""),"",IFERROR(INDEX(Catalogo_Vehiculos!$F$2:$F$1325,MATCH(TRUE(),INDEX(Catalogo_Vehiculos!$G$2:$G$1325=H332&amp;"|"&amp;I332,0),0)),"No en catálogo"))</f>
      </c>
      <c r="N332" s="20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9"/>
      <c r="Z332" s="19"/>
      <c r="AA332" s="15"/>
      <c r="AB332" s="15"/>
      <c r="AC332" s="15"/>
      <c r="AD332" s="15"/>
      <c r="AE332" s="15"/>
      <c r="AF332" s="19"/>
      <c r="AG332" s="19"/>
      <c r="AH332" s="15"/>
      <c r="AI332" s="15"/>
      <c r="AJ332" s="15"/>
      <c r="AK332" s="15"/>
      <c r="AL332" s="21"/>
      <c r="AM332" s="15"/>
      <c r="AN332" s="15"/>
      <c r="AO332" s="15"/>
      <c r="AP332" s="15"/>
      <c r="AQ332" s="15"/>
      <c r="AR332" s="15"/>
      <c r="AS332" s="15"/>
      <c r="AT332" s="19" t="str">
        <f>IF(COUNTA(A332:I332)+COUNTA(N332:X332)+COUNTA(AA332:AE332)+COUNTA(AH332:AS332)=0,"",IF(AND(A332&lt;&gt;"",E332&lt;&gt;"",OR(F332&lt;&gt;"",G332&lt;&gt;""),H332&lt;&gt;"",I332&lt;&gt;"",J332&lt;&gt;"No en catálogo",S332&lt;&gt;"",T332&lt;&gt;"",U332&lt;&gt;"",V332&lt;&gt;"",OR(AR332&lt;&gt;"",AND(W332&lt;&gt;"",X332&lt;&gt;"",AA332&lt;&gt;"",AB332&lt;&gt;"")),OR(AS332&lt;&gt;"",AND(AD332&lt;&gt;"",AE332&lt;&gt;"",AH332&lt;&gt;"",AI332&lt;&gt;"")),AK332&lt;&gt;"",OR(AK332&lt;&gt;"programado",AL332&lt;&gt;""),OR(AM332&lt;&gt;"específica",AN332&lt;&gt;""),OR(AO332&lt;&gt;"específica",AP332&lt;&gt;"")),"OK","Revisar"))</f>
        <v/>
      </c>
    </row>
    <row r="333" ht="15" customHeight="1" spans="1:46" x14ac:dyDescent="0.25">
      <c r="A333" s="15"/>
      <c r="B333" s="15"/>
      <c r="C333" s="15"/>
      <c r="D333" s="15"/>
      <c r="E333" s="15"/>
      <c r="F333" s="15"/>
      <c r="G333" s="15"/>
      <c r="H333" s="15"/>
      <c r="I333" s="15"/>
      <c r="J333" s="19">
        <f>IF(OR(H333="",I333=""),"",IFERROR(INDEX(Catalogo_Vehiculos!$C$2:$C$1325,MATCH(TRUE(),INDEX(Catalogo_Vehiculos!$G$2:$G$1325=H333&amp;"|"&amp;I333,0),0)),"No en catálogo"))</f>
      </c>
      <c r="K333" s="19">
        <f>IF(OR(H333="",I333=""),"",IFERROR(INDEX(Catalogo_Vehiculos!$D$2:$D$1325,MATCH(TRUE(),INDEX(Catalogo_Vehiculos!$G$2:$G$1325=H333&amp;"|"&amp;I333,0),0)),"No en catálogo"))</f>
      </c>
      <c r="L333" s="19">
        <f>IF(OR(H333="",I333=""),"",IFERROR(INDEX(Catalogo_Vehiculos!$E$2:$E$1325,MATCH(TRUE(),INDEX(Catalogo_Vehiculos!$G$2:$G$1325=H333&amp;"|"&amp;I333,0),0)),"No en catálogo"))</f>
      </c>
      <c r="M333" s="19">
        <f>IF(OR(H333="",I333=""),"",IFERROR(INDEX(Catalogo_Vehiculos!$F$2:$F$1325,MATCH(TRUE(),INDEX(Catalogo_Vehiculos!$G$2:$G$1325=H333&amp;"|"&amp;I333,0),0)),"No en catálogo"))</f>
      </c>
      <c r="N333" s="20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9"/>
      <c r="Z333" s="19"/>
      <c r="AA333" s="15"/>
      <c r="AB333" s="15"/>
      <c r="AC333" s="15"/>
      <c r="AD333" s="15"/>
      <c r="AE333" s="15"/>
      <c r="AF333" s="19"/>
      <c r="AG333" s="19"/>
      <c r="AH333" s="15"/>
      <c r="AI333" s="15"/>
      <c r="AJ333" s="15"/>
      <c r="AK333" s="15"/>
      <c r="AL333" s="21"/>
      <c r="AM333" s="15"/>
      <c r="AN333" s="15"/>
      <c r="AO333" s="15"/>
      <c r="AP333" s="15"/>
      <c r="AQ333" s="15"/>
      <c r="AR333" s="15"/>
      <c r="AS333" s="15"/>
      <c r="AT333" s="19" t="str">
        <f>IF(COUNTA(A333:I333)+COUNTA(N333:X333)+COUNTA(AA333:AE333)+COUNTA(AH333:AS333)=0,"",IF(AND(A333&lt;&gt;"",E333&lt;&gt;"",OR(F333&lt;&gt;"",G333&lt;&gt;""),H333&lt;&gt;"",I333&lt;&gt;"",J333&lt;&gt;"No en catálogo",S333&lt;&gt;"",T333&lt;&gt;"",U333&lt;&gt;"",V333&lt;&gt;"",OR(AR333&lt;&gt;"",AND(W333&lt;&gt;"",X333&lt;&gt;"",AA333&lt;&gt;"",AB333&lt;&gt;"")),OR(AS333&lt;&gt;"",AND(AD333&lt;&gt;"",AE333&lt;&gt;"",AH333&lt;&gt;"",AI333&lt;&gt;"")),AK333&lt;&gt;"",OR(AK333&lt;&gt;"programado",AL333&lt;&gt;""),OR(AM333&lt;&gt;"específica",AN333&lt;&gt;""),OR(AO333&lt;&gt;"específica",AP333&lt;&gt;"")),"OK","Revisar"))</f>
        <v/>
      </c>
    </row>
    <row r="334" ht="15" customHeight="1" spans="1:46" x14ac:dyDescent="0.25">
      <c r="A334" s="15"/>
      <c r="B334" s="15"/>
      <c r="C334" s="15"/>
      <c r="D334" s="15"/>
      <c r="E334" s="15"/>
      <c r="F334" s="15"/>
      <c r="G334" s="15"/>
      <c r="H334" s="15"/>
      <c r="I334" s="15"/>
      <c r="J334" s="19">
        <f>IF(OR(H334="",I334=""),"",IFERROR(INDEX(Catalogo_Vehiculos!$C$2:$C$1325,MATCH(TRUE(),INDEX(Catalogo_Vehiculos!$G$2:$G$1325=H334&amp;"|"&amp;I334,0),0)),"No en catálogo"))</f>
      </c>
      <c r="K334" s="19">
        <f>IF(OR(H334="",I334=""),"",IFERROR(INDEX(Catalogo_Vehiculos!$D$2:$D$1325,MATCH(TRUE(),INDEX(Catalogo_Vehiculos!$G$2:$G$1325=H334&amp;"|"&amp;I334,0),0)),"No en catálogo"))</f>
      </c>
      <c r="L334" s="19">
        <f>IF(OR(H334="",I334=""),"",IFERROR(INDEX(Catalogo_Vehiculos!$E$2:$E$1325,MATCH(TRUE(),INDEX(Catalogo_Vehiculos!$G$2:$G$1325=H334&amp;"|"&amp;I334,0),0)),"No en catálogo"))</f>
      </c>
      <c r="M334" s="19">
        <f>IF(OR(H334="",I334=""),"",IFERROR(INDEX(Catalogo_Vehiculos!$F$2:$F$1325,MATCH(TRUE(),INDEX(Catalogo_Vehiculos!$G$2:$G$1325=H334&amp;"|"&amp;I334,0),0)),"No en catálogo"))</f>
      </c>
      <c r="N334" s="20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9"/>
      <c r="Z334" s="19"/>
      <c r="AA334" s="15"/>
      <c r="AB334" s="15"/>
      <c r="AC334" s="15"/>
      <c r="AD334" s="15"/>
      <c r="AE334" s="15"/>
      <c r="AF334" s="19"/>
      <c r="AG334" s="19"/>
      <c r="AH334" s="15"/>
      <c r="AI334" s="15"/>
      <c r="AJ334" s="15"/>
      <c r="AK334" s="15"/>
      <c r="AL334" s="21"/>
      <c r="AM334" s="15"/>
      <c r="AN334" s="15"/>
      <c r="AO334" s="15"/>
      <c r="AP334" s="15"/>
      <c r="AQ334" s="15"/>
      <c r="AR334" s="15"/>
      <c r="AS334" s="15"/>
      <c r="AT334" s="19" t="str">
        <f>IF(COUNTA(A334:I334)+COUNTA(N334:X334)+COUNTA(AA334:AE334)+COUNTA(AH334:AS334)=0,"",IF(AND(A334&lt;&gt;"",E334&lt;&gt;"",OR(F334&lt;&gt;"",G334&lt;&gt;""),H334&lt;&gt;"",I334&lt;&gt;"",J334&lt;&gt;"No en catálogo",S334&lt;&gt;"",T334&lt;&gt;"",U334&lt;&gt;"",V334&lt;&gt;"",OR(AR334&lt;&gt;"",AND(W334&lt;&gt;"",X334&lt;&gt;"",AA334&lt;&gt;"",AB334&lt;&gt;"")),OR(AS334&lt;&gt;"",AND(AD334&lt;&gt;"",AE334&lt;&gt;"",AH334&lt;&gt;"",AI334&lt;&gt;"")),AK334&lt;&gt;"",OR(AK334&lt;&gt;"programado",AL334&lt;&gt;""),OR(AM334&lt;&gt;"específica",AN334&lt;&gt;""),OR(AO334&lt;&gt;"específica",AP334&lt;&gt;"")),"OK","Revisar"))</f>
        <v/>
      </c>
    </row>
    <row r="335" ht="15" customHeight="1" spans="1:46" x14ac:dyDescent="0.25">
      <c r="A335" s="15"/>
      <c r="B335" s="15"/>
      <c r="C335" s="15"/>
      <c r="D335" s="15"/>
      <c r="E335" s="15"/>
      <c r="F335" s="15"/>
      <c r="G335" s="15"/>
      <c r="H335" s="15"/>
      <c r="I335" s="15"/>
      <c r="J335" s="19">
        <f>IF(OR(H335="",I335=""),"",IFERROR(INDEX(Catalogo_Vehiculos!$C$2:$C$1325,MATCH(TRUE(),INDEX(Catalogo_Vehiculos!$G$2:$G$1325=H335&amp;"|"&amp;I335,0),0)),"No en catálogo"))</f>
      </c>
      <c r="K335" s="19">
        <f>IF(OR(H335="",I335=""),"",IFERROR(INDEX(Catalogo_Vehiculos!$D$2:$D$1325,MATCH(TRUE(),INDEX(Catalogo_Vehiculos!$G$2:$G$1325=H335&amp;"|"&amp;I335,0),0)),"No en catálogo"))</f>
      </c>
      <c r="L335" s="19">
        <f>IF(OR(H335="",I335=""),"",IFERROR(INDEX(Catalogo_Vehiculos!$E$2:$E$1325,MATCH(TRUE(),INDEX(Catalogo_Vehiculos!$G$2:$G$1325=H335&amp;"|"&amp;I335,0),0)),"No en catálogo"))</f>
      </c>
      <c r="M335" s="19">
        <f>IF(OR(H335="",I335=""),"",IFERROR(INDEX(Catalogo_Vehiculos!$F$2:$F$1325,MATCH(TRUE(),INDEX(Catalogo_Vehiculos!$G$2:$G$1325=H335&amp;"|"&amp;I335,0),0)),"No en catálogo"))</f>
      </c>
      <c r="N335" s="20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9"/>
      <c r="Z335" s="19"/>
      <c r="AA335" s="15"/>
      <c r="AB335" s="15"/>
      <c r="AC335" s="15"/>
      <c r="AD335" s="15"/>
      <c r="AE335" s="15"/>
      <c r="AF335" s="19"/>
      <c r="AG335" s="19"/>
      <c r="AH335" s="15"/>
      <c r="AI335" s="15"/>
      <c r="AJ335" s="15"/>
      <c r="AK335" s="15"/>
      <c r="AL335" s="21"/>
      <c r="AM335" s="15"/>
      <c r="AN335" s="15"/>
      <c r="AO335" s="15"/>
      <c r="AP335" s="15"/>
      <c r="AQ335" s="15"/>
      <c r="AR335" s="15"/>
      <c r="AS335" s="15"/>
      <c r="AT335" s="19" t="str">
        <f>IF(COUNTA(A335:I335)+COUNTA(N335:X335)+COUNTA(AA335:AE335)+COUNTA(AH335:AS335)=0,"",IF(AND(A335&lt;&gt;"",E335&lt;&gt;"",OR(F335&lt;&gt;"",G335&lt;&gt;""),H335&lt;&gt;"",I335&lt;&gt;"",J335&lt;&gt;"No en catálogo",S335&lt;&gt;"",T335&lt;&gt;"",U335&lt;&gt;"",V335&lt;&gt;"",OR(AR335&lt;&gt;"",AND(W335&lt;&gt;"",X335&lt;&gt;"",AA335&lt;&gt;"",AB335&lt;&gt;"")),OR(AS335&lt;&gt;"",AND(AD335&lt;&gt;"",AE335&lt;&gt;"",AH335&lt;&gt;"",AI335&lt;&gt;"")),AK335&lt;&gt;"",OR(AK335&lt;&gt;"programado",AL335&lt;&gt;""),OR(AM335&lt;&gt;"específica",AN335&lt;&gt;""),OR(AO335&lt;&gt;"específica",AP335&lt;&gt;"")),"OK","Revisar"))</f>
        <v/>
      </c>
    </row>
    <row r="336" ht="15" customHeight="1" spans="1:46" x14ac:dyDescent="0.25">
      <c r="A336" s="15"/>
      <c r="B336" s="15"/>
      <c r="C336" s="15"/>
      <c r="D336" s="15"/>
      <c r="E336" s="15"/>
      <c r="F336" s="15"/>
      <c r="G336" s="15"/>
      <c r="H336" s="15"/>
      <c r="I336" s="15"/>
      <c r="J336" s="19">
        <f>IF(OR(H336="",I336=""),"",IFERROR(INDEX(Catalogo_Vehiculos!$C$2:$C$1325,MATCH(TRUE(),INDEX(Catalogo_Vehiculos!$G$2:$G$1325=H336&amp;"|"&amp;I336,0),0)),"No en catálogo"))</f>
      </c>
      <c r="K336" s="19">
        <f>IF(OR(H336="",I336=""),"",IFERROR(INDEX(Catalogo_Vehiculos!$D$2:$D$1325,MATCH(TRUE(),INDEX(Catalogo_Vehiculos!$G$2:$G$1325=H336&amp;"|"&amp;I336,0),0)),"No en catálogo"))</f>
      </c>
      <c r="L336" s="19">
        <f>IF(OR(H336="",I336=""),"",IFERROR(INDEX(Catalogo_Vehiculos!$E$2:$E$1325,MATCH(TRUE(),INDEX(Catalogo_Vehiculos!$G$2:$G$1325=H336&amp;"|"&amp;I336,0),0)),"No en catálogo"))</f>
      </c>
      <c r="M336" s="19">
        <f>IF(OR(H336="",I336=""),"",IFERROR(INDEX(Catalogo_Vehiculos!$F$2:$F$1325,MATCH(TRUE(),INDEX(Catalogo_Vehiculos!$G$2:$G$1325=H336&amp;"|"&amp;I336,0),0)),"No en catálogo"))</f>
      </c>
      <c r="N336" s="20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9"/>
      <c r="Z336" s="19"/>
      <c r="AA336" s="15"/>
      <c r="AB336" s="15"/>
      <c r="AC336" s="15"/>
      <c r="AD336" s="15"/>
      <c r="AE336" s="15"/>
      <c r="AF336" s="19"/>
      <c r="AG336" s="19"/>
      <c r="AH336" s="15"/>
      <c r="AI336" s="15"/>
      <c r="AJ336" s="15"/>
      <c r="AK336" s="15"/>
      <c r="AL336" s="21"/>
      <c r="AM336" s="15"/>
      <c r="AN336" s="15"/>
      <c r="AO336" s="15"/>
      <c r="AP336" s="15"/>
      <c r="AQ336" s="15"/>
      <c r="AR336" s="15"/>
      <c r="AS336" s="15"/>
      <c r="AT336" s="19" t="str">
        <f>IF(COUNTA(A336:I336)+COUNTA(N336:X336)+COUNTA(AA336:AE336)+COUNTA(AH336:AS336)=0,"",IF(AND(A336&lt;&gt;"",E336&lt;&gt;"",OR(F336&lt;&gt;"",G336&lt;&gt;""),H336&lt;&gt;"",I336&lt;&gt;"",J336&lt;&gt;"No en catálogo",S336&lt;&gt;"",T336&lt;&gt;"",U336&lt;&gt;"",V336&lt;&gt;"",OR(AR336&lt;&gt;"",AND(W336&lt;&gt;"",X336&lt;&gt;"",AA336&lt;&gt;"",AB336&lt;&gt;"")),OR(AS336&lt;&gt;"",AND(AD336&lt;&gt;"",AE336&lt;&gt;"",AH336&lt;&gt;"",AI336&lt;&gt;"")),AK336&lt;&gt;"",OR(AK336&lt;&gt;"programado",AL336&lt;&gt;""),OR(AM336&lt;&gt;"específica",AN336&lt;&gt;""),OR(AO336&lt;&gt;"específica",AP336&lt;&gt;"")),"OK","Revisar"))</f>
        <v/>
      </c>
    </row>
    <row r="337" ht="15" customHeight="1" spans="1:46" x14ac:dyDescent="0.25">
      <c r="A337" s="15"/>
      <c r="B337" s="15"/>
      <c r="C337" s="15"/>
      <c r="D337" s="15"/>
      <c r="E337" s="15"/>
      <c r="F337" s="15"/>
      <c r="G337" s="15"/>
      <c r="H337" s="15"/>
      <c r="I337" s="15"/>
      <c r="J337" s="19">
        <f>IF(OR(H337="",I337=""),"",IFERROR(INDEX(Catalogo_Vehiculos!$C$2:$C$1325,MATCH(TRUE(),INDEX(Catalogo_Vehiculos!$G$2:$G$1325=H337&amp;"|"&amp;I337,0),0)),"No en catálogo"))</f>
      </c>
      <c r="K337" s="19">
        <f>IF(OR(H337="",I337=""),"",IFERROR(INDEX(Catalogo_Vehiculos!$D$2:$D$1325,MATCH(TRUE(),INDEX(Catalogo_Vehiculos!$G$2:$G$1325=H337&amp;"|"&amp;I337,0),0)),"No en catálogo"))</f>
      </c>
      <c r="L337" s="19">
        <f>IF(OR(H337="",I337=""),"",IFERROR(INDEX(Catalogo_Vehiculos!$E$2:$E$1325,MATCH(TRUE(),INDEX(Catalogo_Vehiculos!$G$2:$G$1325=H337&amp;"|"&amp;I337,0),0)),"No en catálogo"))</f>
      </c>
      <c r="M337" s="19">
        <f>IF(OR(H337="",I337=""),"",IFERROR(INDEX(Catalogo_Vehiculos!$F$2:$F$1325,MATCH(TRUE(),INDEX(Catalogo_Vehiculos!$G$2:$G$1325=H337&amp;"|"&amp;I337,0),0)),"No en catálogo"))</f>
      </c>
      <c r="N337" s="20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9"/>
      <c r="Z337" s="19"/>
      <c r="AA337" s="15"/>
      <c r="AB337" s="15"/>
      <c r="AC337" s="15"/>
      <c r="AD337" s="15"/>
      <c r="AE337" s="15"/>
      <c r="AF337" s="19"/>
      <c r="AG337" s="19"/>
      <c r="AH337" s="15"/>
      <c r="AI337" s="15"/>
      <c r="AJ337" s="15"/>
      <c r="AK337" s="15"/>
      <c r="AL337" s="21"/>
      <c r="AM337" s="15"/>
      <c r="AN337" s="15"/>
      <c r="AO337" s="15"/>
      <c r="AP337" s="15"/>
      <c r="AQ337" s="15"/>
      <c r="AR337" s="15"/>
      <c r="AS337" s="15"/>
      <c r="AT337" s="19" t="str">
        <f>IF(COUNTA(A337:I337)+COUNTA(N337:X337)+COUNTA(AA337:AE337)+COUNTA(AH337:AS337)=0,"",IF(AND(A337&lt;&gt;"",E337&lt;&gt;"",OR(F337&lt;&gt;"",G337&lt;&gt;""),H337&lt;&gt;"",I337&lt;&gt;"",J337&lt;&gt;"No en catálogo",S337&lt;&gt;"",T337&lt;&gt;"",U337&lt;&gt;"",V337&lt;&gt;"",OR(AR337&lt;&gt;"",AND(W337&lt;&gt;"",X337&lt;&gt;"",AA337&lt;&gt;"",AB337&lt;&gt;"")),OR(AS337&lt;&gt;"",AND(AD337&lt;&gt;"",AE337&lt;&gt;"",AH337&lt;&gt;"",AI337&lt;&gt;"")),AK337&lt;&gt;"",OR(AK337&lt;&gt;"programado",AL337&lt;&gt;""),OR(AM337&lt;&gt;"específica",AN337&lt;&gt;""),OR(AO337&lt;&gt;"específica",AP337&lt;&gt;"")),"OK","Revisar"))</f>
        <v/>
      </c>
    </row>
    <row r="338" ht="15" customHeight="1" spans="1:46" x14ac:dyDescent="0.25">
      <c r="A338" s="15"/>
      <c r="B338" s="15"/>
      <c r="C338" s="15"/>
      <c r="D338" s="15"/>
      <c r="E338" s="15"/>
      <c r="F338" s="15"/>
      <c r="G338" s="15"/>
      <c r="H338" s="15"/>
      <c r="I338" s="15"/>
      <c r="J338" s="19">
        <f>IF(OR(H338="",I338=""),"",IFERROR(INDEX(Catalogo_Vehiculos!$C$2:$C$1325,MATCH(TRUE(),INDEX(Catalogo_Vehiculos!$G$2:$G$1325=H338&amp;"|"&amp;I338,0),0)),"No en catálogo"))</f>
      </c>
      <c r="K338" s="19">
        <f>IF(OR(H338="",I338=""),"",IFERROR(INDEX(Catalogo_Vehiculos!$D$2:$D$1325,MATCH(TRUE(),INDEX(Catalogo_Vehiculos!$G$2:$G$1325=H338&amp;"|"&amp;I338,0),0)),"No en catálogo"))</f>
      </c>
      <c r="L338" s="19">
        <f>IF(OR(H338="",I338=""),"",IFERROR(INDEX(Catalogo_Vehiculos!$E$2:$E$1325,MATCH(TRUE(),INDEX(Catalogo_Vehiculos!$G$2:$G$1325=H338&amp;"|"&amp;I338,0),0)),"No en catálogo"))</f>
      </c>
      <c r="M338" s="19">
        <f>IF(OR(H338="",I338=""),"",IFERROR(INDEX(Catalogo_Vehiculos!$F$2:$F$1325,MATCH(TRUE(),INDEX(Catalogo_Vehiculos!$G$2:$G$1325=H338&amp;"|"&amp;I338,0),0)),"No en catálogo"))</f>
      </c>
      <c r="N338" s="20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9"/>
      <c r="Z338" s="19"/>
      <c r="AA338" s="15"/>
      <c r="AB338" s="15"/>
      <c r="AC338" s="15"/>
      <c r="AD338" s="15"/>
      <c r="AE338" s="15"/>
      <c r="AF338" s="19"/>
      <c r="AG338" s="19"/>
      <c r="AH338" s="15"/>
      <c r="AI338" s="15"/>
      <c r="AJ338" s="15"/>
      <c r="AK338" s="15"/>
      <c r="AL338" s="21"/>
      <c r="AM338" s="15"/>
      <c r="AN338" s="15"/>
      <c r="AO338" s="15"/>
      <c r="AP338" s="15"/>
      <c r="AQ338" s="15"/>
      <c r="AR338" s="15"/>
      <c r="AS338" s="15"/>
      <c r="AT338" s="19" t="str">
        <f>IF(COUNTA(A338:I338)+COUNTA(N338:X338)+COUNTA(AA338:AE338)+COUNTA(AH338:AS338)=0,"",IF(AND(A338&lt;&gt;"",E338&lt;&gt;"",OR(F338&lt;&gt;"",G338&lt;&gt;""),H338&lt;&gt;"",I338&lt;&gt;"",J338&lt;&gt;"No en catálogo",S338&lt;&gt;"",T338&lt;&gt;"",U338&lt;&gt;"",V338&lt;&gt;"",OR(AR338&lt;&gt;"",AND(W338&lt;&gt;"",X338&lt;&gt;"",AA338&lt;&gt;"",AB338&lt;&gt;"")),OR(AS338&lt;&gt;"",AND(AD338&lt;&gt;"",AE338&lt;&gt;"",AH338&lt;&gt;"",AI338&lt;&gt;"")),AK338&lt;&gt;"",OR(AK338&lt;&gt;"programado",AL338&lt;&gt;""),OR(AM338&lt;&gt;"específica",AN338&lt;&gt;""),OR(AO338&lt;&gt;"específica",AP338&lt;&gt;"")),"OK","Revisar"))</f>
        <v/>
      </c>
    </row>
    <row r="339" ht="15" customHeight="1" spans="1:46" x14ac:dyDescent="0.25">
      <c r="A339" s="15"/>
      <c r="B339" s="15"/>
      <c r="C339" s="15"/>
      <c r="D339" s="15"/>
      <c r="E339" s="15"/>
      <c r="F339" s="15"/>
      <c r="G339" s="15"/>
      <c r="H339" s="15"/>
      <c r="I339" s="15"/>
      <c r="J339" s="19">
        <f>IF(OR(H339="",I339=""),"",IFERROR(INDEX(Catalogo_Vehiculos!$C$2:$C$1325,MATCH(TRUE(),INDEX(Catalogo_Vehiculos!$G$2:$G$1325=H339&amp;"|"&amp;I339,0),0)),"No en catálogo"))</f>
      </c>
      <c r="K339" s="19">
        <f>IF(OR(H339="",I339=""),"",IFERROR(INDEX(Catalogo_Vehiculos!$D$2:$D$1325,MATCH(TRUE(),INDEX(Catalogo_Vehiculos!$G$2:$G$1325=H339&amp;"|"&amp;I339,0),0)),"No en catálogo"))</f>
      </c>
      <c r="L339" s="19">
        <f>IF(OR(H339="",I339=""),"",IFERROR(INDEX(Catalogo_Vehiculos!$E$2:$E$1325,MATCH(TRUE(),INDEX(Catalogo_Vehiculos!$G$2:$G$1325=H339&amp;"|"&amp;I339,0),0)),"No en catálogo"))</f>
      </c>
      <c r="M339" s="19">
        <f>IF(OR(H339="",I339=""),"",IFERROR(INDEX(Catalogo_Vehiculos!$F$2:$F$1325,MATCH(TRUE(),INDEX(Catalogo_Vehiculos!$G$2:$G$1325=H339&amp;"|"&amp;I339,0),0)),"No en catálogo"))</f>
      </c>
      <c r="N339" s="20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9"/>
      <c r="Z339" s="19"/>
      <c r="AA339" s="15"/>
      <c r="AB339" s="15"/>
      <c r="AC339" s="15"/>
      <c r="AD339" s="15"/>
      <c r="AE339" s="15"/>
      <c r="AF339" s="19"/>
      <c r="AG339" s="19"/>
      <c r="AH339" s="15"/>
      <c r="AI339" s="15"/>
      <c r="AJ339" s="15"/>
      <c r="AK339" s="15"/>
      <c r="AL339" s="21"/>
      <c r="AM339" s="15"/>
      <c r="AN339" s="15"/>
      <c r="AO339" s="15"/>
      <c r="AP339" s="15"/>
      <c r="AQ339" s="15"/>
      <c r="AR339" s="15"/>
      <c r="AS339" s="15"/>
      <c r="AT339" s="19" t="str">
        <f>IF(COUNTA(A339:I339)+COUNTA(N339:X339)+COUNTA(AA339:AE339)+COUNTA(AH339:AS339)=0,"",IF(AND(A339&lt;&gt;"",E339&lt;&gt;"",OR(F339&lt;&gt;"",G339&lt;&gt;""),H339&lt;&gt;"",I339&lt;&gt;"",J339&lt;&gt;"No en catálogo",S339&lt;&gt;"",T339&lt;&gt;"",U339&lt;&gt;"",V339&lt;&gt;"",OR(AR339&lt;&gt;"",AND(W339&lt;&gt;"",X339&lt;&gt;"",AA339&lt;&gt;"",AB339&lt;&gt;"")),OR(AS339&lt;&gt;"",AND(AD339&lt;&gt;"",AE339&lt;&gt;"",AH339&lt;&gt;"",AI339&lt;&gt;"")),AK339&lt;&gt;"",OR(AK339&lt;&gt;"programado",AL339&lt;&gt;""),OR(AM339&lt;&gt;"específica",AN339&lt;&gt;""),OR(AO339&lt;&gt;"específica",AP339&lt;&gt;"")),"OK","Revisar"))</f>
        <v/>
      </c>
    </row>
    <row r="340" ht="15" customHeight="1" spans="1:46" x14ac:dyDescent="0.25">
      <c r="A340" s="15"/>
      <c r="B340" s="15"/>
      <c r="C340" s="15"/>
      <c r="D340" s="15"/>
      <c r="E340" s="15"/>
      <c r="F340" s="15"/>
      <c r="G340" s="15"/>
      <c r="H340" s="15"/>
      <c r="I340" s="15"/>
      <c r="J340" s="19">
        <f>IF(OR(H340="",I340=""),"",IFERROR(INDEX(Catalogo_Vehiculos!$C$2:$C$1325,MATCH(TRUE(),INDEX(Catalogo_Vehiculos!$G$2:$G$1325=H340&amp;"|"&amp;I340,0),0)),"No en catálogo"))</f>
      </c>
      <c r="K340" s="19">
        <f>IF(OR(H340="",I340=""),"",IFERROR(INDEX(Catalogo_Vehiculos!$D$2:$D$1325,MATCH(TRUE(),INDEX(Catalogo_Vehiculos!$G$2:$G$1325=H340&amp;"|"&amp;I340,0),0)),"No en catálogo"))</f>
      </c>
      <c r="L340" s="19">
        <f>IF(OR(H340="",I340=""),"",IFERROR(INDEX(Catalogo_Vehiculos!$E$2:$E$1325,MATCH(TRUE(),INDEX(Catalogo_Vehiculos!$G$2:$G$1325=H340&amp;"|"&amp;I340,0),0)),"No en catálogo"))</f>
      </c>
      <c r="M340" s="19">
        <f>IF(OR(H340="",I340=""),"",IFERROR(INDEX(Catalogo_Vehiculos!$F$2:$F$1325,MATCH(TRUE(),INDEX(Catalogo_Vehiculos!$G$2:$G$1325=H340&amp;"|"&amp;I340,0),0)),"No en catálogo"))</f>
      </c>
      <c r="N340" s="20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9"/>
      <c r="Z340" s="19"/>
      <c r="AA340" s="15"/>
      <c r="AB340" s="15"/>
      <c r="AC340" s="15"/>
      <c r="AD340" s="15"/>
      <c r="AE340" s="15"/>
      <c r="AF340" s="19"/>
      <c r="AG340" s="19"/>
      <c r="AH340" s="15"/>
      <c r="AI340" s="15"/>
      <c r="AJ340" s="15"/>
      <c r="AK340" s="15"/>
      <c r="AL340" s="21"/>
      <c r="AM340" s="15"/>
      <c r="AN340" s="15"/>
      <c r="AO340" s="15"/>
      <c r="AP340" s="15"/>
      <c r="AQ340" s="15"/>
      <c r="AR340" s="15"/>
      <c r="AS340" s="15"/>
      <c r="AT340" s="19" t="str">
        <f>IF(COUNTA(A340:I340)+COUNTA(N340:X340)+COUNTA(AA340:AE340)+COUNTA(AH340:AS340)=0,"",IF(AND(A340&lt;&gt;"",E340&lt;&gt;"",OR(F340&lt;&gt;"",G340&lt;&gt;""),H340&lt;&gt;"",I340&lt;&gt;"",J340&lt;&gt;"No en catálogo",S340&lt;&gt;"",T340&lt;&gt;"",U340&lt;&gt;"",V340&lt;&gt;"",OR(AR340&lt;&gt;"",AND(W340&lt;&gt;"",X340&lt;&gt;"",AA340&lt;&gt;"",AB340&lt;&gt;"")),OR(AS340&lt;&gt;"",AND(AD340&lt;&gt;"",AE340&lt;&gt;"",AH340&lt;&gt;"",AI340&lt;&gt;"")),AK340&lt;&gt;"",OR(AK340&lt;&gt;"programado",AL340&lt;&gt;""),OR(AM340&lt;&gt;"específica",AN340&lt;&gt;""),OR(AO340&lt;&gt;"específica",AP340&lt;&gt;"")),"OK","Revisar"))</f>
        <v/>
      </c>
    </row>
    <row r="341" ht="15" customHeight="1" spans="1:46" x14ac:dyDescent="0.25">
      <c r="A341" s="15"/>
      <c r="B341" s="15"/>
      <c r="C341" s="15"/>
      <c r="D341" s="15"/>
      <c r="E341" s="15"/>
      <c r="F341" s="15"/>
      <c r="G341" s="15"/>
      <c r="H341" s="15"/>
      <c r="I341" s="15"/>
      <c r="J341" s="19">
        <f>IF(OR(H341="",I341=""),"",IFERROR(INDEX(Catalogo_Vehiculos!$C$2:$C$1325,MATCH(TRUE(),INDEX(Catalogo_Vehiculos!$G$2:$G$1325=H341&amp;"|"&amp;I341,0),0)),"No en catálogo"))</f>
      </c>
      <c r="K341" s="19">
        <f>IF(OR(H341="",I341=""),"",IFERROR(INDEX(Catalogo_Vehiculos!$D$2:$D$1325,MATCH(TRUE(),INDEX(Catalogo_Vehiculos!$G$2:$G$1325=H341&amp;"|"&amp;I341,0),0)),"No en catálogo"))</f>
      </c>
      <c r="L341" s="19">
        <f>IF(OR(H341="",I341=""),"",IFERROR(INDEX(Catalogo_Vehiculos!$E$2:$E$1325,MATCH(TRUE(),INDEX(Catalogo_Vehiculos!$G$2:$G$1325=H341&amp;"|"&amp;I341,0),0)),"No en catálogo"))</f>
      </c>
      <c r="M341" s="19">
        <f>IF(OR(H341="",I341=""),"",IFERROR(INDEX(Catalogo_Vehiculos!$F$2:$F$1325,MATCH(TRUE(),INDEX(Catalogo_Vehiculos!$G$2:$G$1325=H341&amp;"|"&amp;I341,0),0)),"No en catálogo"))</f>
      </c>
      <c r="N341" s="20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9"/>
      <c r="Z341" s="19"/>
      <c r="AA341" s="15"/>
      <c r="AB341" s="15"/>
      <c r="AC341" s="15"/>
      <c r="AD341" s="15"/>
      <c r="AE341" s="15"/>
      <c r="AF341" s="19"/>
      <c r="AG341" s="19"/>
      <c r="AH341" s="15"/>
      <c r="AI341" s="15"/>
      <c r="AJ341" s="15"/>
      <c r="AK341" s="15"/>
      <c r="AL341" s="21"/>
      <c r="AM341" s="15"/>
      <c r="AN341" s="15"/>
      <c r="AO341" s="15"/>
      <c r="AP341" s="15"/>
      <c r="AQ341" s="15"/>
      <c r="AR341" s="15"/>
      <c r="AS341" s="15"/>
      <c r="AT341" s="19" t="str">
        <f>IF(COUNTA(A341:I341)+COUNTA(N341:X341)+COUNTA(AA341:AE341)+COUNTA(AH341:AS341)=0,"",IF(AND(A341&lt;&gt;"",E341&lt;&gt;"",OR(F341&lt;&gt;"",G341&lt;&gt;""),H341&lt;&gt;"",I341&lt;&gt;"",J341&lt;&gt;"No en catálogo",S341&lt;&gt;"",T341&lt;&gt;"",U341&lt;&gt;"",V341&lt;&gt;"",OR(AR341&lt;&gt;"",AND(W341&lt;&gt;"",X341&lt;&gt;"",AA341&lt;&gt;"",AB341&lt;&gt;"")),OR(AS341&lt;&gt;"",AND(AD341&lt;&gt;"",AE341&lt;&gt;"",AH341&lt;&gt;"",AI341&lt;&gt;"")),AK341&lt;&gt;"",OR(AK341&lt;&gt;"programado",AL341&lt;&gt;""),OR(AM341&lt;&gt;"específica",AN341&lt;&gt;""),OR(AO341&lt;&gt;"específica",AP341&lt;&gt;"")),"OK","Revisar"))</f>
        <v/>
      </c>
    </row>
    <row r="342" ht="15" customHeight="1" spans="1:46" x14ac:dyDescent="0.25">
      <c r="A342" s="15"/>
      <c r="B342" s="15"/>
      <c r="C342" s="15"/>
      <c r="D342" s="15"/>
      <c r="E342" s="15"/>
      <c r="F342" s="15"/>
      <c r="G342" s="15"/>
      <c r="H342" s="15"/>
      <c r="I342" s="15"/>
      <c r="J342" s="19">
        <f>IF(OR(H342="",I342=""),"",IFERROR(INDEX(Catalogo_Vehiculos!$C$2:$C$1325,MATCH(TRUE(),INDEX(Catalogo_Vehiculos!$G$2:$G$1325=H342&amp;"|"&amp;I342,0),0)),"No en catálogo"))</f>
      </c>
      <c r="K342" s="19">
        <f>IF(OR(H342="",I342=""),"",IFERROR(INDEX(Catalogo_Vehiculos!$D$2:$D$1325,MATCH(TRUE(),INDEX(Catalogo_Vehiculos!$G$2:$G$1325=H342&amp;"|"&amp;I342,0),0)),"No en catálogo"))</f>
      </c>
      <c r="L342" s="19">
        <f>IF(OR(H342="",I342=""),"",IFERROR(INDEX(Catalogo_Vehiculos!$E$2:$E$1325,MATCH(TRUE(),INDEX(Catalogo_Vehiculos!$G$2:$G$1325=H342&amp;"|"&amp;I342,0),0)),"No en catálogo"))</f>
      </c>
      <c r="M342" s="19">
        <f>IF(OR(H342="",I342=""),"",IFERROR(INDEX(Catalogo_Vehiculos!$F$2:$F$1325,MATCH(TRUE(),INDEX(Catalogo_Vehiculos!$G$2:$G$1325=H342&amp;"|"&amp;I342,0),0)),"No en catálogo"))</f>
      </c>
      <c r="N342" s="20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9"/>
      <c r="Z342" s="19"/>
      <c r="AA342" s="15"/>
      <c r="AB342" s="15"/>
      <c r="AC342" s="15"/>
      <c r="AD342" s="15"/>
      <c r="AE342" s="15"/>
      <c r="AF342" s="19"/>
      <c r="AG342" s="19"/>
      <c r="AH342" s="15"/>
      <c r="AI342" s="15"/>
      <c r="AJ342" s="15"/>
      <c r="AK342" s="15"/>
      <c r="AL342" s="21"/>
      <c r="AM342" s="15"/>
      <c r="AN342" s="15"/>
      <c r="AO342" s="15"/>
      <c r="AP342" s="15"/>
      <c r="AQ342" s="15"/>
      <c r="AR342" s="15"/>
      <c r="AS342" s="15"/>
      <c r="AT342" s="19" t="str">
        <f>IF(COUNTA(A342:I342)+COUNTA(N342:X342)+COUNTA(AA342:AE342)+COUNTA(AH342:AS342)=0,"",IF(AND(A342&lt;&gt;"",E342&lt;&gt;"",OR(F342&lt;&gt;"",G342&lt;&gt;""),H342&lt;&gt;"",I342&lt;&gt;"",J342&lt;&gt;"No en catálogo",S342&lt;&gt;"",T342&lt;&gt;"",U342&lt;&gt;"",V342&lt;&gt;"",OR(AR342&lt;&gt;"",AND(W342&lt;&gt;"",X342&lt;&gt;"",AA342&lt;&gt;"",AB342&lt;&gt;"")),OR(AS342&lt;&gt;"",AND(AD342&lt;&gt;"",AE342&lt;&gt;"",AH342&lt;&gt;"",AI342&lt;&gt;"")),AK342&lt;&gt;"",OR(AK342&lt;&gt;"programado",AL342&lt;&gt;""),OR(AM342&lt;&gt;"específica",AN342&lt;&gt;""),OR(AO342&lt;&gt;"específica",AP342&lt;&gt;"")),"OK","Revisar"))</f>
        <v/>
      </c>
    </row>
    <row r="343" ht="15" customHeight="1" spans="1:46" x14ac:dyDescent="0.25">
      <c r="A343" s="15"/>
      <c r="B343" s="15"/>
      <c r="C343" s="15"/>
      <c r="D343" s="15"/>
      <c r="E343" s="15"/>
      <c r="F343" s="15"/>
      <c r="G343" s="15"/>
      <c r="H343" s="15"/>
      <c r="I343" s="15"/>
      <c r="J343" s="19">
        <f>IF(OR(H343="",I343=""),"",IFERROR(INDEX(Catalogo_Vehiculos!$C$2:$C$1325,MATCH(TRUE(),INDEX(Catalogo_Vehiculos!$G$2:$G$1325=H343&amp;"|"&amp;I343,0),0)),"No en catálogo"))</f>
      </c>
      <c r="K343" s="19">
        <f>IF(OR(H343="",I343=""),"",IFERROR(INDEX(Catalogo_Vehiculos!$D$2:$D$1325,MATCH(TRUE(),INDEX(Catalogo_Vehiculos!$G$2:$G$1325=H343&amp;"|"&amp;I343,0),0)),"No en catálogo"))</f>
      </c>
      <c r="L343" s="19">
        <f>IF(OR(H343="",I343=""),"",IFERROR(INDEX(Catalogo_Vehiculos!$E$2:$E$1325,MATCH(TRUE(),INDEX(Catalogo_Vehiculos!$G$2:$G$1325=H343&amp;"|"&amp;I343,0),0)),"No en catálogo"))</f>
      </c>
      <c r="M343" s="19">
        <f>IF(OR(H343="",I343=""),"",IFERROR(INDEX(Catalogo_Vehiculos!$F$2:$F$1325,MATCH(TRUE(),INDEX(Catalogo_Vehiculos!$G$2:$G$1325=H343&amp;"|"&amp;I343,0),0)),"No en catálogo"))</f>
      </c>
      <c r="N343" s="20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9"/>
      <c r="Z343" s="19"/>
      <c r="AA343" s="15"/>
      <c r="AB343" s="15"/>
      <c r="AC343" s="15"/>
      <c r="AD343" s="15"/>
      <c r="AE343" s="15"/>
      <c r="AF343" s="19"/>
      <c r="AG343" s="19"/>
      <c r="AH343" s="15"/>
      <c r="AI343" s="15"/>
      <c r="AJ343" s="15"/>
      <c r="AK343" s="15"/>
      <c r="AL343" s="21"/>
      <c r="AM343" s="15"/>
      <c r="AN343" s="15"/>
      <c r="AO343" s="15"/>
      <c r="AP343" s="15"/>
      <c r="AQ343" s="15"/>
      <c r="AR343" s="15"/>
      <c r="AS343" s="15"/>
      <c r="AT343" s="19" t="str">
        <f>IF(COUNTA(A343:I343)+COUNTA(N343:X343)+COUNTA(AA343:AE343)+COUNTA(AH343:AS343)=0,"",IF(AND(A343&lt;&gt;"",E343&lt;&gt;"",OR(F343&lt;&gt;"",G343&lt;&gt;""),H343&lt;&gt;"",I343&lt;&gt;"",J343&lt;&gt;"No en catálogo",S343&lt;&gt;"",T343&lt;&gt;"",U343&lt;&gt;"",V343&lt;&gt;"",OR(AR343&lt;&gt;"",AND(W343&lt;&gt;"",X343&lt;&gt;"",AA343&lt;&gt;"",AB343&lt;&gt;"")),OR(AS343&lt;&gt;"",AND(AD343&lt;&gt;"",AE343&lt;&gt;"",AH343&lt;&gt;"",AI343&lt;&gt;"")),AK343&lt;&gt;"",OR(AK343&lt;&gt;"programado",AL343&lt;&gt;""),OR(AM343&lt;&gt;"específica",AN343&lt;&gt;""),OR(AO343&lt;&gt;"específica",AP343&lt;&gt;"")),"OK","Revisar"))</f>
        <v/>
      </c>
    </row>
    <row r="344" ht="15" customHeight="1" spans="1:46" x14ac:dyDescent="0.25">
      <c r="A344" s="15"/>
      <c r="B344" s="15"/>
      <c r="C344" s="15"/>
      <c r="D344" s="15"/>
      <c r="E344" s="15"/>
      <c r="F344" s="15"/>
      <c r="G344" s="15"/>
      <c r="H344" s="15"/>
      <c r="I344" s="15"/>
      <c r="J344" s="19">
        <f>IF(OR(H344="",I344=""),"",IFERROR(INDEX(Catalogo_Vehiculos!$C$2:$C$1325,MATCH(TRUE(),INDEX(Catalogo_Vehiculos!$G$2:$G$1325=H344&amp;"|"&amp;I344,0),0)),"No en catálogo"))</f>
      </c>
      <c r="K344" s="19">
        <f>IF(OR(H344="",I344=""),"",IFERROR(INDEX(Catalogo_Vehiculos!$D$2:$D$1325,MATCH(TRUE(),INDEX(Catalogo_Vehiculos!$G$2:$G$1325=H344&amp;"|"&amp;I344,0),0)),"No en catálogo"))</f>
      </c>
      <c r="L344" s="19">
        <f>IF(OR(H344="",I344=""),"",IFERROR(INDEX(Catalogo_Vehiculos!$E$2:$E$1325,MATCH(TRUE(),INDEX(Catalogo_Vehiculos!$G$2:$G$1325=H344&amp;"|"&amp;I344,0),0)),"No en catálogo"))</f>
      </c>
      <c r="M344" s="19">
        <f>IF(OR(H344="",I344=""),"",IFERROR(INDEX(Catalogo_Vehiculos!$F$2:$F$1325,MATCH(TRUE(),INDEX(Catalogo_Vehiculos!$G$2:$G$1325=H344&amp;"|"&amp;I344,0),0)),"No en catálogo"))</f>
      </c>
      <c r="N344" s="20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9"/>
      <c r="Z344" s="19"/>
      <c r="AA344" s="15"/>
      <c r="AB344" s="15"/>
      <c r="AC344" s="15"/>
      <c r="AD344" s="15"/>
      <c r="AE344" s="15"/>
      <c r="AF344" s="19"/>
      <c r="AG344" s="19"/>
      <c r="AH344" s="15"/>
      <c r="AI344" s="15"/>
      <c r="AJ344" s="15"/>
      <c r="AK344" s="15"/>
      <c r="AL344" s="21"/>
      <c r="AM344" s="15"/>
      <c r="AN344" s="15"/>
      <c r="AO344" s="15"/>
      <c r="AP344" s="15"/>
      <c r="AQ344" s="15"/>
      <c r="AR344" s="15"/>
      <c r="AS344" s="15"/>
      <c r="AT344" s="19" t="str">
        <f>IF(COUNTA(A344:I344)+COUNTA(N344:X344)+COUNTA(AA344:AE344)+COUNTA(AH344:AS344)=0,"",IF(AND(A344&lt;&gt;"",E344&lt;&gt;"",OR(F344&lt;&gt;"",G344&lt;&gt;""),H344&lt;&gt;"",I344&lt;&gt;"",J344&lt;&gt;"No en catálogo",S344&lt;&gt;"",T344&lt;&gt;"",U344&lt;&gt;"",V344&lt;&gt;"",OR(AR344&lt;&gt;"",AND(W344&lt;&gt;"",X344&lt;&gt;"",AA344&lt;&gt;"",AB344&lt;&gt;"")),OR(AS344&lt;&gt;"",AND(AD344&lt;&gt;"",AE344&lt;&gt;"",AH344&lt;&gt;"",AI344&lt;&gt;"")),AK344&lt;&gt;"",OR(AK344&lt;&gt;"programado",AL344&lt;&gt;""),OR(AM344&lt;&gt;"específica",AN344&lt;&gt;""),OR(AO344&lt;&gt;"específica",AP344&lt;&gt;"")),"OK","Revisar"))</f>
        <v/>
      </c>
    </row>
    <row r="345" ht="15" customHeight="1" spans="1:46" x14ac:dyDescent="0.25">
      <c r="A345" s="15"/>
      <c r="B345" s="15"/>
      <c r="C345" s="15"/>
      <c r="D345" s="15"/>
      <c r="E345" s="15"/>
      <c r="F345" s="15"/>
      <c r="G345" s="15"/>
      <c r="H345" s="15"/>
      <c r="I345" s="15"/>
      <c r="J345" s="19">
        <f>IF(OR(H345="",I345=""),"",IFERROR(INDEX(Catalogo_Vehiculos!$C$2:$C$1325,MATCH(TRUE(),INDEX(Catalogo_Vehiculos!$G$2:$G$1325=H345&amp;"|"&amp;I345,0),0)),"No en catálogo"))</f>
      </c>
      <c r="K345" s="19">
        <f>IF(OR(H345="",I345=""),"",IFERROR(INDEX(Catalogo_Vehiculos!$D$2:$D$1325,MATCH(TRUE(),INDEX(Catalogo_Vehiculos!$G$2:$G$1325=H345&amp;"|"&amp;I345,0),0)),"No en catálogo"))</f>
      </c>
      <c r="L345" s="19">
        <f>IF(OR(H345="",I345=""),"",IFERROR(INDEX(Catalogo_Vehiculos!$E$2:$E$1325,MATCH(TRUE(),INDEX(Catalogo_Vehiculos!$G$2:$G$1325=H345&amp;"|"&amp;I345,0),0)),"No en catálogo"))</f>
      </c>
      <c r="M345" s="19">
        <f>IF(OR(H345="",I345=""),"",IFERROR(INDEX(Catalogo_Vehiculos!$F$2:$F$1325,MATCH(TRUE(),INDEX(Catalogo_Vehiculos!$G$2:$G$1325=H345&amp;"|"&amp;I345,0),0)),"No en catálogo"))</f>
      </c>
      <c r="N345" s="20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9"/>
      <c r="Z345" s="19"/>
      <c r="AA345" s="15"/>
      <c r="AB345" s="15"/>
      <c r="AC345" s="15"/>
      <c r="AD345" s="15"/>
      <c r="AE345" s="15"/>
      <c r="AF345" s="19"/>
      <c r="AG345" s="19"/>
      <c r="AH345" s="15"/>
      <c r="AI345" s="15"/>
      <c r="AJ345" s="15"/>
      <c r="AK345" s="15"/>
      <c r="AL345" s="21"/>
      <c r="AM345" s="15"/>
      <c r="AN345" s="15"/>
      <c r="AO345" s="15"/>
      <c r="AP345" s="15"/>
      <c r="AQ345" s="15"/>
      <c r="AR345" s="15"/>
      <c r="AS345" s="15"/>
      <c r="AT345" s="19" t="str">
        <f>IF(COUNTA(A345:I345)+COUNTA(N345:X345)+COUNTA(AA345:AE345)+COUNTA(AH345:AS345)=0,"",IF(AND(A345&lt;&gt;"",E345&lt;&gt;"",OR(F345&lt;&gt;"",G345&lt;&gt;""),H345&lt;&gt;"",I345&lt;&gt;"",J345&lt;&gt;"No en catálogo",S345&lt;&gt;"",T345&lt;&gt;"",U345&lt;&gt;"",V345&lt;&gt;"",OR(AR345&lt;&gt;"",AND(W345&lt;&gt;"",X345&lt;&gt;"",AA345&lt;&gt;"",AB345&lt;&gt;"")),OR(AS345&lt;&gt;"",AND(AD345&lt;&gt;"",AE345&lt;&gt;"",AH345&lt;&gt;"",AI345&lt;&gt;"")),AK345&lt;&gt;"",OR(AK345&lt;&gt;"programado",AL345&lt;&gt;""),OR(AM345&lt;&gt;"específica",AN345&lt;&gt;""),OR(AO345&lt;&gt;"específica",AP345&lt;&gt;"")),"OK","Revisar"))</f>
        <v/>
      </c>
    </row>
    <row r="346" ht="15" customHeight="1" spans="1:46" x14ac:dyDescent="0.25">
      <c r="A346" s="15"/>
      <c r="B346" s="15"/>
      <c r="C346" s="15"/>
      <c r="D346" s="15"/>
      <c r="E346" s="15"/>
      <c r="F346" s="15"/>
      <c r="G346" s="15"/>
      <c r="H346" s="15"/>
      <c r="I346" s="15"/>
      <c r="J346" s="19">
        <f>IF(OR(H346="",I346=""),"",IFERROR(INDEX(Catalogo_Vehiculos!$C$2:$C$1325,MATCH(TRUE(),INDEX(Catalogo_Vehiculos!$G$2:$G$1325=H346&amp;"|"&amp;I346,0),0)),"No en catálogo"))</f>
      </c>
      <c r="K346" s="19">
        <f>IF(OR(H346="",I346=""),"",IFERROR(INDEX(Catalogo_Vehiculos!$D$2:$D$1325,MATCH(TRUE(),INDEX(Catalogo_Vehiculos!$G$2:$G$1325=H346&amp;"|"&amp;I346,0),0)),"No en catálogo"))</f>
      </c>
      <c r="L346" s="19">
        <f>IF(OR(H346="",I346=""),"",IFERROR(INDEX(Catalogo_Vehiculos!$E$2:$E$1325,MATCH(TRUE(),INDEX(Catalogo_Vehiculos!$G$2:$G$1325=H346&amp;"|"&amp;I346,0),0)),"No en catálogo"))</f>
      </c>
      <c r="M346" s="19">
        <f>IF(OR(H346="",I346=""),"",IFERROR(INDEX(Catalogo_Vehiculos!$F$2:$F$1325,MATCH(TRUE(),INDEX(Catalogo_Vehiculos!$G$2:$G$1325=H346&amp;"|"&amp;I346,0),0)),"No en catálogo"))</f>
      </c>
      <c r="N346" s="20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9"/>
      <c r="Z346" s="19"/>
      <c r="AA346" s="15"/>
      <c r="AB346" s="15"/>
      <c r="AC346" s="15"/>
      <c r="AD346" s="15"/>
      <c r="AE346" s="15"/>
      <c r="AF346" s="19"/>
      <c r="AG346" s="19"/>
      <c r="AH346" s="15"/>
      <c r="AI346" s="15"/>
      <c r="AJ346" s="15"/>
      <c r="AK346" s="15"/>
      <c r="AL346" s="21"/>
      <c r="AM346" s="15"/>
      <c r="AN346" s="15"/>
      <c r="AO346" s="15"/>
      <c r="AP346" s="15"/>
      <c r="AQ346" s="15"/>
      <c r="AR346" s="15"/>
      <c r="AS346" s="15"/>
      <c r="AT346" s="19" t="str">
        <f>IF(COUNTA(A346:I346)+COUNTA(N346:X346)+COUNTA(AA346:AE346)+COUNTA(AH346:AS346)=0,"",IF(AND(A346&lt;&gt;"",E346&lt;&gt;"",OR(F346&lt;&gt;"",G346&lt;&gt;""),H346&lt;&gt;"",I346&lt;&gt;"",J346&lt;&gt;"No en catálogo",S346&lt;&gt;"",T346&lt;&gt;"",U346&lt;&gt;"",V346&lt;&gt;"",OR(AR346&lt;&gt;"",AND(W346&lt;&gt;"",X346&lt;&gt;"",AA346&lt;&gt;"",AB346&lt;&gt;"")),OR(AS346&lt;&gt;"",AND(AD346&lt;&gt;"",AE346&lt;&gt;"",AH346&lt;&gt;"",AI346&lt;&gt;"")),AK346&lt;&gt;"",OR(AK346&lt;&gt;"programado",AL346&lt;&gt;""),OR(AM346&lt;&gt;"específica",AN346&lt;&gt;""),OR(AO346&lt;&gt;"específica",AP346&lt;&gt;"")),"OK","Revisar"))</f>
        <v/>
      </c>
    </row>
    <row r="347" ht="15" customHeight="1" spans="1:46" x14ac:dyDescent="0.25">
      <c r="A347" s="15"/>
      <c r="B347" s="15"/>
      <c r="C347" s="15"/>
      <c r="D347" s="15"/>
      <c r="E347" s="15"/>
      <c r="F347" s="15"/>
      <c r="G347" s="15"/>
      <c r="H347" s="15"/>
      <c r="I347" s="15"/>
      <c r="J347" s="19">
        <f>IF(OR(H347="",I347=""),"",IFERROR(INDEX(Catalogo_Vehiculos!$C$2:$C$1325,MATCH(TRUE(),INDEX(Catalogo_Vehiculos!$G$2:$G$1325=H347&amp;"|"&amp;I347,0),0)),"No en catálogo"))</f>
      </c>
      <c r="K347" s="19">
        <f>IF(OR(H347="",I347=""),"",IFERROR(INDEX(Catalogo_Vehiculos!$D$2:$D$1325,MATCH(TRUE(),INDEX(Catalogo_Vehiculos!$G$2:$G$1325=H347&amp;"|"&amp;I347,0),0)),"No en catálogo"))</f>
      </c>
      <c r="L347" s="19">
        <f>IF(OR(H347="",I347=""),"",IFERROR(INDEX(Catalogo_Vehiculos!$E$2:$E$1325,MATCH(TRUE(),INDEX(Catalogo_Vehiculos!$G$2:$G$1325=H347&amp;"|"&amp;I347,0),0)),"No en catálogo"))</f>
      </c>
      <c r="M347" s="19">
        <f>IF(OR(H347="",I347=""),"",IFERROR(INDEX(Catalogo_Vehiculos!$F$2:$F$1325,MATCH(TRUE(),INDEX(Catalogo_Vehiculos!$G$2:$G$1325=H347&amp;"|"&amp;I347,0),0)),"No en catálogo"))</f>
      </c>
      <c r="N347" s="20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9"/>
      <c r="Z347" s="19"/>
      <c r="AA347" s="15"/>
      <c r="AB347" s="15"/>
      <c r="AC347" s="15"/>
      <c r="AD347" s="15"/>
      <c r="AE347" s="15"/>
      <c r="AF347" s="19"/>
      <c r="AG347" s="19"/>
      <c r="AH347" s="15"/>
      <c r="AI347" s="15"/>
      <c r="AJ347" s="15"/>
      <c r="AK347" s="15"/>
      <c r="AL347" s="21"/>
      <c r="AM347" s="15"/>
      <c r="AN347" s="15"/>
      <c r="AO347" s="15"/>
      <c r="AP347" s="15"/>
      <c r="AQ347" s="15"/>
      <c r="AR347" s="15"/>
      <c r="AS347" s="15"/>
      <c r="AT347" s="19" t="str">
        <f>IF(COUNTA(A347:I347)+COUNTA(N347:X347)+COUNTA(AA347:AE347)+COUNTA(AH347:AS347)=0,"",IF(AND(A347&lt;&gt;"",E347&lt;&gt;"",OR(F347&lt;&gt;"",G347&lt;&gt;""),H347&lt;&gt;"",I347&lt;&gt;"",J347&lt;&gt;"No en catálogo",S347&lt;&gt;"",T347&lt;&gt;"",U347&lt;&gt;"",V347&lt;&gt;"",OR(AR347&lt;&gt;"",AND(W347&lt;&gt;"",X347&lt;&gt;"",AA347&lt;&gt;"",AB347&lt;&gt;"")),OR(AS347&lt;&gt;"",AND(AD347&lt;&gt;"",AE347&lt;&gt;"",AH347&lt;&gt;"",AI347&lt;&gt;"")),AK347&lt;&gt;"",OR(AK347&lt;&gt;"programado",AL347&lt;&gt;""),OR(AM347&lt;&gt;"específica",AN347&lt;&gt;""),OR(AO347&lt;&gt;"específica",AP347&lt;&gt;"")),"OK","Revisar"))</f>
        <v/>
      </c>
    </row>
    <row r="348" ht="15" customHeight="1" spans="1:46" x14ac:dyDescent="0.25">
      <c r="A348" s="15"/>
      <c r="B348" s="15"/>
      <c r="C348" s="15"/>
      <c r="D348" s="15"/>
      <c r="E348" s="15"/>
      <c r="F348" s="15"/>
      <c r="G348" s="15"/>
      <c r="H348" s="15"/>
      <c r="I348" s="15"/>
      <c r="J348" s="19">
        <f>IF(OR(H348="",I348=""),"",IFERROR(INDEX(Catalogo_Vehiculos!$C$2:$C$1325,MATCH(TRUE(),INDEX(Catalogo_Vehiculos!$G$2:$G$1325=H348&amp;"|"&amp;I348,0),0)),"No en catálogo"))</f>
      </c>
      <c r="K348" s="19">
        <f>IF(OR(H348="",I348=""),"",IFERROR(INDEX(Catalogo_Vehiculos!$D$2:$D$1325,MATCH(TRUE(),INDEX(Catalogo_Vehiculos!$G$2:$G$1325=H348&amp;"|"&amp;I348,0),0)),"No en catálogo"))</f>
      </c>
      <c r="L348" s="19">
        <f>IF(OR(H348="",I348=""),"",IFERROR(INDEX(Catalogo_Vehiculos!$E$2:$E$1325,MATCH(TRUE(),INDEX(Catalogo_Vehiculos!$G$2:$G$1325=H348&amp;"|"&amp;I348,0),0)),"No en catálogo"))</f>
      </c>
      <c r="M348" s="19">
        <f>IF(OR(H348="",I348=""),"",IFERROR(INDEX(Catalogo_Vehiculos!$F$2:$F$1325,MATCH(TRUE(),INDEX(Catalogo_Vehiculos!$G$2:$G$1325=H348&amp;"|"&amp;I348,0),0)),"No en catálogo"))</f>
      </c>
      <c r="N348" s="20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9"/>
      <c r="Z348" s="19"/>
      <c r="AA348" s="15"/>
      <c r="AB348" s="15"/>
      <c r="AC348" s="15"/>
      <c r="AD348" s="15"/>
      <c r="AE348" s="15"/>
      <c r="AF348" s="19"/>
      <c r="AG348" s="19"/>
      <c r="AH348" s="15"/>
      <c r="AI348" s="15"/>
      <c r="AJ348" s="15"/>
      <c r="AK348" s="15"/>
      <c r="AL348" s="21"/>
      <c r="AM348" s="15"/>
      <c r="AN348" s="15"/>
      <c r="AO348" s="15"/>
      <c r="AP348" s="15"/>
      <c r="AQ348" s="15"/>
      <c r="AR348" s="15"/>
      <c r="AS348" s="15"/>
      <c r="AT348" s="19" t="str">
        <f>IF(COUNTA(A348:I348)+COUNTA(N348:X348)+COUNTA(AA348:AE348)+COUNTA(AH348:AS348)=0,"",IF(AND(A348&lt;&gt;"",E348&lt;&gt;"",OR(F348&lt;&gt;"",G348&lt;&gt;""),H348&lt;&gt;"",I348&lt;&gt;"",J348&lt;&gt;"No en catálogo",S348&lt;&gt;"",T348&lt;&gt;"",U348&lt;&gt;"",V348&lt;&gt;"",OR(AR348&lt;&gt;"",AND(W348&lt;&gt;"",X348&lt;&gt;"",AA348&lt;&gt;"",AB348&lt;&gt;"")),OR(AS348&lt;&gt;"",AND(AD348&lt;&gt;"",AE348&lt;&gt;"",AH348&lt;&gt;"",AI348&lt;&gt;"")),AK348&lt;&gt;"",OR(AK348&lt;&gt;"programado",AL348&lt;&gt;""),OR(AM348&lt;&gt;"específica",AN348&lt;&gt;""),OR(AO348&lt;&gt;"específica",AP348&lt;&gt;"")),"OK","Revisar"))</f>
        <v/>
      </c>
    </row>
    <row r="349" ht="15" customHeight="1" spans="1:46" x14ac:dyDescent="0.25">
      <c r="A349" s="15"/>
      <c r="B349" s="15"/>
      <c r="C349" s="15"/>
      <c r="D349" s="15"/>
      <c r="E349" s="15"/>
      <c r="F349" s="15"/>
      <c r="G349" s="15"/>
      <c r="H349" s="15"/>
      <c r="I349" s="15"/>
      <c r="J349" s="19">
        <f>IF(OR(H349="",I349=""),"",IFERROR(INDEX(Catalogo_Vehiculos!$C$2:$C$1325,MATCH(TRUE(),INDEX(Catalogo_Vehiculos!$G$2:$G$1325=H349&amp;"|"&amp;I349,0),0)),"No en catálogo"))</f>
      </c>
      <c r="K349" s="19">
        <f>IF(OR(H349="",I349=""),"",IFERROR(INDEX(Catalogo_Vehiculos!$D$2:$D$1325,MATCH(TRUE(),INDEX(Catalogo_Vehiculos!$G$2:$G$1325=H349&amp;"|"&amp;I349,0),0)),"No en catálogo"))</f>
      </c>
      <c r="L349" s="19">
        <f>IF(OR(H349="",I349=""),"",IFERROR(INDEX(Catalogo_Vehiculos!$E$2:$E$1325,MATCH(TRUE(),INDEX(Catalogo_Vehiculos!$G$2:$G$1325=H349&amp;"|"&amp;I349,0),0)),"No en catálogo"))</f>
      </c>
      <c r="M349" s="19">
        <f>IF(OR(H349="",I349=""),"",IFERROR(INDEX(Catalogo_Vehiculos!$F$2:$F$1325,MATCH(TRUE(),INDEX(Catalogo_Vehiculos!$G$2:$G$1325=H349&amp;"|"&amp;I349,0),0)),"No en catálogo"))</f>
      </c>
      <c r="N349" s="20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9"/>
      <c r="Z349" s="19"/>
      <c r="AA349" s="15"/>
      <c r="AB349" s="15"/>
      <c r="AC349" s="15"/>
      <c r="AD349" s="15"/>
      <c r="AE349" s="15"/>
      <c r="AF349" s="19"/>
      <c r="AG349" s="19"/>
      <c r="AH349" s="15"/>
      <c r="AI349" s="15"/>
      <c r="AJ349" s="15"/>
      <c r="AK349" s="15"/>
      <c r="AL349" s="21"/>
      <c r="AM349" s="15"/>
      <c r="AN349" s="15"/>
      <c r="AO349" s="15"/>
      <c r="AP349" s="15"/>
      <c r="AQ349" s="15"/>
      <c r="AR349" s="15"/>
      <c r="AS349" s="15"/>
      <c r="AT349" s="19" t="str">
        <f>IF(COUNTA(A349:I349)+COUNTA(N349:X349)+COUNTA(AA349:AE349)+COUNTA(AH349:AS349)=0,"",IF(AND(A349&lt;&gt;"",E349&lt;&gt;"",OR(F349&lt;&gt;"",G349&lt;&gt;""),H349&lt;&gt;"",I349&lt;&gt;"",J349&lt;&gt;"No en catálogo",S349&lt;&gt;"",T349&lt;&gt;"",U349&lt;&gt;"",V349&lt;&gt;"",OR(AR349&lt;&gt;"",AND(W349&lt;&gt;"",X349&lt;&gt;"",AA349&lt;&gt;"",AB349&lt;&gt;"")),OR(AS349&lt;&gt;"",AND(AD349&lt;&gt;"",AE349&lt;&gt;"",AH349&lt;&gt;"",AI349&lt;&gt;"")),AK349&lt;&gt;"",OR(AK349&lt;&gt;"programado",AL349&lt;&gt;""),OR(AM349&lt;&gt;"específica",AN349&lt;&gt;""),OR(AO349&lt;&gt;"específica",AP349&lt;&gt;"")),"OK","Revisar"))</f>
        <v/>
      </c>
    </row>
    <row r="350" ht="15" customHeight="1" spans="1:46" x14ac:dyDescent="0.25">
      <c r="A350" s="15"/>
      <c r="B350" s="15"/>
      <c r="C350" s="15"/>
      <c r="D350" s="15"/>
      <c r="E350" s="15"/>
      <c r="F350" s="15"/>
      <c r="G350" s="15"/>
      <c r="H350" s="15"/>
      <c r="I350" s="15"/>
      <c r="J350" s="19">
        <f>IF(OR(H350="",I350=""),"",IFERROR(INDEX(Catalogo_Vehiculos!$C$2:$C$1325,MATCH(TRUE(),INDEX(Catalogo_Vehiculos!$G$2:$G$1325=H350&amp;"|"&amp;I350,0),0)),"No en catálogo"))</f>
      </c>
      <c r="K350" s="19">
        <f>IF(OR(H350="",I350=""),"",IFERROR(INDEX(Catalogo_Vehiculos!$D$2:$D$1325,MATCH(TRUE(),INDEX(Catalogo_Vehiculos!$G$2:$G$1325=H350&amp;"|"&amp;I350,0),0)),"No en catálogo"))</f>
      </c>
      <c r="L350" s="19">
        <f>IF(OR(H350="",I350=""),"",IFERROR(INDEX(Catalogo_Vehiculos!$E$2:$E$1325,MATCH(TRUE(),INDEX(Catalogo_Vehiculos!$G$2:$G$1325=H350&amp;"|"&amp;I350,0),0)),"No en catálogo"))</f>
      </c>
      <c r="M350" s="19">
        <f>IF(OR(H350="",I350=""),"",IFERROR(INDEX(Catalogo_Vehiculos!$F$2:$F$1325,MATCH(TRUE(),INDEX(Catalogo_Vehiculos!$G$2:$G$1325=H350&amp;"|"&amp;I350,0),0)),"No en catálogo"))</f>
      </c>
      <c r="N350" s="20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9"/>
      <c r="Z350" s="19"/>
      <c r="AA350" s="15"/>
      <c r="AB350" s="15"/>
      <c r="AC350" s="15"/>
      <c r="AD350" s="15"/>
      <c r="AE350" s="15"/>
      <c r="AF350" s="19"/>
      <c r="AG350" s="19"/>
      <c r="AH350" s="15"/>
      <c r="AI350" s="15"/>
      <c r="AJ350" s="15"/>
      <c r="AK350" s="15"/>
      <c r="AL350" s="21"/>
      <c r="AM350" s="15"/>
      <c r="AN350" s="15"/>
      <c r="AO350" s="15"/>
      <c r="AP350" s="15"/>
      <c r="AQ350" s="15"/>
      <c r="AR350" s="15"/>
      <c r="AS350" s="15"/>
      <c r="AT350" s="19" t="str">
        <f>IF(COUNTA(A350:I350)+COUNTA(N350:X350)+COUNTA(AA350:AE350)+COUNTA(AH350:AS350)=0,"",IF(AND(A350&lt;&gt;"",E350&lt;&gt;"",OR(F350&lt;&gt;"",G350&lt;&gt;""),H350&lt;&gt;"",I350&lt;&gt;"",J350&lt;&gt;"No en catálogo",S350&lt;&gt;"",T350&lt;&gt;"",U350&lt;&gt;"",V350&lt;&gt;"",OR(AR350&lt;&gt;"",AND(W350&lt;&gt;"",X350&lt;&gt;"",AA350&lt;&gt;"",AB350&lt;&gt;"")),OR(AS350&lt;&gt;"",AND(AD350&lt;&gt;"",AE350&lt;&gt;"",AH350&lt;&gt;"",AI350&lt;&gt;"")),AK350&lt;&gt;"",OR(AK350&lt;&gt;"programado",AL350&lt;&gt;""),OR(AM350&lt;&gt;"específica",AN350&lt;&gt;""),OR(AO350&lt;&gt;"específica",AP350&lt;&gt;"")),"OK","Revisar"))</f>
        <v/>
      </c>
    </row>
    <row r="351" ht="15" customHeight="1" spans="1:46" x14ac:dyDescent="0.25">
      <c r="A351" s="15"/>
      <c r="B351" s="15"/>
      <c r="C351" s="15"/>
      <c r="D351" s="15"/>
      <c r="E351" s="15"/>
      <c r="F351" s="15"/>
      <c r="G351" s="15"/>
      <c r="H351" s="15"/>
      <c r="I351" s="15"/>
      <c r="J351" s="19">
        <f>IF(OR(H351="",I351=""),"",IFERROR(INDEX(Catalogo_Vehiculos!$C$2:$C$1325,MATCH(TRUE(),INDEX(Catalogo_Vehiculos!$G$2:$G$1325=H351&amp;"|"&amp;I351,0),0)),"No en catálogo"))</f>
      </c>
      <c r="K351" s="19">
        <f>IF(OR(H351="",I351=""),"",IFERROR(INDEX(Catalogo_Vehiculos!$D$2:$D$1325,MATCH(TRUE(),INDEX(Catalogo_Vehiculos!$G$2:$G$1325=H351&amp;"|"&amp;I351,0),0)),"No en catálogo"))</f>
      </c>
      <c r="L351" s="19">
        <f>IF(OR(H351="",I351=""),"",IFERROR(INDEX(Catalogo_Vehiculos!$E$2:$E$1325,MATCH(TRUE(),INDEX(Catalogo_Vehiculos!$G$2:$G$1325=H351&amp;"|"&amp;I351,0),0)),"No en catálogo"))</f>
      </c>
      <c r="M351" s="19">
        <f>IF(OR(H351="",I351=""),"",IFERROR(INDEX(Catalogo_Vehiculos!$F$2:$F$1325,MATCH(TRUE(),INDEX(Catalogo_Vehiculos!$G$2:$G$1325=H351&amp;"|"&amp;I351,0),0)),"No en catálogo"))</f>
      </c>
      <c r="N351" s="20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9"/>
      <c r="Z351" s="19"/>
      <c r="AA351" s="15"/>
      <c r="AB351" s="15"/>
      <c r="AC351" s="15"/>
      <c r="AD351" s="15"/>
      <c r="AE351" s="15"/>
      <c r="AF351" s="19"/>
      <c r="AG351" s="19"/>
      <c r="AH351" s="15"/>
      <c r="AI351" s="15"/>
      <c r="AJ351" s="15"/>
      <c r="AK351" s="15"/>
      <c r="AL351" s="21"/>
      <c r="AM351" s="15"/>
      <c r="AN351" s="15"/>
      <c r="AO351" s="15"/>
      <c r="AP351" s="15"/>
      <c r="AQ351" s="15"/>
      <c r="AR351" s="15"/>
      <c r="AS351" s="15"/>
      <c r="AT351" s="19" t="str">
        <f>IF(COUNTA(A351:I351)+COUNTA(N351:X351)+COUNTA(AA351:AE351)+COUNTA(AH351:AS351)=0,"",IF(AND(A351&lt;&gt;"",E351&lt;&gt;"",OR(F351&lt;&gt;"",G351&lt;&gt;""),H351&lt;&gt;"",I351&lt;&gt;"",J351&lt;&gt;"No en catálogo",S351&lt;&gt;"",T351&lt;&gt;"",U351&lt;&gt;"",V351&lt;&gt;"",OR(AR351&lt;&gt;"",AND(W351&lt;&gt;"",X351&lt;&gt;"",AA351&lt;&gt;"",AB351&lt;&gt;"")),OR(AS351&lt;&gt;"",AND(AD351&lt;&gt;"",AE351&lt;&gt;"",AH351&lt;&gt;"",AI351&lt;&gt;"")),AK351&lt;&gt;"",OR(AK351&lt;&gt;"programado",AL351&lt;&gt;""),OR(AM351&lt;&gt;"específica",AN351&lt;&gt;""),OR(AO351&lt;&gt;"específica",AP351&lt;&gt;"")),"OK","Revisar"))</f>
        <v/>
      </c>
    </row>
    <row r="352" ht="15" customHeight="1" spans="1:46" x14ac:dyDescent="0.25">
      <c r="A352" s="15"/>
      <c r="B352" s="15"/>
      <c r="C352" s="15"/>
      <c r="D352" s="15"/>
      <c r="E352" s="15"/>
      <c r="F352" s="15"/>
      <c r="G352" s="15"/>
      <c r="H352" s="15"/>
      <c r="I352" s="15"/>
      <c r="J352" s="19">
        <f>IF(OR(H352="",I352=""),"",IFERROR(INDEX(Catalogo_Vehiculos!$C$2:$C$1325,MATCH(TRUE(),INDEX(Catalogo_Vehiculos!$G$2:$G$1325=H352&amp;"|"&amp;I352,0),0)),"No en catálogo"))</f>
      </c>
      <c r="K352" s="19">
        <f>IF(OR(H352="",I352=""),"",IFERROR(INDEX(Catalogo_Vehiculos!$D$2:$D$1325,MATCH(TRUE(),INDEX(Catalogo_Vehiculos!$G$2:$G$1325=H352&amp;"|"&amp;I352,0),0)),"No en catálogo"))</f>
      </c>
      <c r="L352" s="19">
        <f>IF(OR(H352="",I352=""),"",IFERROR(INDEX(Catalogo_Vehiculos!$E$2:$E$1325,MATCH(TRUE(),INDEX(Catalogo_Vehiculos!$G$2:$G$1325=H352&amp;"|"&amp;I352,0),0)),"No en catálogo"))</f>
      </c>
      <c r="M352" s="19">
        <f>IF(OR(H352="",I352=""),"",IFERROR(INDEX(Catalogo_Vehiculos!$F$2:$F$1325,MATCH(TRUE(),INDEX(Catalogo_Vehiculos!$G$2:$G$1325=H352&amp;"|"&amp;I352,0),0)),"No en catálogo"))</f>
      </c>
      <c r="N352" s="20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9"/>
      <c r="Z352" s="19"/>
      <c r="AA352" s="15"/>
      <c r="AB352" s="15"/>
      <c r="AC352" s="15"/>
      <c r="AD352" s="15"/>
      <c r="AE352" s="15"/>
      <c r="AF352" s="19"/>
      <c r="AG352" s="19"/>
      <c r="AH352" s="15"/>
      <c r="AI352" s="15"/>
      <c r="AJ352" s="15"/>
      <c r="AK352" s="15"/>
      <c r="AL352" s="21"/>
      <c r="AM352" s="15"/>
      <c r="AN352" s="15"/>
      <c r="AO352" s="15"/>
      <c r="AP352" s="15"/>
      <c r="AQ352" s="15"/>
      <c r="AR352" s="15"/>
      <c r="AS352" s="15"/>
      <c r="AT352" s="19" t="str">
        <f>IF(COUNTA(A352:I352)+COUNTA(N352:X352)+COUNTA(AA352:AE352)+COUNTA(AH352:AS352)=0,"",IF(AND(A352&lt;&gt;"",E352&lt;&gt;"",OR(F352&lt;&gt;"",G352&lt;&gt;""),H352&lt;&gt;"",I352&lt;&gt;"",J352&lt;&gt;"No en catálogo",S352&lt;&gt;"",T352&lt;&gt;"",U352&lt;&gt;"",V352&lt;&gt;"",OR(AR352&lt;&gt;"",AND(W352&lt;&gt;"",X352&lt;&gt;"",AA352&lt;&gt;"",AB352&lt;&gt;"")),OR(AS352&lt;&gt;"",AND(AD352&lt;&gt;"",AE352&lt;&gt;"",AH352&lt;&gt;"",AI352&lt;&gt;"")),AK352&lt;&gt;"",OR(AK352&lt;&gt;"programado",AL352&lt;&gt;""),OR(AM352&lt;&gt;"específica",AN352&lt;&gt;""),OR(AO352&lt;&gt;"específica",AP352&lt;&gt;"")),"OK","Revisar"))</f>
        <v/>
      </c>
    </row>
    <row r="353" ht="15" customHeight="1" spans="1:46" x14ac:dyDescent="0.25">
      <c r="A353" s="15"/>
      <c r="B353" s="15"/>
      <c r="C353" s="15"/>
      <c r="D353" s="15"/>
      <c r="E353" s="15"/>
      <c r="F353" s="15"/>
      <c r="G353" s="15"/>
      <c r="H353" s="15"/>
      <c r="I353" s="15"/>
      <c r="J353" s="19">
        <f>IF(OR(H353="",I353=""),"",IFERROR(INDEX(Catalogo_Vehiculos!$C$2:$C$1325,MATCH(TRUE(),INDEX(Catalogo_Vehiculos!$G$2:$G$1325=H353&amp;"|"&amp;I353,0),0)),"No en catálogo"))</f>
      </c>
      <c r="K353" s="19">
        <f>IF(OR(H353="",I353=""),"",IFERROR(INDEX(Catalogo_Vehiculos!$D$2:$D$1325,MATCH(TRUE(),INDEX(Catalogo_Vehiculos!$G$2:$G$1325=H353&amp;"|"&amp;I353,0),0)),"No en catálogo"))</f>
      </c>
      <c r="L353" s="19">
        <f>IF(OR(H353="",I353=""),"",IFERROR(INDEX(Catalogo_Vehiculos!$E$2:$E$1325,MATCH(TRUE(),INDEX(Catalogo_Vehiculos!$G$2:$G$1325=H353&amp;"|"&amp;I353,0),0)),"No en catálogo"))</f>
      </c>
      <c r="M353" s="19">
        <f>IF(OR(H353="",I353=""),"",IFERROR(INDEX(Catalogo_Vehiculos!$F$2:$F$1325,MATCH(TRUE(),INDEX(Catalogo_Vehiculos!$G$2:$G$1325=H353&amp;"|"&amp;I353,0),0)),"No en catálogo"))</f>
      </c>
      <c r="N353" s="20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9"/>
      <c r="Z353" s="19"/>
      <c r="AA353" s="15"/>
      <c r="AB353" s="15"/>
      <c r="AC353" s="15"/>
      <c r="AD353" s="15"/>
      <c r="AE353" s="15"/>
      <c r="AF353" s="19"/>
      <c r="AG353" s="19"/>
      <c r="AH353" s="15"/>
      <c r="AI353" s="15"/>
      <c r="AJ353" s="15"/>
      <c r="AK353" s="15"/>
      <c r="AL353" s="21"/>
      <c r="AM353" s="15"/>
      <c r="AN353" s="15"/>
      <c r="AO353" s="15"/>
      <c r="AP353" s="15"/>
      <c r="AQ353" s="15"/>
      <c r="AR353" s="15"/>
      <c r="AS353" s="15"/>
      <c r="AT353" s="19" t="str">
        <f>IF(COUNTA(A353:I353)+COUNTA(N353:X353)+COUNTA(AA353:AE353)+COUNTA(AH353:AS353)=0,"",IF(AND(A353&lt;&gt;"",E353&lt;&gt;"",OR(F353&lt;&gt;"",G353&lt;&gt;""),H353&lt;&gt;"",I353&lt;&gt;"",J353&lt;&gt;"No en catálogo",S353&lt;&gt;"",T353&lt;&gt;"",U353&lt;&gt;"",V353&lt;&gt;"",OR(AR353&lt;&gt;"",AND(W353&lt;&gt;"",X353&lt;&gt;"",AA353&lt;&gt;"",AB353&lt;&gt;"")),OR(AS353&lt;&gt;"",AND(AD353&lt;&gt;"",AE353&lt;&gt;"",AH353&lt;&gt;"",AI353&lt;&gt;"")),AK353&lt;&gt;"",OR(AK353&lt;&gt;"programado",AL353&lt;&gt;""),OR(AM353&lt;&gt;"específica",AN353&lt;&gt;""),OR(AO353&lt;&gt;"específica",AP353&lt;&gt;"")),"OK","Revisar"))</f>
        <v/>
      </c>
    </row>
    <row r="354" ht="15" customHeight="1" spans="1:46" x14ac:dyDescent="0.25">
      <c r="A354" s="15"/>
      <c r="B354" s="15"/>
      <c r="C354" s="15"/>
      <c r="D354" s="15"/>
      <c r="E354" s="15"/>
      <c r="F354" s="15"/>
      <c r="G354" s="15"/>
      <c r="H354" s="15"/>
      <c r="I354" s="15"/>
      <c r="J354" s="19">
        <f>IF(OR(H354="",I354=""),"",IFERROR(INDEX(Catalogo_Vehiculos!$C$2:$C$1325,MATCH(TRUE(),INDEX(Catalogo_Vehiculos!$G$2:$G$1325=H354&amp;"|"&amp;I354,0),0)),"No en catálogo"))</f>
      </c>
      <c r="K354" s="19">
        <f>IF(OR(H354="",I354=""),"",IFERROR(INDEX(Catalogo_Vehiculos!$D$2:$D$1325,MATCH(TRUE(),INDEX(Catalogo_Vehiculos!$G$2:$G$1325=H354&amp;"|"&amp;I354,0),0)),"No en catálogo"))</f>
      </c>
      <c r="L354" s="19">
        <f>IF(OR(H354="",I354=""),"",IFERROR(INDEX(Catalogo_Vehiculos!$E$2:$E$1325,MATCH(TRUE(),INDEX(Catalogo_Vehiculos!$G$2:$G$1325=H354&amp;"|"&amp;I354,0),0)),"No en catálogo"))</f>
      </c>
      <c r="M354" s="19">
        <f>IF(OR(H354="",I354=""),"",IFERROR(INDEX(Catalogo_Vehiculos!$F$2:$F$1325,MATCH(TRUE(),INDEX(Catalogo_Vehiculos!$G$2:$G$1325=H354&amp;"|"&amp;I354,0),0)),"No en catálogo"))</f>
      </c>
      <c r="N354" s="20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9"/>
      <c r="Z354" s="19"/>
      <c r="AA354" s="15"/>
      <c r="AB354" s="15"/>
      <c r="AC354" s="15"/>
      <c r="AD354" s="15"/>
      <c r="AE354" s="15"/>
      <c r="AF354" s="19"/>
      <c r="AG354" s="19"/>
      <c r="AH354" s="15"/>
      <c r="AI354" s="15"/>
      <c r="AJ354" s="15"/>
      <c r="AK354" s="15"/>
      <c r="AL354" s="21"/>
      <c r="AM354" s="15"/>
      <c r="AN354" s="15"/>
      <c r="AO354" s="15"/>
      <c r="AP354" s="15"/>
      <c r="AQ354" s="15"/>
      <c r="AR354" s="15"/>
      <c r="AS354" s="15"/>
      <c r="AT354" s="19" t="str">
        <f>IF(COUNTA(A354:I354)+COUNTA(N354:X354)+COUNTA(AA354:AE354)+COUNTA(AH354:AS354)=0,"",IF(AND(A354&lt;&gt;"",E354&lt;&gt;"",OR(F354&lt;&gt;"",G354&lt;&gt;""),H354&lt;&gt;"",I354&lt;&gt;"",J354&lt;&gt;"No en catálogo",S354&lt;&gt;"",T354&lt;&gt;"",U354&lt;&gt;"",V354&lt;&gt;"",OR(AR354&lt;&gt;"",AND(W354&lt;&gt;"",X354&lt;&gt;"",AA354&lt;&gt;"",AB354&lt;&gt;"")),OR(AS354&lt;&gt;"",AND(AD354&lt;&gt;"",AE354&lt;&gt;"",AH354&lt;&gt;"",AI354&lt;&gt;"")),AK354&lt;&gt;"",OR(AK354&lt;&gt;"programado",AL354&lt;&gt;""),OR(AM354&lt;&gt;"específica",AN354&lt;&gt;""),OR(AO354&lt;&gt;"específica",AP354&lt;&gt;"")),"OK","Revisar"))</f>
        <v/>
      </c>
    </row>
    <row r="355" ht="15" customHeight="1" spans="1:46" x14ac:dyDescent="0.25">
      <c r="A355" s="15"/>
      <c r="B355" s="15"/>
      <c r="C355" s="15"/>
      <c r="D355" s="15"/>
      <c r="E355" s="15"/>
      <c r="F355" s="15"/>
      <c r="G355" s="15"/>
      <c r="H355" s="15"/>
      <c r="I355" s="15"/>
      <c r="J355" s="19">
        <f>IF(OR(H355="",I355=""),"",IFERROR(INDEX(Catalogo_Vehiculos!$C$2:$C$1325,MATCH(TRUE(),INDEX(Catalogo_Vehiculos!$G$2:$G$1325=H355&amp;"|"&amp;I355,0),0)),"No en catálogo"))</f>
      </c>
      <c r="K355" s="19">
        <f>IF(OR(H355="",I355=""),"",IFERROR(INDEX(Catalogo_Vehiculos!$D$2:$D$1325,MATCH(TRUE(),INDEX(Catalogo_Vehiculos!$G$2:$G$1325=H355&amp;"|"&amp;I355,0),0)),"No en catálogo"))</f>
      </c>
      <c r="L355" s="19">
        <f>IF(OR(H355="",I355=""),"",IFERROR(INDEX(Catalogo_Vehiculos!$E$2:$E$1325,MATCH(TRUE(),INDEX(Catalogo_Vehiculos!$G$2:$G$1325=H355&amp;"|"&amp;I355,0),0)),"No en catálogo"))</f>
      </c>
      <c r="M355" s="19">
        <f>IF(OR(H355="",I355=""),"",IFERROR(INDEX(Catalogo_Vehiculos!$F$2:$F$1325,MATCH(TRUE(),INDEX(Catalogo_Vehiculos!$G$2:$G$1325=H355&amp;"|"&amp;I355,0),0)),"No en catálogo"))</f>
      </c>
      <c r="N355" s="20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9"/>
      <c r="Z355" s="19"/>
      <c r="AA355" s="15"/>
      <c r="AB355" s="15"/>
      <c r="AC355" s="15"/>
      <c r="AD355" s="15"/>
      <c r="AE355" s="15"/>
      <c r="AF355" s="19"/>
      <c r="AG355" s="19"/>
      <c r="AH355" s="15"/>
      <c r="AI355" s="15"/>
      <c r="AJ355" s="15"/>
      <c r="AK355" s="15"/>
      <c r="AL355" s="21"/>
      <c r="AM355" s="15"/>
      <c r="AN355" s="15"/>
      <c r="AO355" s="15"/>
      <c r="AP355" s="15"/>
      <c r="AQ355" s="15"/>
      <c r="AR355" s="15"/>
      <c r="AS355" s="15"/>
      <c r="AT355" s="19" t="str">
        <f>IF(COUNTA(A355:I355)+COUNTA(N355:X355)+COUNTA(AA355:AE355)+COUNTA(AH355:AS355)=0,"",IF(AND(A355&lt;&gt;"",E355&lt;&gt;"",OR(F355&lt;&gt;"",G355&lt;&gt;""),H355&lt;&gt;"",I355&lt;&gt;"",J355&lt;&gt;"No en catálogo",S355&lt;&gt;"",T355&lt;&gt;"",U355&lt;&gt;"",V355&lt;&gt;"",OR(AR355&lt;&gt;"",AND(W355&lt;&gt;"",X355&lt;&gt;"",AA355&lt;&gt;"",AB355&lt;&gt;"")),OR(AS355&lt;&gt;"",AND(AD355&lt;&gt;"",AE355&lt;&gt;"",AH355&lt;&gt;"",AI355&lt;&gt;"")),AK355&lt;&gt;"",OR(AK355&lt;&gt;"programado",AL355&lt;&gt;""),OR(AM355&lt;&gt;"específica",AN355&lt;&gt;""),OR(AO355&lt;&gt;"específica",AP355&lt;&gt;"")),"OK","Revisar"))</f>
        <v/>
      </c>
    </row>
    <row r="356" ht="15" customHeight="1" spans="1:46" x14ac:dyDescent="0.25">
      <c r="A356" s="15"/>
      <c r="B356" s="15"/>
      <c r="C356" s="15"/>
      <c r="D356" s="15"/>
      <c r="E356" s="15"/>
      <c r="F356" s="15"/>
      <c r="G356" s="15"/>
      <c r="H356" s="15"/>
      <c r="I356" s="15"/>
      <c r="J356" s="19">
        <f>IF(OR(H356="",I356=""),"",IFERROR(INDEX(Catalogo_Vehiculos!$C$2:$C$1325,MATCH(TRUE(),INDEX(Catalogo_Vehiculos!$G$2:$G$1325=H356&amp;"|"&amp;I356,0),0)),"No en catálogo"))</f>
      </c>
      <c r="K356" s="19">
        <f>IF(OR(H356="",I356=""),"",IFERROR(INDEX(Catalogo_Vehiculos!$D$2:$D$1325,MATCH(TRUE(),INDEX(Catalogo_Vehiculos!$G$2:$G$1325=H356&amp;"|"&amp;I356,0),0)),"No en catálogo"))</f>
      </c>
      <c r="L356" s="19">
        <f>IF(OR(H356="",I356=""),"",IFERROR(INDEX(Catalogo_Vehiculos!$E$2:$E$1325,MATCH(TRUE(),INDEX(Catalogo_Vehiculos!$G$2:$G$1325=H356&amp;"|"&amp;I356,0),0)),"No en catálogo"))</f>
      </c>
      <c r="M356" s="19">
        <f>IF(OR(H356="",I356=""),"",IFERROR(INDEX(Catalogo_Vehiculos!$F$2:$F$1325,MATCH(TRUE(),INDEX(Catalogo_Vehiculos!$G$2:$G$1325=H356&amp;"|"&amp;I356,0),0)),"No en catálogo"))</f>
      </c>
      <c r="N356" s="20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9"/>
      <c r="Z356" s="19"/>
      <c r="AA356" s="15"/>
      <c r="AB356" s="15"/>
      <c r="AC356" s="15"/>
      <c r="AD356" s="15"/>
      <c r="AE356" s="15"/>
      <c r="AF356" s="19"/>
      <c r="AG356" s="19"/>
      <c r="AH356" s="15"/>
      <c r="AI356" s="15"/>
      <c r="AJ356" s="15"/>
      <c r="AK356" s="15"/>
      <c r="AL356" s="21"/>
      <c r="AM356" s="15"/>
      <c r="AN356" s="15"/>
      <c r="AO356" s="15"/>
      <c r="AP356" s="15"/>
      <c r="AQ356" s="15"/>
      <c r="AR356" s="15"/>
      <c r="AS356" s="15"/>
      <c r="AT356" s="19" t="str">
        <f>IF(COUNTA(A356:I356)+COUNTA(N356:X356)+COUNTA(AA356:AE356)+COUNTA(AH356:AS356)=0,"",IF(AND(A356&lt;&gt;"",E356&lt;&gt;"",OR(F356&lt;&gt;"",G356&lt;&gt;""),H356&lt;&gt;"",I356&lt;&gt;"",J356&lt;&gt;"No en catálogo",S356&lt;&gt;"",T356&lt;&gt;"",U356&lt;&gt;"",V356&lt;&gt;"",OR(AR356&lt;&gt;"",AND(W356&lt;&gt;"",X356&lt;&gt;"",AA356&lt;&gt;"",AB356&lt;&gt;"")),OR(AS356&lt;&gt;"",AND(AD356&lt;&gt;"",AE356&lt;&gt;"",AH356&lt;&gt;"",AI356&lt;&gt;"")),AK356&lt;&gt;"",OR(AK356&lt;&gt;"programado",AL356&lt;&gt;""),OR(AM356&lt;&gt;"específica",AN356&lt;&gt;""),OR(AO356&lt;&gt;"específica",AP356&lt;&gt;"")),"OK","Revisar"))</f>
        <v/>
      </c>
    </row>
    <row r="357" ht="15" customHeight="1" spans="1:46" x14ac:dyDescent="0.25">
      <c r="A357" s="15"/>
      <c r="B357" s="15"/>
      <c r="C357" s="15"/>
      <c r="D357" s="15"/>
      <c r="E357" s="15"/>
      <c r="F357" s="15"/>
      <c r="G357" s="15"/>
      <c r="H357" s="15"/>
      <c r="I357" s="15"/>
      <c r="J357" s="19">
        <f>IF(OR(H357="",I357=""),"",IFERROR(INDEX(Catalogo_Vehiculos!$C$2:$C$1325,MATCH(TRUE(),INDEX(Catalogo_Vehiculos!$G$2:$G$1325=H357&amp;"|"&amp;I357,0),0)),"No en catálogo"))</f>
      </c>
      <c r="K357" s="19">
        <f>IF(OR(H357="",I357=""),"",IFERROR(INDEX(Catalogo_Vehiculos!$D$2:$D$1325,MATCH(TRUE(),INDEX(Catalogo_Vehiculos!$G$2:$G$1325=H357&amp;"|"&amp;I357,0),0)),"No en catálogo"))</f>
      </c>
      <c r="L357" s="19">
        <f>IF(OR(H357="",I357=""),"",IFERROR(INDEX(Catalogo_Vehiculos!$E$2:$E$1325,MATCH(TRUE(),INDEX(Catalogo_Vehiculos!$G$2:$G$1325=H357&amp;"|"&amp;I357,0),0)),"No en catálogo"))</f>
      </c>
      <c r="M357" s="19">
        <f>IF(OR(H357="",I357=""),"",IFERROR(INDEX(Catalogo_Vehiculos!$F$2:$F$1325,MATCH(TRUE(),INDEX(Catalogo_Vehiculos!$G$2:$G$1325=H357&amp;"|"&amp;I357,0),0)),"No en catálogo"))</f>
      </c>
      <c r="N357" s="20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9"/>
      <c r="Z357" s="19"/>
      <c r="AA357" s="15"/>
      <c r="AB357" s="15"/>
      <c r="AC357" s="15"/>
      <c r="AD357" s="15"/>
      <c r="AE357" s="15"/>
      <c r="AF357" s="19"/>
      <c r="AG357" s="19"/>
      <c r="AH357" s="15"/>
      <c r="AI357" s="15"/>
      <c r="AJ357" s="15"/>
      <c r="AK357" s="15"/>
      <c r="AL357" s="21"/>
      <c r="AM357" s="15"/>
      <c r="AN357" s="15"/>
      <c r="AO357" s="15"/>
      <c r="AP357" s="15"/>
      <c r="AQ357" s="15"/>
      <c r="AR357" s="15"/>
      <c r="AS357" s="15"/>
      <c r="AT357" s="19" t="str">
        <f>IF(COUNTA(A357:I357)+COUNTA(N357:X357)+COUNTA(AA357:AE357)+COUNTA(AH357:AS357)=0,"",IF(AND(A357&lt;&gt;"",E357&lt;&gt;"",OR(F357&lt;&gt;"",G357&lt;&gt;""),H357&lt;&gt;"",I357&lt;&gt;"",J357&lt;&gt;"No en catálogo",S357&lt;&gt;"",T357&lt;&gt;"",U357&lt;&gt;"",V357&lt;&gt;"",OR(AR357&lt;&gt;"",AND(W357&lt;&gt;"",X357&lt;&gt;"",AA357&lt;&gt;"",AB357&lt;&gt;"")),OR(AS357&lt;&gt;"",AND(AD357&lt;&gt;"",AE357&lt;&gt;"",AH357&lt;&gt;"",AI357&lt;&gt;"")),AK357&lt;&gt;"",OR(AK357&lt;&gt;"programado",AL357&lt;&gt;""),OR(AM357&lt;&gt;"específica",AN357&lt;&gt;""),OR(AO357&lt;&gt;"específica",AP357&lt;&gt;"")),"OK","Revisar"))</f>
        <v/>
      </c>
    </row>
    <row r="358" ht="15" customHeight="1" spans="1:46" x14ac:dyDescent="0.25">
      <c r="A358" s="15"/>
      <c r="B358" s="15"/>
      <c r="C358" s="15"/>
      <c r="D358" s="15"/>
      <c r="E358" s="15"/>
      <c r="F358" s="15"/>
      <c r="G358" s="15"/>
      <c r="H358" s="15"/>
      <c r="I358" s="15"/>
      <c r="J358" s="19">
        <f>IF(OR(H358="",I358=""),"",IFERROR(INDEX(Catalogo_Vehiculos!$C$2:$C$1325,MATCH(TRUE(),INDEX(Catalogo_Vehiculos!$G$2:$G$1325=H358&amp;"|"&amp;I358,0),0)),"No en catálogo"))</f>
      </c>
      <c r="K358" s="19">
        <f>IF(OR(H358="",I358=""),"",IFERROR(INDEX(Catalogo_Vehiculos!$D$2:$D$1325,MATCH(TRUE(),INDEX(Catalogo_Vehiculos!$G$2:$G$1325=H358&amp;"|"&amp;I358,0),0)),"No en catálogo"))</f>
      </c>
      <c r="L358" s="19">
        <f>IF(OR(H358="",I358=""),"",IFERROR(INDEX(Catalogo_Vehiculos!$E$2:$E$1325,MATCH(TRUE(),INDEX(Catalogo_Vehiculos!$G$2:$G$1325=H358&amp;"|"&amp;I358,0),0)),"No en catálogo"))</f>
      </c>
      <c r="M358" s="19">
        <f>IF(OR(H358="",I358=""),"",IFERROR(INDEX(Catalogo_Vehiculos!$F$2:$F$1325,MATCH(TRUE(),INDEX(Catalogo_Vehiculos!$G$2:$G$1325=H358&amp;"|"&amp;I358,0),0)),"No en catálogo"))</f>
      </c>
      <c r="N358" s="20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9"/>
      <c r="Z358" s="19"/>
      <c r="AA358" s="15"/>
      <c r="AB358" s="15"/>
      <c r="AC358" s="15"/>
      <c r="AD358" s="15"/>
      <c r="AE358" s="15"/>
      <c r="AF358" s="19"/>
      <c r="AG358" s="19"/>
      <c r="AH358" s="15"/>
      <c r="AI358" s="15"/>
      <c r="AJ358" s="15"/>
      <c r="AK358" s="15"/>
      <c r="AL358" s="21"/>
      <c r="AM358" s="15"/>
      <c r="AN358" s="15"/>
      <c r="AO358" s="15"/>
      <c r="AP358" s="15"/>
      <c r="AQ358" s="15"/>
      <c r="AR358" s="15"/>
      <c r="AS358" s="15"/>
      <c r="AT358" s="19" t="str">
        <f>IF(COUNTA(A358:I358)+COUNTA(N358:X358)+COUNTA(AA358:AE358)+COUNTA(AH358:AS358)=0,"",IF(AND(A358&lt;&gt;"",E358&lt;&gt;"",OR(F358&lt;&gt;"",G358&lt;&gt;""),H358&lt;&gt;"",I358&lt;&gt;"",J358&lt;&gt;"No en catálogo",S358&lt;&gt;"",T358&lt;&gt;"",U358&lt;&gt;"",V358&lt;&gt;"",OR(AR358&lt;&gt;"",AND(W358&lt;&gt;"",X358&lt;&gt;"",AA358&lt;&gt;"",AB358&lt;&gt;"")),OR(AS358&lt;&gt;"",AND(AD358&lt;&gt;"",AE358&lt;&gt;"",AH358&lt;&gt;"",AI358&lt;&gt;"")),AK358&lt;&gt;"",OR(AK358&lt;&gt;"programado",AL358&lt;&gt;""),OR(AM358&lt;&gt;"específica",AN358&lt;&gt;""),OR(AO358&lt;&gt;"específica",AP358&lt;&gt;"")),"OK","Revisar"))</f>
        <v/>
      </c>
    </row>
    <row r="359" ht="15" customHeight="1" spans="1:46" x14ac:dyDescent="0.25">
      <c r="A359" s="15"/>
      <c r="B359" s="15"/>
      <c r="C359" s="15"/>
      <c r="D359" s="15"/>
      <c r="E359" s="15"/>
      <c r="F359" s="15"/>
      <c r="G359" s="15"/>
      <c r="H359" s="15"/>
      <c r="I359" s="15"/>
      <c r="J359" s="19">
        <f>IF(OR(H359="",I359=""),"",IFERROR(INDEX(Catalogo_Vehiculos!$C$2:$C$1325,MATCH(TRUE(),INDEX(Catalogo_Vehiculos!$G$2:$G$1325=H359&amp;"|"&amp;I359,0),0)),"No en catálogo"))</f>
      </c>
      <c r="K359" s="19">
        <f>IF(OR(H359="",I359=""),"",IFERROR(INDEX(Catalogo_Vehiculos!$D$2:$D$1325,MATCH(TRUE(),INDEX(Catalogo_Vehiculos!$G$2:$G$1325=H359&amp;"|"&amp;I359,0),0)),"No en catálogo"))</f>
      </c>
      <c r="L359" s="19">
        <f>IF(OR(H359="",I359=""),"",IFERROR(INDEX(Catalogo_Vehiculos!$E$2:$E$1325,MATCH(TRUE(),INDEX(Catalogo_Vehiculos!$G$2:$G$1325=H359&amp;"|"&amp;I359,0),0)),"No en catálogo"))</f>
      </c>
      <c r="M359" s="19">
        <f>IF(OR(H359="",I359=""),"",IFERROR(INDEX(Catalogo_Vehiculos!$F$2:$F$1325,MATCH(TRUE(),INDEX(Catalogo_Vehiculos!$G$2:$G$1325=H359&amp;"|"&amp;I359,0),0)),"No en catálogo"))</f>
      </c>
      <c r="N359" s="20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9"/>
      <c r="Z359" s="19"/>
      <c r="AA359" s="15"/>
      <c r="AB359" s="15"/>
      <c r="AC359" s="15"/>
      <c r="AD359" s="15"/>
      <c r="AE359" s="15"/>
      <c r="AF359" s="19"/>
      <c r="AG359" s="19"/>
      <c r="AH359" s="15"/>
      <c r="AI359" s="15"/>
      <c r="AJ359" s="15"/>
      <c r="AK359" s="15"/>
      <c r="AL359" s="21"/>
      <c r="AM359" s="15"/>
      <c r="AN359" s="15"/>
      <c r="AO359" s="15"/>
      <c r="AP359" s="15"/>
      <c r="AQ359" s="15"/>
      <c r="AR359" s="15"/>
      <c r="AS359" s="15"/>
      <c r="AT359" s="19" t="str">
        <f>IF(COUNTA(A359:I359)+COUNTA(N359:X359)+COUNTA(AA359:AE359)+COUNTA(AH359:AS359)=0,"",IF(AND(A359&lt;&gt;"",E359&lt;&gt;"",OR(F359&lt;&gt;"",G359&lt;&gt;""),H359&lt;&gt;"",I359&lt;&gt;"",J359&lt;&gt;"No en catálogo",S359&lt;&gt;"",T359&lt;&gt;"",U359&lt;&gt;"",V359&lt;&gt;"",OR(AR359&lt;&gt;"",AND(W359&lt;&gt;"",X359&lt;&gt;"",AA359&lt;&gt;"",AB359&lt;&gt;"")),OR(AS359&lt;&gt;"",AND(AD359&lt;&gt;"",AE359&lt;&gt;"",AH359&lt;&gt;"",AI359&lt;&gt;"")),AK359&lt;&gt;"",OR(AK359&lt;&gt;"programado",AL359&lt;&gt;""),OR(AM359&lt;&gt;"específica",AN359&lt;&gt;""),OR(AO359&lt;&gt;"específica",AP359&lt;&gt;"")),"OK","Revisar"))</f>
        <v/>
      </c>
    </row>
    <row r="360" ht="15" customHeight="1" spans="1:46" x14ac:dyDescent="0.25">
      <c r="A360" s="15"/>
      <c r="B360" s="15"/>
      <c r="C360" s="15"/>
      <c r="D360" s="15"/>
      <c r="E360" s="15"/>
      <c r="F360" s="15"/>
      <c r="G360" s="15"/>
      <c r="H360" s="15"/>
      <c r="I360" s="15"/>
      <c r="J360" s="19">
        <f>IF(OR(H360="",I360=""),"",IFERROR(INDEX(Catalogo_Vehiculos!$C$2:$C$1325,MATCH(TRUE(),INDEX(Catalogo_Vehiculos!$G$2:$G$1325=H360&amp;"|"&amp;I360,0),0)),"No en catálogo"))</f>
      </c>
      <c r="K360" s="19">
        <f>IF(OR(H360="",I360=""),"",IFERROR(INDEX(Catalogo_Vehiculos!$D$2:$D$1325,MATCH(TRUE(),INDEX(Catalogo_Vehiculos!$G$2:$G$1325=H360&amp;"|"&amp;I360,0),0)),"No en catálogo"))</f>
      </c>
      <c r="L360" s="19">
        <f>IF(OR(H360="",I360=""),"",IFERROR(INDEX(Catalogo_Vehiculos!$E$2:$E$1325,MATCH(TRUE(),INDEX(Catalogo_Vehiculos!$G$2:$G$1325=H360&amp;"|"&amp;I360,0),0)),"No en catálogo"))</f>
      </c>
      <c r="M360" s="19">
        <f>IF(OR(H360="",I360=""),"",IFERROR(INDEX(Catalogo_Vehiculos!$F$2:$F$1325,MATCH(TRUE(),INDEX(Catalogo_Vehiculos!$G$2:$G$1325=H360&amp;"|"&amp;I360,0),0)),"No en catálogo"))</f>
      </c>
      <c r="N360" s="20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9"/>
      <c r="Z360" s="19"/>
      <c r="AA360" s="15"/>
      <c r="AB360" s="15"/>
      <c r="AC360" s="15"/>
      <c r="AD360" s="15"/>
      <c r="AE360" s="15"/>
      <c r="AF360" s="19"/>
      <c r="AG360" s="19"/>
      <c r="AH360" s="15"/>
      <c r="AI360" s="15"/>
      <c r="AJ360" s="15"/>
      <c r="AK360" s="15"/>
      <c r="AL360" s="21"/>
      <c r="AM360" s="15"/>
      <c r="AN360" s="15"/>
      <c r="AO360" s="15"/>
      <c r="AP360" s="15"/>
      <c r="AQ360" s="15"/>
      <c r="AR360" s="15"/>
      <c r="AS360" s="15"/>
      <c r="AT360" s="19" t="str">
        <f>IF(COUNTA(A360:I360)+COUNTA(N360:X360)+COUNTA(AA360:AE360)+COUNTA(AH360:AS360)=0,"",IF(AND(A360&lt;&gt;"",E360&lt;&gt;"",OR(F360&lt;&gt;"",G360&lt;&gt;""),H360&lt;&gt;"",I360&lt;&gt;"",J360&lt;&gt;"No en catálogo",S360&lt;&gt;"",T360&lt;&gt;"",U360&lt;&gt;"",V360&lt;&gt;"",OR(AR360&lt;&gt;"",AND(W360&lt;&gt;"",X360&lt;&gt;"",AA360&lt;&gt;"",AB360&lt;&gt;"")),OR(AS360&lt;&gt;"",AND(AD360&lt;&gt;"",AE360&lt;&gt;"",AH360&lt;&gt;"",AI360&lt;&gt;"")),AK360&lt;&gt;"",OR(AK360&lt;&gt;"programado",AL360&lt;&gt;""),OR(AM360&lt;&gt;"específica",AN360&lt;&gt;""),OR(AO360&lt;&gt;"específica",AP360&lt;&gt;"")),"OK","Revisar"))</f>
        <v/>
      </c>
    </row>
    <row r="361" ht="15" customHeight="1" spans="1:46" x14ac:dyDescent="0.25">
      <c r="A361" s="15"/>
      <c r="B361" s="15"/>
      <c r="C361" s="15"/>
      <c r="D361" s="15"/>
      <c r="E361" s="15"/>
      <c r="F361" s="15"/>
      <c r="G361" s="15"/>
      <c r="H361" s="15"/>
      <c r="I361" s="15"/>
      <c r="J361" s="19">
        <f>IF(OR(H361="",I361=""),"",IFERROR(INDEX(Catalogo_Vehiculos!$C$2:$C$1325,MATCH(TRUE(),INDEX(Catalogo_Vehiculos!$G$2:$G$1325=H361&amp;"|"&amp;I361,0),0)),"No en catálogo"))</f>
      </c>
      <c r="K361" s="19">
        <f>IF(OR(H361="",I361=""),"",IFERROR(INDEX(Catalogo_Vehiculos!$D$2:$D$1325,MATCH(TRUE(),INDEX(Catalogo_Vehiculos!$G$2:$G$1325=H361&amp;"|"&amp;I361,0),0)),"No en catálogo"))</f>
      </c>
      <c r="L361" s="19">
        <f>IF(OR(H361="",I361=""),"",IFERROR(INDEX(Catalogo_Vehiculos!$E$2:$E$1325,MATCH(TRUE(),INDEX(Catalogo_Vehiculos!$G$2:$G$1325=H361&amp;"|"&amp;I361,0),0)),"No en catálogo"))</f>
      </c>
      <c r="M361" s="19">
        <f>IF(OR(H361="",I361=""),"",IFERROR(INDEX(Catalogo_Vehiculos!$F$2:$F$1325,MATCH(TRUE(),INDEX(Catalogo_Vehiculos!$G$2:$G$1325=H361&amp;"|"&amp;I361,0),0)),"No en catálogo"))</f>
      </c>
      <c r="N361" s="20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9"/>
      <c r="Z361" s="19"/>
      <c r="AA361" s="15"/>
      <c r="AB361" s="15"/>
      <c r="AC361" s="15"/>
      <c r="AD361" s="15"/>
      <c r="AE361" s="15"/>
      <c r="AF361" s="19"/>
      <c r="AG361" s="19"/>
      <c r="AH361" s="15"/>
      <c r="AI361" s="15"/>
      <c r="AJ361" s="15"/>
      <c r="AK361" s="15"/>
      <c r="AL361" s="21"/>
      <c r="AM361" s="15"/>
      <c r="AN361" s="15"/>
      <c r="AO361" s="15"/>
      <c r="AP361" s="15"/>
      <c r="AQ361" s="15"/>
      <c r="AR361" s="15"/>
      <c r="AS361" s="15"/>
      <c r="AT361" s="19" t="str">
        <f>IF(COUNTA(A361:I361)+COUNTA(N361:X361)+COUNTA(AA361:AE361)+COUNTA(AH361:AS361)=0,"",IF(AND(A361&lt;&gt;"",E361&lt;&gt;"",OR(F361&lt;&gt;"",G361&lt;&gt;""),H361&lt;&gt;"",I361&lt;&gt;"",J361&lt;&gt;"No en catálogo",S361&lt;&gt;"",T361&lt;&gt;"",U361&lt;&gt;"",V361&lt;&gt;"",OR(AR361&lt;&gt;"",AND(W361&lt;&gt;"",X361&lt;&gt;"",AA361&lt;&gt;"",AB361&lt;&gt;"")),OR(AS361&lt;&gt;"",AND(AD361&lt;&gt;"",AE361&lt;&gt;"",AH361&lt;&gt;"",AI361&lt;&gt;"")),AK361&lt;&gt;"",OR(AK361&lt;&gt;"programado",AL361&lt;&gt;""),OR(AM361&lt;&gt;"específica",AN361&lt;&gt;""),OR(AO361&lt;&gt;"específica",AP361&lt;&gt;"")),"OK","Revisar"))</f>
        <v/>
      </c>
    </row>
    <row r="362" ht="15" customHeight="1" spans="1:46" x14ac:dyDescent="0.25">
      <c r="A362" s="15"/>
      <c r="B362" s="15"/>
      <c r="C362" s="15"/>
      <c r="D362" s="15"/>
      <c r="E362" s="15"/>
      <c r="F362" s="15"/>
      <c r="G362" s="15"/>
      <c r="H362" s="15"/>
      <c r="I362" s="15"/>
      <c r="J362" s="19">
        <f>IF(OR(H362="",I362=""),"",IFERROR(INDEX(Catalogo_Vehiculos!$C$2:$C$1325,MATCH(TRUE(),INDEX(Catalogo_Vehiculos!$G$2:$G$1325=H362&amp;"|"&amp;I362,0),0)),"No en catálogo"))</f>
      </c>
      <c r="K362" s="19">
        <f>IF(OR(H362="",I362=""),"",IFERROR(INDEX(Catalogo_Vehiculos!$D$2:$D$1325,MATCH(TRUE(),INDEX(Catalogo_Vehiculos!$G$2:$G$1325=H362&amp;"|"&amp;I362,0),0)),"No en catálogo"))</f>
      </c>
      <c r="L362" s="19">
        <f>IF(OR(H362="",I362=""),"",IFERROR(INDEX(Catalogo_Vehiculos!$E$2:$E$1325,MATCH(TRUE(),INDEX(Catalogo_Vehiculos!$G$2:$G$1325=H362&amp;"|"&amp;I362,0),0)),"No en catálogo"))</f>
      </c>
      <c r="M362" s="19">
        <f>IF(OR(H362="",I362=""),"",IFERROR(INDEX(Catalogo_Vehiculos!$F$2:$F$1325,MATCH(TRUE(),INDEX(Catalogo_Vehiculos!$G$2:$G$1325=H362&amp;"|"&amp;I362,0),0)),"No en catálogo"))</f>
      </c>
      <c r="N362" s="20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9"/>
      <c r="Z362" s="19"/>
      <c r="AA362" s="15"/>
      <c r="AB362" s="15"/>
      <c r="AC362" s="15"/>
      <c r="AD362" s="15"/>
      <c r="AE362" s="15"/>
      <c r="AF362" s="19"/>
      <c r="AG362" s="19"/>
      <c r="AH362" s="15"/>
      <c r="AI362" s="15"/>
      <c r="AJ362" s="15"/>
      <c r="AK362" s="15"/>
      <c r="AL362" s="21"/>
      <c r="AM362" s="15"/>
      <c r="AN362" s="15"/>
      <c r="AO362" s="15"/>
      <c r="AP362" s="15"/>
      <c r="AQ362" s="15"/>
      <c r="AR362" s="15"/>
      <c r="AS362" s="15"/>
      <c r="AT362" s="19" t="str">
        <f>IF(COUNTA(A362:I362)+COUNTA(N362:X362)+COUNTA(AA362:AE362)+COUNTA(AH362:AS362)=0,"",IF(AND(A362&lt;&gt;"",E362&lt;&gt;"",OR(F362&lt;&gt;"",G362&lt;&gt;""),H362&lt;&gt;"",I362&lt;&gt;"",J362&lt;&gt;"No en catálogo",S362&lt;&gt;"",T362&lt;&gt;"",U362&lt;&gt;"",V362&lt;&gt;"",OR(AR362&lt;&gt;"",AND(W362&lt;&gt;"",X362&lt;&gt;"",AA362&lt;&gt;"",AB362&lt;&gt;"")),OR(AS362&lt;&gt;"",AND(AD362&lt;&gt;"",AE362&lt;&gt;"",AH362&lt;&gt;"",AI362&lt;&gt;"")),AK362&lt;&gt;"",OR(AK362&lt;&gt;"programado",AL362&lt;&gt;""),OR(AM362&lt;&gt;"específica",AN362&lt;&gt;""),OR(AO362&lt;&gt;"específica",AP362&lt;&gt;"")),"OK","Revisar"))</f>
        <v/>
      </c>
    </row>
    <row r="363" ht="15" customHeight="1" spans="1:46" x14ac:dyDescent="0.25">
      <c r="A363" s="15"/>
      <c r="B363" s="15"/>
      <c r="C363" s="15"/>
      <c r="D363" s="15"/>
      <c r="E363" s="15"/>
      <c r="F363" s="15"/>
      <c r="G363" s="15"/>
      <c r="H363" s="15"/>
      <c r="I363" s="15"/>
      <c r="J363" s="19">
        <f>IF(OR(H363="",I363=""),"",IFERROR(INDEX(Catalogo_Vehiculos!$C$2:$C$1325,MATCH(TRUE(),INDEX(Catalogo_Vehiculos!$G$2:$G$1325=H363&amp;"|"&amp;I363,0),0)),"No en catálogo"))</f>
      </c>
      <c r="K363" s="19">
        <f>IF(OR(H363="",I363=""),"",IFERROR(INDEX(Catalogo_Vehiculos!$D$2:$D$1325,MATCH(TRUE(),INDEX(Catalogo_Vehiculos!$G$2:$G$1325=H363&amp;"|"&amp;I363,0),0)),"No en catálogo"))</f>
      </c>
      <c r="L363" s="19">
        <f>IF(OR(H363="",I363=""),"",IFERROR(INDEX(Catalogo_Vehiculos!$E$2:$E$1325,MATCH(TRUE(),INDEX(Catalogo_Vehiculos!$G$2:$G$1325=H363&amp;"|"&amp;I363,0),0)),"No en catálogo"))</f>
      </c>
      <c r="M363" s="19">
        <f>IF(OR(H363="",I363=""),"",IFERROR(INDEX(Catalogo_Vehiculos!$F$2:$F$1325,MATCH(TRUE(),INDEX(Catalogo_Vehiculos!$G$2:$G$1325=H363&amp;"|"&amp;I363,0),0)),"No en catálogo"))</f>
      </c>
      <c r="N363" s="20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9"/>
      <c r="Z363" s="19"/>
      <c r="AA363" s="15"/>
      <c r="AB363" s="15"/>
      <c r="AC363" s="15"/>
      <c r="AD363" s="15"/>
      <c r="AE363" s="15"/>
      <c r="AF363" s="19"/>
      <c r="AG363" s="19"/>
      <c r="AH363" s="15"/>
      <c r="AI363" s="15"/>
      <c r="AJ363" s="15"/>
      <c r="AK363" s="15"/>
      <c r="AL363" s="21"/>
      <c r="AM363" s="15"/>
      <c r="AN363" s="15"/>
      <c r="AO363" s="15"/>
      <c r="AP363" s="15"/>
      <c r="AQ363" s="15"/>
      <c r="AR363" s="15"/>
      <c r="AS363" s="15"/>
      <c r="AT363" s="19" t="str">
        <f>IF(COUNTA(A363:I363)+COUNTA(N363:X363)+COUNTA(AA363:AE363)+COUNTA(AH363:AS363)=0,"",IF(AND(A363&lt;&gt;"",E363&lt;&gt;"",OR(F363&lt;&gt;"",G363&lt;&gt;""),H363&lt;&gt;"",I363&lt;&gt;"",J363&lt;&gt;"No en catálogo",S363&lt;&gt;"",T363&lt;&gt;"",U363&lt;&gt;"",V363&lt;&gt;"",OR(AR363&lt;&gt;"",AND(W363&lt;&gt;"",X363&lt;&gt;"",AA363&lt;&gt;"",AB363&lt;&gt;"")),OR(AS363&lt;&gt;"",AND(AD363&lt;&gt;"",AE363&lt;&gt;"",AH363&lt;&gt;"",AI363&lt;&gt;"")),AK363&lt;&gt;"",OR(AK363&lt;&gt;"programado",AL363&lt;&gt;""),OR(AM363&lt;&gt;"específica",AN363&lt;&gt;""),OR(AO363&lt;&gt;"específica",AP363&lt;&gt;"")),"OK","Revisar"))</f>
        <v/>
      </c>
    </row>
    <row r="364" ht="15" customHeight="1" spans="1:46" x14ac:dyDescent="0.25">
      <c r="A364" s="15"/>
      <c r="B364" s="15"/>
      <c r="C364" s="15"/>
      <c r="D364" s="15"/>
      <c r="E364" s="15"/>
      <c r="F364" s="15"/>
      <c r="G364" s="15"/>
      <c r="H364" s="15"/>
      <c r="I364" s="15"/>
      <c r="J364" s="19">
        <f>IF(OR(H364="",I364=""),"",IFERROR(INDEX(Catalogo_Vehiculos!$C$2:$C$1325,MATCH(TRUE(),INDEX(Catalogo_Vehiculos!$G$2:$G$1325=H364&amp;"|"&amp;I364,0),0)),"No en catálogo"))</f>
      </c>
      <c r="K364" s="19">
        <f>IF(OR(H364="",I364=""),"",IFERROR(INDEX(Catalogo_Vehiculos!$D$2:$D$1325,MATCH(TRUE(),INDEX(Catalogo_Vehiculos!$G$2:$G$1325=H364&amp;"|"&amp;I364,0),0)),"No en catálogo"))</f>
      </c>
      <c r="L364" s="19">
        <f>IF(OR(H364="",I364=""),"",IFERROR(INDEX(Catalogo_Vehiculos!$E$2:$E$1325,MATCH(TRUE(),INDEX(Catalogo_Vehiculos!$G$2:$G$1325=H364&amp;"|"&amp;I364,0),0)),"No en catálogo"))</f>
      </c>
      <c r="M364" s="19">
        <f>IF(OR(H364="",I364=""),"",IFERROR(INDEX(Catalogo_Vehiculos!$F$2:$F$1325,MATCH(TRUE(),INDEX(Catalogo_Vehiculos!$G$2:$G$1325=H364&amp;"|"&amp;I364,0),0)),"No en catálogo"))</f>
      </c>
      <c r="N364" s="20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9"/>
      <c r="Z364" s="19"/>
      <c r="AA364" s="15"/>
      <c r="AB364" s="15"/>
      <c r="AC364" s="15"/>
      <c r="AD364" s="15"/>
      <c r="AE364" s="15"/>
      <c r="AF364" s="19"/>
      <c r="AG364" s="19"/>
      <c r="AH364" s="15"/>
      <c r="AI364" s="15"/>
      <c r="AJ364" s="15"/>
      <c r="AK364" s="15"/>
      <c r="AL364" s="21"/>
      <c r="AM364" s="15"/>
      <c r="AN364" s="15"/>
      <c r="AO364" s="15"/>
      <c r="AP364" s="15"/>
      <c r="AQ364" s="15"/>
      <c r="AR364" s="15"/>
      <c r="AS364" s="15"/>
      <c r="AT364" s="19" t="str">
        <f>IF(COUNTA(A364:I364)+COUNTA(N364:X364)+COUNTA(AA364:AE364)+COUNTA(AH364:AS364)=0,"",IF(AND(A364&lt;&gt;"",E364&lt;&gt;"",OR(F364&lt;&gt;"",G364&lt;&gt;""),H364&lt;&gt;"",I364&lt;&gt;"",J364&lt;&gt;"No en catálogo",S364&lt;&gt;"",T364&lt;&gt;"",U364&lt;&gt;"",V364&lt;&gt;"",OR(AR364&lt;&gt;"",AND(W364&lt;&gt;"",X364&lt;&gt;"",AA364&lt;&gt;"",AB364&lt;&gt;"")),OR(AS364&lt;&gt;"",AND(AD364&lt;&gt;"",AE364&lt;&gt;"",AH364&lt;&gt;"",AI364&lt;&gt;"")),AK364&lt;&gt;"",OR(AK364&lt;&gt;"programado",AL364&lt;&gt;""),OR(AM364&lt;&gt;"específica",AN364&lt;&gt;""),OR(AO364&lt;&gt;"específica",AP364&lt;&gt;"")),"OK","Revisar"))</f>
        <v/>
      </c>
    </row>
    <row r="365" ht="15" customHeight="1" spans="1:46" x14ac:dyDescent="0.25">
      <c r="A365" s="15"/>
      <c r="B365" s="15"/>
      <c r="C365" s="15"/>
      <c r="D365" s="15"/>
      <c r="E365" s="15"/>
      <c r="F365" s="15"/>
      <c r="G365" s="15"/>
      <c r="H365" s="15"/>
      <c r="I365" s="15"/>
      <c r="J365" s="19">
        <f>IF(OR(H365="",I365=""),"",IFERROR(INDEX(Catalogo_Vehiculos!$C$2:$C$1325,MATCH(TRUE(),INDEX(Catalogo_Vehiculos!$G$2:$G$1325=H365&amp;"|"&amp;I365,0),0)),"No en catálogo"))</f>
      </c>
      <c r="K365" s="19">
        <f>IF(OR(H365="",I365=""),"",IFERROR(INDEX(Catalogo_Vehiculos!$D$2:$D$1325,MATCH(TRUE(),INDEX(Catalogo_Vehiculos!$G$2:$G$1325=H365&amp;"|"&amp;I365,0),0)),"No en catálogo"))</f>
      </c>
      <c r="L365" s="19">
        <f>IF(OR(H365="",I365=""),"",IFERROR(INDEX(Catalogo_Vehiculos!$E$2:$E$1325,MATCH(TRUE(),INDEX(Catalogo_Vehiculos!$G$2:$G$1325=H365&amp;"|"&amp;I365,0),0)),"No en catálogo"))</f>
      </c>
      <c r="M365" s="19">
        <f>IF(OR(H365="",I365=""),"",IFERROR(INDEX(Catalogo_Vehiculos!$F$2:$F$1325,MATCH(TRUE(),INDEX(Catalogo_Vehiculos!$G$2:$G$1325=H365&amp;"|"&amp;I365,0),0)),"No en catálogo"))</f>
      </c>
      <c r="N365" s="20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9"/>
      <c r="Z365" s="19"/>
      <c r="AA365" s="15"/>
      <c r="AB365" s="15"/>
      <c r="AC365" s="15"/>
      <c r="AD365" s="15"/>
      <c r="AE365" s="15"/>
      <c r="AF365" s="19"/>
      <c r="AG365" s="19"/>
      <c r="AH365" s="15"/>
      <c r="AI365" s="15"/>
      <c r="AJ365" s="15"/>
      <c r="AK365" s="15"/>
      <c r="AL365" s="21"/>
      <c r="AM365" s="15"/>
      <c r="AN365" s="15"/>
      <c r="AO365" s="15"/>
      <c r="AP365" s="15"/>
      <c r="AQ365" s="15"/>
      <c r="AR365" s="15"/>
      <c r="AS365" s="15"/>
      <c r="AT365" s="19" t="str">
        <f>IF(COUNTA(A365:I365)+COUNTA(N365:X365)+COUNTA(AA365:AE365)+COUNTA(AH365:AS365)=0,"",IF(AND(A365&lt;&gt;"",E365&lt;&gt;"",OR(F365&lt;&gt;"",G365&lt;&gt;""),H365&lt;&gt;"",I365&lt;&gt;"",J365&lt;&gt;"No en catálogo",S365&lt;&gt;"",T365&lt;&gt;"",U365&lt;&gt;"",V365&lt;&gt;"",OR(AR365&lt;&gt;"",AND(W365&lt;&gt;"",X365&lt;&gt;"",AA365&lt;&gt;"",AB365&lt;&gt;"")),OR(AS365&lt;&gt;"",AND(AD365&lt;&gt;"",AE365&lt;&gt;"",AH365&lt;&gt;"",AI365&lt;&gt;"")),AK365&lt;&gt;"",OR(AK365&lt;&gt;"programado",AL365&lt;&gt;""),OR(AM365&lt;&gt;"específica",AN365&lt;&gt;""),OR(AO365&lt;&gt;"específica",AP365&lt;&gt;"")),"OK","Revisar"))</f>
        <v/>
      </c>
    </row>
    <row r="366" ht="15" customHeight="1" spans="1:46" x14ac:dyDescent="0.25">
      <c r="A366" s="15"/>
      <c r="B366" s="15"/>
      <c r="C366" s="15"/>
      <c r="D366" s="15"/>
      <c r="E366" s="15"/>
      <c r="F366" s="15"/>
      <c r="G366" s="15"/>
      <c r="H366" s="15"/>
      <c r="I366" s="15"/>
      <c r="J366" s="19">
        <f>IF(OR(H366="",I366=""),"",IFERROR(INDEX(Catalogo_Vehiculos!$C$2:$C$1325,MATCH(TRUE(),INDEX(Catalogo_Vehiculos!$G$2:$G$1325=H366&amp;"|"&amp;I366,0),0)),"No en catálogo"))</f>
      </c>
      <c r="K366" s="19">
        <f>IF(OR(H366="",I366=""),"",IFERROR(INDEX(Catalogo_Vehiculos!$D$2:$D$1325,MATCH(TRUE(),INDEX(Catalogo_Vehiculos!$G$2:$G$1325=H366&amp;"|"&amp;I366,0),0)),"No en catálogo"))</f>
      </c>
      <c r="L366" s="19">
        <f>IF(OR(H366="",I366=""),"",IFERROR(INDEX(Catalogo_Vehiculos!$E$2:$E$1325,MATCH(TRUE(),INDEX(Catalogo_Vehiculos!$G$2:$G$1325=H366&amp;"|"&amp;I366,0),0)),"No en catálogo"))</f>
      </c>
      <c r="M366" s="19">
        <f>IF(OR(H366="",I366=""),"",IFERROR(INDEX(Catalogo_Vehiculos!$F$2:$F$1325,MATCH(TRUE(),INDEX(Catalogo_Vehiculos!$G$2:$G$1325=H366&amp;"|"&amp;I366,0),0)),"No en catálogo"))</f>
      </c>
      <c r="N366" s="20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9"/>
      <c r="Z366" s="19"/>
      <c r="AA366" s="15"/>
      <c r="AB366" s="15"/>
      <c r="AC366" s="15"/>
      <c r="AD366" s="15"/>
      <c r="AE366" s="15"/>
      <c r="AF366" s="19"/>
      <c r="AG366" s="19"/>
      <c r="AH366" s="15"/>
      <c r="AI366" s="15"/>
      <c r="AJ366" s="15"/>
      <c r="AK366" s="15"/>
      <c r="AL366" s="21"/>
      <c r="AM366" s="15"/>
      <c r="AN366" s="15"/>
      <c r="AO366" s="15"/>
      <c r="AP366" s="15"/>
      <c r="AQ366" s="15"/>
      <c r="AR366" s="15"/>
      <c r="AS366" s="15"/>
      <c r="AT366" s="19" t="str">
        <f>IF(COUNTA(A366:I366)+COUNTA(N366:X366)+COUNTA(AA366:AE366)+COUNTA(AH366:AS366)=0,"",IF(AND(A366&lt;&gt;"",E366&lt;&gt;"",OR(F366&lt;&gt;"",G366&lt;&gt;""),H366&lt;&gt;"",I366&lt;&gt;"",J366&lt;&gt;"No en catálogo",S366&lt;&gt;"",T366&lt;&gt;"",U366&lt;&gt;"",V366&lt;&gt;"",OR(AR366&lt;&gt;"",AND(W366&lt;&gt;"",X366&lt;&gt;"",AA366&lt;&gt;"",AB366&lt;&gt;"")),OR(AS366&lt;&gt;"",AND(AD366&lt;&gt;"",AE366&lt;&gt;"",AH366&lt;&gt;"",AI366&lt;&gt;"")),AK366&lt;&gt;"",OR(AK366&lt;&gt;"programado",AL366&lt;&gt;""),OR(AM366&lt;&gt;"específica",AN366&lt;&gt;""),OR(AO366&lt;&gt;"específica",AP366&lt;&gt;"")),"OK","Revisar"))</f>
        <v/>
      </c>
    </row>
    <row r="367" ht="15" customHeight="1" spans="1:46" x14ac:dyDescent="0.25">
      <c r="A367" s="15"/>
      <c r="B367" s="15"/>
      <c r="C367" s="15"/>
      <c r="D367" s="15"/>
      <c r="E367" s="15"/>
      <c r="F367" s="15"/>
      <c r="G367" s="15"/>
      <c r="H367" s="15"/>
      <c r="I367" s="15"/>
      <c r="J367" s="19">
        <f>IF(OR(H367="",I367=""),"",IFERROR(INDEX(Catalogo_Vehiculos!$C$2:$C$1325,MATCH(TRUE(),INDEX(Catalogo_Vehiculos!$G$2:$G$1325=H367&amp;"|"&amp;I367,0),0)),"No en catálogo"))</f>
      </c>
      <c r="K367" s="19">
        <f>IF(OR(H367="",I367=""),"",IFERROR(INDEX(Catalogo_Vehiculos!$D$2:$D$1325,MATCH(TRUE(),INDEX(Catalogo_Vehiculos!$G$2:$G$1325=H367&amp;"|"&amp;I367,0),0)),"No en catálogo"))</f>
      </c>
      <c r="L367" s="19">
        <f>IF(OR(H367="",I367=""),"",IFERROR(INDEX(Catalogo_Vehiculos!$E$2:$E$1325,MATCH(TRUE(),INDEX(Catalogo_Vehiculos!$G$2:$G$1325=H367&amp;"|"&amp;I367,0),0)),"No en catálogo"))</f>
      </c>
      <c r="M367" s="19">
        <f>IF(OR(H367="",I367=""),"",IFERROR(INDEX(Catalogo_Vehiculos!$F$2:$F$1325,MATCH(TRUE(),INDEX(Catalogo_Vehiculos!$G$2:$G$1325=H367&amp;"|"&amp;I367,0),0)),"No en catálogo"))</f>
      </c>
      <c r="N367" s="20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9"/>
      <c r="Z367" s="19"/>
      <c r="AA367" s="15"/>
      <c r="AB367" s="15"/>
      <c r="AC367" s="15"/>
      <c r="AD367" s="15"/>
      <c r="AE367" s="15"/>
      <c r="AF367" s="19"/>
      <c r="AG367" s="19"/>
      <c r="AH367" s="15"/>
      <c r="AI367" s="15"/>
      <c r="AJ367" s="15"/>
      <c r="AK367" s="15"/>
      <c r="AL367" s="21"/>
      <c r="AM367" s="15"/>
      <c r="AN367" s="15"/>
      <c r="AO367" s="15"/>
      <c r="AP367" s="15"/>
      <c r="AQ367" s="15"/>
      <c r="AR367" s="15"/>
      <c r="AS367" s="15"/>
      <c r="AT367" s="19" t="str">
        <f>IF(COUNTA(A367:I367)+COUNTA(N367:X367)+COUNTA(AA367:AE367)+COUNTA(AH367:AS367)=0,"",IF(AND(A367&lt;&gt;"",E367&lt;&gt;"",OR(F367&lt;&gt;"",G367&lt;&gt;""),H367&lt;&gt;"",I367&lt;&gt;"",J367&lt;&gt;"No en catálogo",S367&lt;&gt;"",T367&lt;&gt;"",U367&lt;&gt;"",V367&lt;&gt;"",OR(AR367&lt;&gt;"",AND(W367&lt;&gt;"",X367&lt;&gt;"",AA367&lt;&gt;"",AB367&lt;&gt;"")),OR(AS367&lt;&gt;"",AND(AD367&lt;&gt;"",AE367&lt;&gt;"",AH367&lt;&gt;"",AI367&lt;&gt;"")),AK367&lt;&gt;"",OR(AK367&lt;&gt;"programado",AL367&lt;&gt;""),OR(AM367&lt;&gt;"específica",AN367&lt;&gt;""),OR(AO367&lt;&gt;"específica",AP367&lt;&gt;"")),"OK","Revisar"))</f>
        <v/>
      </c>
    </row>
    <row r="368" ht="15" customHeight="1" spans="1:46" x14ac:dyDescent="0.25">
      <c r="A368" s="15"/>
      <c r="B368" s="15"/>
      <c r="C368" s="15"/>
      <c r="D368" s="15"/>
      <c r="E368" s="15"/>
      <c r="F368" s="15"/>
      <c r="G368" s="15"/>
      <c r="H368" s="15"/>
      <c r="I368" s="15"/>
      <c r="J368" s="19">
        <f>IF(OR(H368="",I368=""),"",IFERROR(INDEX(Catalogo_Vehiculos!$C$2:$C$1325,MATCH(TRUE(),INDEX(Catalogo_Vehiculos!$G$2:$G$1325=H368&amp;"|"&amp;I368,0),0)),"No en catálogo"))</f>
      </c>
      <c r="K368" s="19">
        <f>IF(OR(H368="",I368=""),"",IFERROR(INDEX(Catalogo_Vehiculos!$D$2:$D$1325,MATCH(TRUE(),INDEX(Catalogo_Vehiculos!$G$2:$G$1325=H368&amp;"|"&amp;I368,0),0)),"No en catálogo"))</f>
      </c>
      <c r="L368" s="19">
        <f>IF(OR(H368="",I368=""),"",IFERROR(INDEX(Catalogo_Vehiculos!$E$2:$E$1325,MATCH(TRUE(),INDEX(Catalogo_Vehiculos!$G$2:$G$1325=H368&amp;"|"&amp;I368,0),0)),"No en catálogo"))</f>
      </c>
      <c r="M368" s="19">
        <f>IF(OR(H368="",I368=""),"",IFERROR(INDEX(Catalogo_Vehiculos!$F$2:$F$1325,MATCH(TRUE(),INDEX(Catalogo_Vehiculos!$G$2:$G$1325=H368&amp;"|"&amp;I368,0),0)),"No en catálogo"))</f>
      </c>
      <c r="N368" s="20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9"/>
      <c r="Z368" s="19"/>
      <c r="AA368" s="15"/>
      <c r="AB368" s="15"/>
      <c r="AC368" s="15"/>
      <c r="AD368" s="15"/>
      <c r="AE368" s="15"/>
      <c r="AF368" s="19"/>
      <c r="AG368" s="19"/>
      <c r="AH368" s="15"/>
      <c r="AI368" s="15"/>
      <c r="AJ368" s="15"/>
      <c r="AK368" s="15"/>
      <c r="AL368" s="21"/>
      <c r="AM368" s="15"/>
      <c r="AN368" s="15"/>
      <c r="AO368" s="15"/>
      <c r="AP368" s="15"/>
      <c r="AQ368" s="15"/>
      <c r="AR368" s="15"/>
      <c r="AS368" s="15"/>
      <c r="AT368" s="19" t="str">
        <f>IF(COUNTA(A368:I368)+COUNTA(N368:X368)+COUNTA(AA368:AE368)+COUNTA(AH368:AS368)=0,"",IF(AND(A368&lt;&gt;"",E368&lt;&gt;"",OR(F368&lt;&gt;"",G368&lt;&gt;""),H368&lt;&gt;"",I368&lt;&gt;"",J368&lt;&gt;"No en catálogo",S368&lt;&gt;"",T368&lt;&gt;"",U368&lt;&gt;"",V368&lt;&gt;"",OR(AR368&lt;&gt;"",AND(W368&lt;&gt;"",X368&lt;&gt;"",AA368&lt;&gt;"",AB368&lt;&gt;"")),OR(AS368&lt;&gt;"",AND(AD368&lt;&gt;"",AE368&lt;&gt;"",AH368&lt;&gt;"",AI368&lt;&gt;"")),AK368&lt;&gt;"",OR(AK368&lt;&gt;"programado",AL368&lt;&gt;""),OR(AM368&lt;&gt;"específica",AN368&lt;&gt;""),OR(AO368&lt;&gt;"específica",AP368&lt;&gt;"")),"OK","Revisar"))</f>
        <v/>
      </c>
    </row>
    <row r="369" ht="15" customHeight="1" spans="1:46" x14ac:dyDescent="0.25">
      <c r="A369" s="15"/>
      <c r="B369" s="15"/>
      <c r="C369" s="15"/>
      <c r="D369" s="15"/>
      <c r="E369" s="15"/>
      <c r="F369" s="15"/>
      <c r="G369" s="15"/>
      <c r="H369" s="15"/>
      <c r="I369" s="15"/>
      <c r="J369" s="19">
        <f>IF(OR(H369="",I369=""),"",IFERROR(INDEX(Catalogo_Vehiculos!$C$2:$C$1325,MATCH(TRUE(),INDEX(Catalogo_Vehiculos!$G$2:$G$1325=H369&amp;"|"&amp;I369,0),0)),"No en catálogo"))</f>
      </c>
      <c r="K369" s="19">
        <f>IF(OR(H369="",I369=""),"",IFERROR(INDEX(Catalogo_Vehiculos!$D$2:$D$1325,MATCH(TRUE(),INDEX(Catalogo_Vehiculos!$G$2:$G$1325=H369&amp;"|"&amp;I369,0),0)),"No en catálogo"))</f>
      </c>
      <c r="L369" s="19">
        <f>IF(OR(H369="",I369=""),"",IFERROR(INDEX(Catalogo_Vehiculos!$E$2:$E$1325,MATCH(TRUE(),INDEX(Catalogo_Vehiculos!$G$2:$G$1325=H369&amp;"|"&amp;I369,0),0)),"No en catálogo"))</f>
      </c>
      <c r="M369" s="19">
        <f>IF(OR(H369="",I369=""),"",IFERROR(INDEX(Catalogo_Vehiculos!$F$2:$F$1325,MATCH(TRUE(),INDEX(Catalogo_Vehiculos!$G$2:$G$1325=H369&amp;"|"&amp;I369,0),0)),"No en catálogo"))</f>
      </c>
      <c r="N369" s="20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9"/>
      <c r="Z369" s="19"/>
      <c r="AA369" s="15"/>
      <c r="AB369" s="15"/>
      <c r="AC369" s="15"/>
      <c r="AD369" s="15"/>
      <c r="AE369" s="15"/>
      <c r="AF369" s="19"/>
      <c r="AG369" s="19"/>
      <c r="AH369" s="15"/>
      <c r="AI369" s="15"/>
      <c r="AJ369" s="15"/>
      <c r="AK369" s="15"/>
      <c r="AL369" s="21"/>
      <c r="AM369" s="15"/>
      <c r="AN369" s="15"/>
      <c r="AO369" s="15"/>
      <c r="AP369" s="15"/>
      <c r="AQ369" s="15"/>
      <c r="AR369" s="15"/>
      <c r="AS369" s="15"/>
      <c r="AT369" s="19" t="str">
        <f>IF(COUNTA(A369:I369)+COUNTA(N369:X369)+COUNTA(AA369:AE369)+COUNTA(AH369:AS369)=0,"",IF(AND(A369&lt;&gt;"",E369&lt;&gt;"",OR(F369&lt;&gt;"",G369&lt;&gt;""),H369&lt;&gt;"",I369&lt;&gt;"",J369&lt;&gt;"No en catálogo",S369&lt;&gt;"",T369&lt;&gt;"",U369&lt;&gt;"",V369&lt;&gt;"",OR(AR369&lt;&gt;"",AND(W369&lt;&gt;"",X369&lt;&gt;"",AA369&lt;&gt;"",AB369&lt;&gt;"")),OR(AS369&lt;&gt;"",AND(AD369&lt;&gt;"",AE369&lt;&gt;"",AH369&lt;&gt;"",AI369&lt;&gt;"")),AK369&lt;&gt;"",OR(AK369&lt;&gt;"programado",AL369&lt;&gt;""),OR(AM369&lt;&gt;"específica",AN369&lt;&gt;""),OR(AO369&lt;&gt;"específica",AP369&lt;&gt;"")),"OK","Revisar"))</f>
        <v/>
      </c>
    </row>
    <row r="370" ht="15" customHeight="1" spans="1:46" x14ac:dyDescent="0.25">
      <c r="A370" s="15"/>
      <c r="B370" s="15"/>
      <c r="C370" s="15"/>
      <c r="D370" s="15"/>
      <c r="E370" s="15"/>
      <c r="F370" s="15"/>
      <c r="G370" s="15"/>
      <c r="H370" s="15"/>
      <c r="I370" s="15"/>
      <c r="J370" s="19">
        <f>IF(OR(H370="",I370=""),"",IFERROR(INDEX(Catalogo_Vehiculos!$C$2:$C$1325,MATCH(TRUE(),INDEX(Catalogo_Vehiculos!$G$2:$G$1325=H370&amp;"|"&amp;I370,0),0)),"No en catálogo"))</f>
      </c>
      <c r="K370" s="19">
        <f>IF(OR(H370="",I370=""),"",IFERROR(INDEX(Catalogo_Vehiculos!$D$2:$D$1325,MATCH(TRUE(),INDEX(Catalogo_Vehiculos!$G$2:$G$1325=H370&amp;"|"&amp;I370,0),0)),"No en catálogo"))</f>
      </c>
      <c r="L370" s="19">
        <f>IF(OR(H370="",I370=""),"",IFERROR(INDEX(Catalogo_Vehiculos!$E$2:$E$1325,MATCH(TRUE(),INDEX(Catalogo_Vehiculos!$G$2:$G$1325=H370&amp;"|"&amp;I370,0),0)),"No en catálogo"))</f>
      </c>
      <c r="M370" s="19">
        <f>IF(OR(H370="",I370=""),"",IFERROR(INDEX(Catalogo_Vehiculos!$F$2:$F$1325,MATCH(TRUE(),INDEX(Catalogo_Vehiculos!$G$2:$G$1325=H370&amp;"|"&amp;I370,0),0)),"No en catálogo"))</f>
      </c>
      <c r="N370" s="20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9"/>
      <c r="Z370" s="19"/>
      <c r="AA370" s="15"/>
      <c r="AB370" s="15"/>
      <c r="AC370" s="15"/>
      <c r="AD370" s="15"/>
      <c r="AE370" s="15"/>
      <c r="AF370" s="19"/>
      <c r="AG370" s="19"/>
      <c r="AH370" s="15"/>
      <c r="AI370" s="15"/>
      <c r="AJ370" s="15"/>
      <c r="AK370" s="15"/>
      <c r="AL370" s="21"/>
      <c r="AM370" s="15"/>
      <c r="AN370" s="15"/>
      <c r="AO370" s="15"/>
      <c r="AP370" s="15"/>
      <c r="AQ370" s="15"/>
      <c r="AR370" s="15"/>
      <c r="AS370" s="15"/>
      <c r="AT370" s="19" t="str">
        <f>IF(COUNTA(A370:I370)+COUNTA(N370:X370)+COUNTA(AA370:AE370)+COUNTA(AH370:AS370)=0,"",IF(AND(A370&lt;&gt;"",E370&lt;&gt;"",OR(F370&lt;&gt;"",G370&lt;&gt;""),H370&lt;&gt;"",I370&lt;&gt;"",J370&lt;&gt;"No en catálogo",S370&lt;&gt;"",T370&lt;&gt;"",U370&lt;&gt;"",V370&lt;&gt;"",OR(AR370&lt;&gt;"",AND(W370&lt;&gt;"",X370&lt;&gt;"",AA370&lt;&gt;"",AB370&lt;&gt;"")),OR(AS370&lt;&gt;"",AND(AD370&lt;&gt;"",AE370&lt;&gt;"",AH370&lt;&gt;"",AI370&lt;&gt;"")),AK370&lt;&gt;"",OR(AK370&lt;&gt;"programado",AL370&lt;&gt;""),OR(AM370&lt;&gt;"específica",AN370&lt;&gt;""),OR(AO370&lt;&gt;"específica",AP370&lt;&gt;"")),"OK","Revisar"))</f>
        <v/>
      </c>
    </row>
    <row r="371" ht="15" customHeight="1" spans="1:46" x14ac:dyDescent="0.25">
      <c r="A371" s="15"/>
      <c r="B371" s="15"/>
      <c r="C371" s="15"/>
      <c r="D371" s="15"/>
      <c r="E371" s="15"/>
      <c r="F371" s="15"/>
      <c r="G371" s="15"/>
      <c r="H371" s="15"/>
      <c r="I371" s="15"/>
      <c r="J371" s="19">
        <f>IF(OR(H371="",I371=""),"",IFERROR(INDEX(Catalogo_Vehiculos!$C$2:$C$1325,MATCH(TRUE(),INDEX(Catalogo_Vehiculos!$G$2:$G$1325=H371&amp;"|"&amp;I371,0),0)),"No en catálogo"))</f>
      </c>
      <c r="K371" s="19">
        <f>IF(OR(H371="",I371=""),"",IFERROR(INDEX(Catalogo_Vehiculos!$D$2:$D$1325,MATCH(TRUE(),INDEX(Catalogo_Vehiculos!$G$2:$G$1325=H371&amp;"|"&amp;I371,0),0)),"No en catálogo"))</f>
      </c>
      <c r="L371" s="19">
        <f>IF(OR(H371="",I371=""),"",IFERROR(INDEX(Catalogo_Vehiculos!$E$2:$E$1325,MATCH(TRUE(),INDEX(Catalogo_Vehiculos!$G$2:$G$1325=H371&amp;"|"&amp;I371,0),0)),"No en catálogo"))</f>
      </c>
      <c r="M371" s="19">
        <f>IF(OR(H371="",I371=""),"",IFERROR(INDEX(Catalogo_Vehiculos!$F$2:$F$1325,MATCH(TRUE(),INDEX(Catalogo_Vehiculos!$G$2:$G$1325=H371&amp;"|"&amp;I371,0),0)),"No en catálogo"))</f>
      </c>
      <c r="N371" s="20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9"/>
      <c r="Z371" s="19"/>
      <c r="AA371" s="15"/>
      <c r="AB371" s="15"/>
      <c r="AC371" s="15"/>
      <c r="AD371" s="15"/>
      <c r="AE371" s="15"/>
      <c r="AF371" s="19"/>
      <c r="AG371" s="19"/>
      <c r="AH371" s="15"/>
      <c r="AI371" s="15"/>
      <c r="AJ371" s="15"/>
      <c r="AK371" s="15"/>
      <c r="AL371" s="21"/>
      <c r="AM371" s="15"/>
      <c r="AN371" s="15"/>
      <c r="AO371" s="15"/>
      <c r="AP371" s="15"/>
      <c r="AQ371" s="15"/>
      <c r="AR371" s="15"/>
      <c r="AS371" s="15"/>
      <c r="AT371" s="19" t="str">
        <f>IF(COUNTA(A371:I371)+COUNTA(N371:X371)+COUNTA(AA371:AE371)+COUNTA(AH371:AS371)=0,"",IF(AND(A371&lt;&gt;"",E371&lt;&gt;"",OR(F371&lt;&gt;"",G371&lt;&gt;""),H371&lt;&gt;"",I371&lt;&gt;"",J371&lt;&gt;"No en catálogo",S371&lt;&gt;"",T371&lt;&gt;"",U371&lt;&gt;"",V371&lt;&gt;"",OR(AR371&lt;&gt;"",AND(W371&lt;&gt;"",X371&lt;&gt;"",AA371&lt;&gt;"",AB371&lt;&gt;"")),OR(AS371&lt;&gt;"",AND(AD371&lt;&gt;"",AE371&lt;&gt;"",AH371&lt;&gt;"",AI371&lt;&gt;"")),AK371&lt;&gt;"",OR(AK371&lt;&gt;"programado",AL371&lt;&gt;""),OR(AM371&lt;&gt;"específica",AN371&lt;&gt;""),OR(AO371&lt;&gt;"específica",AP371&lt;&gt;"")),"OK","Revisar"))</f>
        <v/>
      </c>
    </row>
    <row r="372" ht="15" customHeight="1" spans="1:46" x14ac:dyDescent="0.25">
      <c r="A372" s="15"/>
      <c r="B372" s="15"/>
      <c r="C372" s="15"/>
      <c r="D372" s="15"/>
      <c r="E372" s="15"/>
      <c r="F372" s="15"/>
      <c r="G372" s="15"/>
      <c r="H372" s="15"/>
      <c r="I372" s="15"/>
      <c r="J372" s="19">
        <f>IF(OR(H372="",I372=""),"",IFERROR(INDEX(Catalogo_Vehiculos!$C$2:$C$1325,MATCH(TRUE(),INDEX(Catalogo_Vehiculos!$G$2:$G$1325=H372&amp;"|"&amp;I372,0),0)),"No en catálogo"))</f>
      </c>
      <c r="K372" s="19">
        <f>IF(OR(H372="",I372=""),"",IFERROR(INDEX(Catalogo_Vehiculos!$D$2:$D$1325,MATCH(TRUE(),INDEX(Catalogo_Vehiculos!$G$2:$G$1325=H372&amp;"|"&amp;I372,0),0)),"No en catálogo"))</f>
      </c>
      <c r="L372" s="19">
        <f>IF(OR(H372="",I372=""),"",IFERROR(INDEX(Catalogo_Vehiculos!$E$2:$E$1325,MATCH(TRUE(),INDEX(Catalogo_Vehiculos!$G$2:$G$1325=H372&amp;"|"&amp;I372,0),0)),"No en catálogo"))</f>
      </c>
      <c r="M372" s="19">
        <f>IF(OR(H372="",I372=""),"",IFERROR(INDEX(Catalogo_Vehiculos!$F$2:$F$1325,MATCH(TRUE(),INDEX(Catalogo_Vehiculos!$G$2:$G$1325=H372&amp;"|"&amp;I372,0),0)),"No en catálogo"))</f>
      </c>
      <c r="N372" s="20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9"/>
      <c r="Z372" s="19"/>
      <c r="AA372" s="15"/>
      <c r="AB372" s="15"/>
      <c r="AC372" s="15"/>
      <c r="AD372" s="15"/>
      <c r="AE372" s="15"/>
      <c r="AF372" s="19"/>
      <c r="AG372" s="19"/>
      <c r="AH372" s="15"/>
      <c r="AI372" s="15"/>
      <c r="AJ372" s="15"/>
      <c r="AK372" s="15"/>
      <c r="AL372" s="21"/>
      <c r="AM372" s="15"/>
      <c r="AN372" s="15"/>
      <c r="AO372" s="15"/>
      <c r="AP372" s="15"/>
      <c r="AQ372" s="15"/>
      <c r="AR372" s="15"/>
      <c r="AS372" s="15"/>
      <c r="AT372" s="19" t="str">
        <f>IF(COUNTA(A372:I372)+COUNTA(N372:X372)+COUNTA(AA372:AE372)+COUNTA(AH372:AS372)=0,"",IF(AND(A372&lt;&gt;"",E372&lt;&gt;"",OR(F372&lt;&gt;"",G372&lt;&gt;""),H372&lt;&gt;"",I372&lt;&gt;"",J372&lt;&gt;"No en catálogo",S372&lt;&gt;"",T372&lt;&gt;"",U372&lt;&gt;"",V372&lt;&gt;"",OR(AR372&lt;&gt;"",AND(W372&lt;&gt;"",X372&lt;&gt;"",AA372&lt;&gt;"",AB372&lt;&gt;"")),OR(AS372&lt;&gt;"",AND(AD372&lt;&gt;"",AE372&lt;&gt;"",AH372&lt;&gt;"",AI372&lt;&gt;"")),AK372&lt;&gt;"",OR(AK372&lt;&gt;"programado",AL372&lt;&gt;""),OR(AM372&lt;&gt;"específica",AN372&lt;&gt;""),OR(AO372&lt;&gt;"específica",AP372&lt;&gt;"")),"OK","Revisar"))</f>
        <v/>
      </c>
    </row>
    <row r="373" ht="15" customHeight="1" spans="1:46" x14ac:dyDescent="0.25">
      <c r="A373" s="15"/>
      <c r="B373" s="15"/>
      <c r="C373" s="15"/>
      <c r="D373" s="15"/>
      <c r="E373" s="15"/>
      <c r="F373" s="15"/>
      <c r="G373" s="15"/>
      <c r="H373" s="15"/>
      <c r="I373" s="15"/>
      <c r="J373" s="19">
        <f>IF(OR(H373="",I373=""),"",IFERROR(INDEX(Catalogo_Vehiculos!$C$2:$C$1325,MATCH(TRUE(),INDEX(Catalogo_Vehiculos!$G$2:$G$1325=H373&amp;"|"&amp;I373,0),0)),"No en catálogo"))</f>
      </c>
      <c r="K373" s="19">
        <f>IF(OR(H373="",I373=""),"",IFERROR(INDEX(Catalogo_Vehiculos!$D$2:$D$1325,MATCH(TRUE(),INDEX(Catalogo_Vehiculos!$G$2:$G$1325=H373&amp;"|"&amp;I373,0),0)),"No en catálogo"))</f>
      </c>
      <c r="L373" s="19">
        <f>IF(OR(H373="",I373=""),"",IFERROR(INDEX(Catalogo_Vehiculos!$E$2:$E$1325,MATCH(TRUE(),INDEX(Catalogo_Vehiculos!$G$2:$G$1325=H373&amp;"|"&amp;I373,0),0)),"No en catálogo"))</f>
      </c>
      <c r="M373" s="19">
        <f>IF(OR(H373="",I373=""),"",IFERROR(INDEX(Catalogo_Vehiculos!$F$2:$F$1325,MATCH(TRUE(),INDEX(Catalogo_Vehiculos!$G$2:$G$1325=H373&amp;"|"&amp;I373,0),0)),"No en catálogo"))</f>
      </c>
      <c r="N373" s="20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9"/>
      <c r="Z373" s="19"/>
      <c r="AA373" s="15"/>
      <c r="AB373" s="15"/>
      <c r="AC373" s="15"/>
      <c r="AD373" s="15"/>
      <c r="AE373" s="15"/>
      <c r="AF373" s="19"/>
      <c r="AG373" s="19"/>
      <c r="AH373" s="15"/>
      <c r="AI373" s="15"/>
      <c r="AJ373" s="15"/>
      <c r="AK373" s="15"/>
      <c r="AL373" s="21"/>
      <c r="AM373" s="15"/>
      <c r="AN373" s="15"/>
      <c r="AO373" s="15"/>
      <c r="AP373" s="15"/>
      <c r="AQ373" s="15"/>
      <c r="AR373" s="15"/>
      <c r="AS373" s="15"/>
      <c r="AT373" s="19" t="str">
        <f>IF(COUNTA(A373:I373)+COUNTA(N373:X373)+COUNTA(AA373:AE373)+COUNTA(AH373:AS373)=0,"",IF(AND(A373&lt;&gt;"",E373&lt;&gt;"",OR(F373&lt;&gt;"",G373&lt;&gt;""),H373&lt;&gt;"",I373&lt;&gt;"",J373&lt;&gt;"No en catálogo",S373&lt;&gt;"",T373&lt;&gt;"",U373&lt;&gt;"",V373&lt;&gt;"",OR(AR373&lt;&gt;"",AND(W373&lt;&gt;"",X373&lt;&gt;"",AA373&lt;&gt;"",AB373&lt;&gt;"")),OR(AS373&lt;&gt;"",AND(AD373&lt;&gt;"",AE373&lt;&gt;"",AH373&lt;&gt;"",AI373&lt;&gt;"")),AK373&lt;&gt;"",OR(AK373&lt;&gt;"programado",AL373&lt;&gt;""),OR(AM373&lt;&gt;"específica",AN373&lt;&gt;""),OR(AO373&lt;&gt;"específica",AP373&lt;&gt;"")),"OK","Revisar"))</f>
        <v/>
      </c>
    </row>
    <row r="374" ht="15" customHeight="1" spans="1:46" x14ac:dyDescent="0.25">
      <c r="A374" s="15"/>
      <c r="B374" s="15"/>
      <c r="C374" s="15"/>
      <c r="D374" s="15"/>
      <c r="E374" s="15"/>
      <c r="F374" s="15"/>
      <c r="G374" s="15"/>
      <c r="H374" s="15"/>
      <c r="I374" s="15"/>
      <c r="J374" s="19">
        <f>IF(OR(H374="",I374=""),"",IFERROR(INDEX(Catalogo_Vehiculos!$C$2:$C$1325,MATCH(TRUE(),INDEX(Catalogo_Vehiculos!$G$2:$G$1325=H374&amp;"|"&amp;I374,0),0)),"No en catálogo"))</f>
      </c>
      <c r="K374" s="19">
        <f>IF(OR(H374="",I374=""),"",IFERROR(INDEX(Catalogo_Vehiculos!$D$2:$D$1325,MATCH(TRUE(),INDEX(Catalogo_Vehiculos!$G$2:$G$1325=H374&amp;"|"&amp;I374,0),0)),"No en catálogo"))</f>
      </c>
      <c r="L374" s="19">
        <f>IF(OR(H374="",I374=""),"",IFERROR(INDEX(Catalogo_Vehiculos!$E$2:$E$1325,MATCH(TRUE(),INDEX(Catalogo_Vehiculos!$G$2:$G$1325=H374&amp;"|"&amp;I374,0),0)),"No en catálogo"))</f>
      </c>
      <c r="M374" s="19">
        <f>IF(OR(H374="",I374=""),"",IFERROR(INDEX(Catalogo_Vehiculos!$F$2:$F$1325,MATCH(TRUE(),INDEX(Catalogo_Vehiculos!$G$2:$G$1325=H374&amp;"|"&amp;I374,0),0)),"No en catálogo"))</f>
      </c>
      <c r="N374" s="20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9"/>
      <c r="Z374" s="19"/>
      <c r="AA374" s="15"/>
      <c r="AB374" s="15"/>
      <c r="AC374" s="15"/>
      <c r="AD374" s="15"/>
      <c r="AE374" s="15"/>
      <c r="AF374" s="19"/>
      <c r="AG374" s="19"/>
      <c r="AH374" s="15"/>
      <c r="AI374" s="15"/>
      <c r="AJ374" s="15"/>
      <c r="AK374" s="15"/>
      <c r="AL374" s="21"/>
      <c r="AM374" s="15"/>
      <c r="AN374" s="15"/>
      <c r="AO374" s="15"/>
      <c r="AP374" s="15"/>
      <c r="AQ374" s="15"/>
      <c r="AR374" s="15"/>
      <c r="AS374" s="15"/>
      <c r="AT374" s="19" t="str">
        <f>IF(COUNTA(A374:I374)+COUNTA(N374:X374)+COUNTA(AA374:AE374)+COUNTA(AH374:AS374)=0,"",IF(AND(A374&lt;&gt;"",E374&lt;&gt;"",OR(F374&lt;&gt;"",G374&lt;&gt;""),H374&lt;&gt;"",I374&lt;&gt;"",J374&lt;&gt;"No en catálogo",S374&lt;&gt;"",T374&lt;&gt;"",U374&lt;&gt;"",V374&lt;&gt;"",OR(AR374&lt;&gt;"",AND(W374&lt;&gt;"",X374&lt;&gt;"",AA374&lt;&gt;"",AB374&lt;&gt;"")),OR(AS374&lt;&gt;"",AND(AD374&lt;&gt;"",AE374&lt;&gt;"",AH374&lt;&gt;"",AI374&lt;&gt;"")),AK374&lt;&gt;"",OR(AK374&lt;&gt;"programado",AL374&lt;&gt;""),OR(AM374&lt;&gt;"específica",AN374&lt;&gt;""),OR(AO374&lt;&gt;"específica",AP374&lt;&gt;"")),"OK","Revisar"))</f>
        <v/>
      </c>
    </row>
    <row r="375" ht="15" customHeight="1" spans="1:46" x14ac:dyDescent="0.25">
      <c r="A375" s="15"/>
      <c r="B375" s="15"/>
      <c r="C375" s="15"/>
      <c r="D375" s="15"/>
      <c r="E375" s="15"/>
      <c r="F375" s="15"/>
      <c r="G375" s="15"/>
      <c r="H375" s="15"/>
      <c r="I375" s="15"/>
      <c r="J375" s="19">
        <f>IF(OR(H375="",I375=""),"",IFERROR(INDEX(Catalogo_Vehiculos!$C$2:$C$1325,MATCH(TRUE(),INDEX(Catalogo_Vehiculos!$G$2:$G$1325=H375&amp;"|"&amp;I375,0),0)),"No en catálogo"))</f>
      </c>
      <c r="K375" s="19">
        <f>IF(OR(H375="",I375=""),"",IFERROR(INDEX(Catalogo_Vehiculos!$D$2:$D$1325,MATCH(TRUE(),INDEX(Catalogo_Vehiculos!$G$2:$G$1325=H375&amp;"|"&amp;I375,0),0)),"No en catálogo"))</f>
      </c>
      <c r="L375" s="19">
        <f>IF(OR(H375="",I375=""),"",IFERROR(INDEX(Catalogo_Vehiculos!$E$2:$E$1325,MATCH(TRUE(),INDEX(Catalogo_Vehiculos!$G$2:$G$1325=H375&amp;"|"&amp;I375,0),0)),"No en catálogo"))</f>
      </c>
      <c r="M375" s="19">
        <f>IF(OR(H375="",I375=""),"",IFERROR(INDEX(Catalogo_Vehiculos!$F$2:$F$1325,MATCH(TRUE(),INDEX(Catalogo_Vehiculos!$G$2:$G$1325=H375&amp;"|"&amp;I375,0),0)),"No en catálogo"))</f>
      </c>
      <c r="N375" s="20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9"/>
      <c r="Z375" s="19"/>
      <c r="AA375" s="15"/>
      <c r="AB375" s="15"/>
      <c r="AC375" s="15"/>
      <c r="AD375" s="15"/>
      <c r="AE375" s="15"/>
      <c r="AF375" s="19"/>
      <c r="AG375" s="19"/>
      <c r="AH375" s="15"/>
      <c r="AI375" s="15"/>
      <c r="AJ375" s="15"/>
      <c r="AK375" s="15"/>
      <c r="AL375" s="21"/>
      <c r="AM375" s="15"/>
      <c r="AN375" s="15"/>
      <c r="AO375" s="15"/>
      <c r="AP375" s="15"/>
      <c r="AQ375" s="15"/>
      <c r="AR375" s="15"/>
      <c r="AS375" s="15"/>
      <c r="AT375" s="19" t="str">
        <f>IF(COUNTA(A375:I375)+COUNTA(N375:X375)+COUNTA(AA375:AE375)+COUNTA(AH375:AS375)=0,"",IF(AND(A375&lt;&gt;"",E375&lt;&gt;"",OR(F375&lt;&gt;"",G375&lt;&gt;""),H375&lt;&gt;"",I375&lt;&gt;"",J375&lt;&gt;"No en catálogo",S375&lt;&gt;"",T375&lt;&gt;"",U375&lt;&gt;"",V375&lt;&gt;"",OR(AR375&lt;&gt;"",AND(W375&lt;&gt;"",X375&lt;&gt;"",AA375&lt;&gt;"",AB375&lt;&gt;"")),OR(AS375&lt;&gt;"",AND(AD375&lt;&gt;"",AE375&lt;&gt;"",AH375&lt;&gt;"",AI375&lt;&gt;"")),AK375&lt;&gt;"",OR(AK375&lt;&gt;"programado",AL375&lt;&gt;""),OR(AM375&lt;&gt;"específica",AN375&lt;&gt;""),OR(AO375&lt;&gt;"específica",AP375&lt;&gt;"")),"OK","Revisar"))</f>
        <v/>
      </c>
    </row>
    <row r="376" ht="15" customHeight="1" spans="1:46" x14ac:dyDescent="0.25">
      <c r="A376" s="15"/>
      <c r="B376" s="15"/>
      <c r="C376" s="15"/>
      <c r="D376" s="15"/>
      <c r="E376" s="15"/>
      <c r="F376" s="15"/>
      <c r="G376" s="15"/>
      <c r="H376" s="15"/>
      <c r="I376" s="15"/>
      <c r="J376" s="19">
        <f>IF(OR(H376="",I376=""),"",IFERROR(INDEX(Catalogo_Vehiculos!$C$2:$C$1325,MATCH(TRUE(),INDEX(Catalogo_Vehiculos!$G$2:$G$1325=H376&amp;"|"&amp;I376,0),0)),"No en catálogo"))</f>
      </c>
      <c r="K376" s="19">
        <f>IF(OR(H376="",I376=""),"",IFERROR(INDEX(Catalogo_Vehiculos!$D$2:$D$1325,MATCH(TRUE(),INDEX(Catalogo_Vehiculos!$G$2:$G$1325=H376&amp;"|"&amp;I376,0),0)),"No en catálogo"))</f>
      </c>
      <c r="L376" s="19">
        <f>IF(OR(H376="",I376=""),"",IFERROR(INDEX(Catalogo_Vehiculos!$E$2:$E$1325,MATCH(TRUE(),INDEX(Catalogo_Vehiculos!$G$2:$G$1325=H376&amp;"|"&amp;I376,0),0)),"No en catálogo"))</f>
      </c>
      <c r="M376" s="19">
        <f>IF(OR(H376="",I376=""),"",IFERROR(INDEX(Catalogo_Vehiculos!$F$2:$F$1325,MATCH(TRUE(),INDEX(Catalogo_Vehiculos!$G$2:$G$1325=H376&amp;"|"&amp;I376,0),0)),"No en catálogo"))</f>
      </c>
      <c r="N376" s="20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9"/>
      <c r="Z376" s="19"/>
      <c r="AA376" s="15"/>
      <c r="AB376" s="15"/>
      <c r="AC376" s="15"/>
      <c r="AD376" s="15"/>
      <c r="AE376" s="15"/>
      <c r="AF376" s="19"/>
      <c r="AG376" s="19"/>
      <c r="AH376" s="15"/>
      <c r="AI376" s="15"/>
      <c r="AJ376" s="15"/>
      <c r="AK376" s="15"/>
      <c r="AL376" s="21"/>
      <c r="AM376" s="15"/>
      <c r="AN376" s="15"/>
      <c r="AO376" s="15"/>
      <c r="AP376" s="15"/>
      <c r="AQ376" s="15"/>
      <c r="AR376" s="15"/>
      <c r="AS376" s="15"/>
      <c r="AT376" s="19" t="str">
        <f>IF(COUNTA(A376:I376)+COUNTA(N376:X376)+COUNTA(AA376:AE376)+COUNTA(AH376:AS376)=0,"",IF(AND(A376&lt;&gt;"",E376&lt;&gt;"",OR(F376&lt;&gt;"",G376&lt;&gt;""),H376&lt;&gt;"",I376&lt;&gt;"",J376&lt;&gt;"No en catálogo",S376&lt;&gt;"",T376&lt;&gt;"",U376&lt;&gt;"",V376&lt;&gt;"",OR(AR376&lt;&gt;"",AND(W376&lt;&gt;"",X376&lt;&gt;"",AA376&lt;&gt;"",AB376&lt;&gt;"")),OR(AS376&lt;&gt;"",AND(AD376&lt;&gt;"",AE376&lt;&gt;"",AH376&lt;&gt;"",AI376&lt;&gt;"")),AK376&lt;&gt;"",OR(AK376&lt;&gt;"programado",AL376&lt;&gt;""),OR(AM376&lt;&gt;"específica",AN376&lt;&gt;""),OR(AO376&lt;&gt;"específica",AP376&lt;&gt;"")),"OK","Revisar"))</f>
        <v/>
      </c>
    </row>
    <row r="377" ht="15" customHeight="1" spans="1:46" x14ac:dyDescent="0.25">
      <c r="A377" s="15"/>
      <c r="B377" s="15"/>
      <c r="C377" s="15"/>
      <c r="D377" s="15"/>
      <c r="E377" s="15"/>
      <c r="F377" s="15"/>
      <c r="G377" s="15"/>
      <c r="H377" s="15"/>
      <c r="I377" s="15"/>
      <c r="J377" s="19">
        <f>IF(OR(H377="",I377=""),"",IFERROR(INDEX(Catalogo_Vehiculos!$C$2:$C$1325,MATCH(TRUE(),INDEX(Catalogo_Vehiculos!$G$2:$G$1325=H377&amp;"|"&amp;I377,0),0)),"No en catálogo"))</f>
      </c>
      <c r="K377" s="19">
        <f>IF(OR(H377="",I377=""),"",IFERROR(INDEX(Catalogo_Vehiculos!$D$2:$D$1325,MATCH(TRUE(),INDEX(Catalogo_Vehiculos!$G$2:$G$1325=H377&amp;"|"&amp;I377,0),0)),"No en catálogo"))</f>
      </c>
      <c r="L377" s="19">
        <f>IF(OR(H377="",I377=""),"",IFERROR(INDEX(Catalogo_Vehiculos!$E$2:$E$1325,MATCH(TRUE(),INDEX(Catalogo_Vehiculos!$G$2:$G$1325=H377&amp;"|"&amp;I377,0),0)),"No en catálogo"))</f>
      </c>
      <c r="M377" s="19">
        <f>IF(OR(H377="",I377=""),"",IFERROR(INDEX(Catalogo_Vehiculos!$F$2:$F$1325,MATCH(TRUE(),INDEX(Catalogo_Vehiculos!$G$2:$G$1325=H377&amp;"|"&amp;I377,0),0)),"No en catálogo"))</f>
      </c>
      <c r="N377" s="20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9"/>
      <c r="Z377" s="19"/>
      <c r="AA377" s="15"/>
      <c r="AB377" s="15"/>
      <c r="AC377" s="15"/>
      <c r="AD377" s="15"/>
      <c r="AE377" s="15"/>
      <c r="AF377" s="19"/>
      <c r="AG377" s="19"/>
      <c r="AH377" s="15"/>
      <c r="AI377" s="15"/>
      <c r="AJ377" s="15"/>
      <c r="AK377" s="15"/>
      <c r="AL377" s="21"/>
      <c r="AM377" s="15"/>
      <c r="AN377" s="15"/>
      <c r="AO377" s="15"/>
      <c r="AP377" s="15"/>
      <c r="AQ377" s="15"/>
      <c r="AR377" s="15"/>
      <c r="AS377" s="15"/>
      <c r="AT377" s="19" t="str">
        <f>IF(COUNTA(A377:I377)+COUNTA(N377:X377)+COUNTA(AA377:AE377)+COUNTA(AH377:AS377)=0,"",IF(AND(A377&lt;&gt;"",E377&lt;&gt;"",OR(F377&lt;&gt;"",G377&lt;&gt;""),H377&lt;&gt;"",I377&lt;&gt;"",J377&lt;&gt;"No en catálogo",S377&lt;&gt;"",T377&lt;&gt;"",U377&lt;&gt;"",V377&lt;&gt;"",OR(AR377&lt;&gt;"",AND(W377&lt;&gt;"",X377&lt;&gt;"",AA377&lt;&gt;"",AB377&lt;&gt;"")),OR(AS377&lt;&gt;"",AND(AD377&lt;&gt;"",AE377&lt;&gt;"",AH377&lt;&gt;"",AI377&lt;&gt;"")),AK377&lt;&gt;"",OR(AK377&lt;&gt;"programado",AL377&lt;&gt;""),OR(AM377&lt;&gt;"específica",AN377&lt;&gt;""),OR(AO377&lt;&gt;"específica",AP377&lt;&gt;"")),"OK","Revisar"))</f>
        <v/>
      </c>
    </row>
    <row r="378" ht="15" customHeight="1" spans="1:46" x14ac:dyDescent="0.25">
      <c r="A378" s="15"/>
      <c r="B378" s="15"/>
      <c r="C378" s="15"/>
      <c r="D378" s="15"/>
      <c r="E378" s="15"/>
      <c r="F378" s="15"/>
      <c r="G378" s="15"/>
      <c r="H378" s="15"/>
      <c r="I378" s="15"/>
      <c r="J378" s="19">
        <f>IF(OR(H378="",I378=""),"",IFERROR(INDEX(Catalogo_Vehiculos!$C$2:$C$1325,MATCH(TRUE(),INDEX(Catalogo_Vehiculos!$G$2:$G$1325=H378&amp;"|"&amp;I378,0),0)),"No en catálogo"))</f>
      </c>
      <c r="K378" s="19">
        <f>IF(OR(H378="",I378=""),"",IFERROR(INDEX(Catalogo_Vehiculos!$D$2:$D$1325,MATCH(TRUE(),INDEX(Catalogo_Vehiculos!$G$2:$G$1325=H378&amp;"|"&amp;I378,0),0)),"No en catálogo"))</f>
      </c>
      <c r="L378" s="19">
        <f>IF(OR(H378="",I378=""),"",IFERROR(INDEX(Catalogo_Vehiculos!$E$2:$E$1325,MATCH(TRUE(),INDEX(Catalogo_Vehiculos!$G$2:$G$1325=H378&amp;"|"&amp;I378,0),0)),"No en catálogo"))</f>
      </c>
      <c r="M378" s="19">
        <f>IF(OR(H378="",I378=""),"",IFERROR(INDEX(Catalogo_Vehiculos!$F$2:$F$1325,MATCH(TRUE(),INDEX(Catalogo_Vehiculos!$G$2:$G$1325=H378&amp;"|"&amp;I378,0),0)),"No en catálogo"))</f>
      </c>
      <c r="N378" s="20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9"/>
      <c r="Z378" s="19"/>
      <c r="AA378" s="15"/>
      <c r="AB378" s="15"/>
      <c r="AC378" s="15"/>
      <c r="AD378" s="15"/>
      <c r="AE378" s="15"/>
      <c r="AF378" s="19"/>
      <c r="AG378" s="19"/>
      <c r="AH378" s="15"/>
      <c r="AI378" s="15"/>
      <c r="AJ378" s="15"/>
      <c r="AK378" s="15"/>
      <c r="AL378" s="21"/>
      <c r="AM378" s="15"/>
      <c r="AN378" s="15"/>
      <c r="AO378" s="15"/>
      <c r="AP378" s="15"/>
      <c r="AQ378" s="15"/>
      <c r="AR378" s="15"/>
      <c r="AS378" s="15"/>
      <c r="AT378" s="19" t="str">
        <f>IF(COUNTA(A378:I378)+COUNTA(N378:X378)+COUNTA(AA378:AE378)+COUNTA(AH378:AS378)=0,"",IF(AND(A378&lt;&gt;"",E378&lt;&gt;"",OR(F378&lt;&gt;"",G378&lt;&gt;""),H378&lt;&gt;"",I378&lt;&gt;"",J378&lt;&gt;"No en catálogo",S378&lt;&gt;"",T378&lt;&gt;"",U378&lt;&gt;"",V378&lt;&gt;"",OR(AR378&lt;&gt;"",AND(W378&lt;&gt;"",X378&lt;&gt;"",AA378&lt;&gt;"",AB378&lt;&gt;"")),OR(AS378&lt;&gt;"",AND(AD378&lt;&gt;"",AE378&lt;&gt;"",AH378&lt;&gt;"",AI378&lt;&gt;"")),AK378&lt;&gt;"",OR(AK378&lt;&gt;"programado",AL378&lt;&gt;""),OR(AM378&lt;&gt;"específica",AN378&lt;&gt;""),OR(AO378&lt;&gt;"específica",AP378&lt;&gt;"")),"OK","Revisar"))</f>
        <v/>
      </c>
    </row>
    <row r="379" ht="15" customHeight="1" spans="1:46" x14ac:dyDescent="0.25">
      <c r="A379" s="15"/>
      <c r="B379" s="15"/>
      <c r="C379" s="15"/>
      <c r="D379" s="15"/>
      <c r="E379" s="15"/>
      <c r="F379" s="15"/>
      <c r="G379" s="15"/>
      <c r="H379" s="15"/>
      <c r="I379" s="15"/>
      <c r="J379" s="19">
        <f>IF(OR(H379="",I379=""),"",IFERROR(INDEX(Catalogo_Vehiculos!$C$2:$C$1325,MATCH(TRUE(),INDEX(Catalogo_Vehiculos!$G$2:$G$1325=H379&amp;"|"&amp;I379,0),0)),"No en catálogo"))</f>
      </c>
      <c r="K379" s="19">
        <f>IF(OR(H379="",I379=""),"",IFERROR(INDEX(Catalogo_Vehiculos!$D$2:$D$1325,MATCH(TRUE(),INDEX(Catalogo_Vehiculos!$G$2:$G$1325=H379&amp;"|"&amp;I379,0),0)),"No en catálogo"))</f>
      </c>
      <c r="L379" s="19">
        <f>IF(OR(H379="",I379=""),"",IFERROR(INDEX(Catalogo_Vehiculos!$E$2:$E$1325,MATCH(TRUE(),INDEX(Catalogo_Vehiculos!$G$2:$G$1325=H379&amp;"|"&amp;I379,0),0)),"No en catálogo"))</f>
      </c>
      <c r="M379" s="19">
        <f>IF(OR(H379="",I379=""),"",IFERROR(INDEX(Catalogo_Vehiculos!$F$2:$F$1325,MATCH(TRUE(),INDEX(Catalogo_Vehiculos!$G$2:$G$1325=H379&amp;"|"&amp;I379,0),0)),"No en catálogo"))</f>
      </c>
      <c r="N379" s="20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9"/>
      <c r="Z379" s="19"/>
      <c r="AA379" s="15"/>
      <c r="AB379" s="15"/>
      <c r="AC379" s="15"/>
      <c r="AD379" s="15"/>
      <c r="AE379" s="15"/>
      <c r="AF379" s="19"/>
      <c r="AG379" s="19"/>
      <c r="AH379" s="15"/>
      <c r="AI379" s="15"/>
      <c r="AJ379" s="15"/>
      <c r="AK379" s="15"/>
      <c r="AL379" s="21"/>
      <c r="AM379" s="15"/>
      <c r="AN379" s="15"/>
      <c r="AO379" s="15"/>
      <c r="AP379" s="15"/>
      <c r="AQ379" s="15"/>
      <c r="AR379" s="15"/>
      <c r="AS379" s="15"/>
      <c r="AT379" s="19" t="str">
        <f>IF(COUNTA(A379:I379)+COUNTA(N379:X379)+COUNTA(AA379:AE379)+COUNTA(AH379:AS379)=0,"",IF(AND(A379&lt;&gt;"",E379&lt;&gt;"",OR(F379&lt;&gt;"",G379&lt;&gt;""),H379&lt;&gt;"",I379&lt;&gt;"",J379&lt;&gt;"No en catálogo",S379&lt;&gt;"",T379&lt;&gt;"",U379&lt;&gt;"",V379&lt;&gt;"",OR(AR379&lt;&gt;"",AND(W379&lt;&gt;"",X379&lt;&gt;"",AA379&lt;&gt;"",AB379&lt;&gt;"")),OR(AS379&lt;&gt;"",AND(AD379&lt;&gt;"",AE379&lt;&gt;"",AH379&lt;&gt;"",AI379&lt;&gt;"")),AK379&lt;&gt;"",OR(AK379&lt;&gt;"programado",AL379&lt;&gt;""),OR(AM379&lt;&gt;"específica",AN379&lt;&gt;""),OR(AO379&lt;&gt;"específica",AP379&lt;&gt;"")),"OK","Revisar"))</f>
        <v/>
      </c>
    </row>
    <row r="380" ht="15" customHeight="1" spans="1:46" x14ac:dyDescent="0.25">
      <c r="A380" s="15"/>
      <c r="B380" s="15"/>
      <c r="C380" s="15"/>
      <c r="D380" s="15"/>
      <c r="E380" s="15"/>
      <c r="F380" s="15"/>
      <c r="G380" s="15"/>
      <c r="H380" s="15"/>
      <c r="I380" s="15"/>
      <c r="J380" s="19">
        <f>IF(OR(H380="",I380=""),"",IFERROR(INDEX(Catalogo_Vehiculos!$C$2:$C$1325,MATCH(TRUE(),INDEX(Catalogo_Vehiculos!$G$2:$G$1325=H380&amp;"|"&amp;I380,0),0)),"No en catálogo"))</f>
      </c>
      <c r="K380" s="19">
        <f>IF(OR(H380="",I380=""),"",IFERROR(INDEX(Catalogo_Vehiculos!$D$2:$D$1325,MATCH(TRUE(),INDEX(Catalogo_Vehiculos!$G$2:$G$1325=H380&amp;"|"&amp;I380,0),0)),"No en catálogo"))</f>
      </c>
      <c r="L380" s="19">
        <f>IF(OR(H380="",I380=""),"",IFERROR(INDEX(Catalogo_Vehiculos!$E$2:$E$1325,MATCH(TRUE(),INDEX(Catalogo_Vehiculos!$G$2:$G$1325=H380&amp;"|"&amp;I380,0),0)),"No en catálogo"))</f>
      </c>
      <c r="M380" s="19">
        <f>IF(OR(H380="",I380=""),"",IFERROR(INDEX(Catalogo_Vehiculos!$F$2:$F$1325,MATCH(TRUE(),INDEX(Catalogo_Vehiculos!$G$2:$G$1325=H380&amp;"|"&amp;I380,0),0)),"No en catálogo"))</f>
      </c>
      <c r="N380" s="20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9"/>
      <c r="Z380" s="19"/>
      <c r="AA380" s="15"/>
      <c r="AB380" s="15"/>
      <c r="AC380" s="15"/>
      <c r="AD380" s="15"/>
      <c r="AE380" s="15"/>
      <c r="AF380" s="19"/>
      <c r="AG380" s="19"/>
      <c r="AH380" s="15"/>
      <c r="AI380" s="15"/>
      <c r="AJ380" s="15"/>
      <c r="AK380" s="15"/>
      <c r="AL380" s="21"/>
      <c r="AM380" s="15"/>
      <c r="AN380" s="15"/>
      <c r="AO380" s="15"/>
      <c r="AP380" s="15"/>
      <c r="AQ380" s="15"/>
      <c r="AR380" s="15"/>
      <c r="AS380" s="15"/>
      <c r="AT380" s="19" t="str">
        <f>IF(COUNTA(A380:I380)+COUNTA(N380:X380)+COUNTA(AA380:AE380)+COUNTA(AH380:AS380)=0,"",IF(AND(A380&lt;&gt;"",E380&lt;&gt;"",OR(F380&lt;&gt;"",G380&lt;&gt;""),H380&lt;&gt;"",I380&lt;&gt;"",J380&lt;&gt;"No en catálogo",S380&lt;&gt;"",T380&lt;&gt;"",U380&lt;&gt;"",V380&lt;&gt;"",OR(AR380&lt;&gt;"",AND(W380&lt;&gt;"",X380&lt;&gt;"",AA380&lt;&gt;"",AB380&lt;&gt;"")),OR(AS380&lt;&gt;"",AND(AD380&lt;&gt;"",AE380&lt;&gt;"",AH380&lt;&gt;"",AI380&lt;&gt;"")),AK380&lt;&gt;"",OR(AK380&lt;&gt;"programado",AL380&lt;&gt;""),OR(AM380&lt;&gt;"específica",AN380&lt;&gt;""),OR(AO380&lt;&gt;"específica",AP380&lt;&gt;"")),"OK","Revisar"))</f>
        <v/>
      </c>
    </row>
    <row r="381" ht="15" customHeight="1" spans="1:46" x14ac:dyDescent="0.25">
      <c r="A381" s="15"/>
      <c r="B381" s="15"/>
      <c r="C381" s="15"/>
      <c r="D381" s="15"/>
      <c r="E381" s="15"/>
      <c r="F381" s="15"/>
      <c r="G381" s="15"/>
      <c r="H381" s="15"/>
      <c r="I381" s="15"/>
      <c r="J381" s="19">
        <f>IF(OR(H381="",I381=""),"",IFERROR(INDEX(Catalogo_Vehiculos!$C$2:$C$1325,MATCH(TRUE(),INDEX(Catalogo_Vehiculos!$G$2:$G$1325=H381&amp;"|"&amp;I381,0),0)),"No en catálogo"))</f>
      </c>
      <c r="K381" s="19">
        <f>IF(OR(H381="",I381=""),"",IFERROR(INDEX(Catalogo_Vehiculos!$D$2:$D$1325,MATCH(TRUE(),INDEX(Catalogo_Vehiculos!$G$2:$G$1325=H381&amp;"|"&amp;I381,0),0)),"No en catálogo"))</f>
      </c>
      <c r="L381" s="19">
        <f>IF(OR(H381="",I381=""),"",IFERROR(INDEX(Catalogo_Vehiculos!$E$2:$E$1325,MATCH(TRUE(),INDEX(Catalogo_Vehiculos!$G$2:$G$1325=H381&amp;"|"&amp;I381,0),0)),"No en catálogo"))</f>
      </c>
      <c r="M381" s="19">
        <f>IF(OR(H381="",I381=""),"",IFERROR(INDEX(Catalogo_Vehiculos!$F$2:$F$1325,MATCH(TRUE(),INDEX(Catalogo_Vehiculos!$G$2:$G$1325=H381&amp;"|"&amp;I381,0),0)),"No en catálogo"))</f>
      </c>
      <c r="N381" s="20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9"/>
      <c r="Z381" s="19"/>
      <c r="AA381" s="15"/>
      <c r="AB381" s="15"/>
      <c r="AC381" s="15"/>
      <c r="AD381" s="15"/>
      <c r="AE381" s="15"/>
      <c r="AF381" s="19"/>
      <c r="AG381" s="19"/>
      <c r="AH381" s="15"/>
      <c r="AI381" s="15"/>
      <c r="AJ381" s="15"/>
      <c r="AK381" s="15"/>
      <c r="AL381" s="21"/>
      <c r="AM381" s="15"/>
      <c r="AN381" s="15"/>
      <c r="AO381" s="15"/>
      <c r="AP381" s="15"/>
      <c r="AQ381" s="15"/>
      <c r="AR381" s="15"/>
      <c r="AS381" s="15"/>
      <c r="AT381" s="19" t="str">
        <f>IF(COUNTA(A381:I381)+COUNTA(N381:X381)+COUNTA(AA381:AE381)+COUNTA(AH381:AS381)=0,"",IF(AND(A381&lt;&gt;"",E381&lt;&gt;"",OR(F381&lt;&gt;"",G381&lt;&gt;""),H381&lt;&gt;"",I381&lt;&gt;"",J381&lt;&gt;"No en catálogo",S381&lt;&gt;"",T381&lt;&gt;"",U381&lt;&gt;"",V381&lt;&gt;"",OR(AR381&lt;&gt;"",AND(W381&lt;&gt;"",X381&lt;&gt;"",AA381&lt;&gt;"",AB381&lt;&gt;"")),OR(AS381&lt;&gt;"",AND(AD381&lt;&gt;"",AE381&lt;&gt;"",AH381&lt;&gt;"",AI381&lt;&gt;"")),AK381&lt;&gt;"",OR(AK381&lt;&gt;"programado",AL381&lt;&gt;""),OR(AM381&lt;&gt;"específica",AN381&lt;&gt;""),OR(AO381&lt;&gt;"específica",AP381&lt;&gt;"")),"OK","Revisar"))</f>
        <v/>
      </c>
    </row>
    <row r="382" ht="15" customHeight="1" spans="1:46" x14ac:dyDescent="0.25">
      <c r="A382" s="15"/>
      <c r="B382" s="15"/>
      <c r="C382" s="15"/>
      <c r="D382" s="15"/>
      <c r="E382" s="15"/>
      <c r="F382" s="15"/>
      <c r="G382" s="15"/>
      <c r="H382" s="15"/>
      <c r="I382" s="15"/>
      <c r="J382" s="19">
        <f>IF(OR(H382="",I382=""),"",IFERROR(INDEX(Catalogo_Vehiculos!$C$2:$C$1325,MATCH(TRUE(),INDEX(Catalogo_Vehiculos!$G$2:$G$1325=H382&amp;"|"&amp;I382,0),0)),"No en catálogo"))</f>
      </c>
      <c r="K382" s="19">
        <f>IF(OR(H382="",I382=""),"",IFERROR(INDEX(Catalogo_Vehiculos!$D$2:$D$1325,MATCH(TRUE(),INDEX(Catalogo_Vehiculos!$G$2:$G$1325=H382&amp;"|"&amp;I382,0),0)),"No en catálogo"))</f>
      </c>
      <c r="L382" s="19">
        <f>IF(OR(H382="",I382=""),"",IFERROR(INDEX(Catalogo_Vehiculos!$E$2:$E$1325,MATCH(TRUE(),INDEX(Catalogo_Vehiculos!$G$2:$G$1325=H382&amp;"|"&amp;I382,0),0)),"No en catálogo"))</f>
      </c>
      <c r="M382" s="19">
        <f>IF(OR(H382="",I382=""),"",IFERROR(INDEX(Catalogo_Vehiculos!$F$2:$F$1325,MATCH(TRUE(),INDEX(Catalogo_Vehiculos!$G$2:$G$1325=H382&amp;"|"&amp;I382,0),0)),"No en catálogo"))</f>
      </c>
      <c r="N382" s="20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9"/>
      <c r="Z382" s="19"/>
      <c r="AA382" s="15"/>
      <c r="AB382" s="15"/>
      <c r="AC382" s="15"/>
      <c r="AD382" s="15"/>
      <c r="AE382" s="15"/>
      <c r="AF382" s="19"/>
      <c r="AG382" s="19"/>
      <c r="AH382" s="15"/>
      <c r="AI382" s="15"/>
      <c r="AJ382" s="15"/>
      <c r="AK382" s="15"/>
      <c r="AL382" s="21"/>
      <c r="AM382" s="15"/>
      <c r="AN382" s="15"/>
      <c r="AO382" s="15"/>
      <c r="AP382" s="15"/>
      <c r="AQ382" s="15"/>
      <c r="AR382" s="15"/>
      <c r="AS382" s="15"/>
      <c r="AT382" s="19" t="str">
        <f>IF(COUNTA(A382:I382)+COUNTA(N382:X382)+COUNTA(AA382:AE382)+COUNTA(AH382:AS382)=0,"",IF(AND(A382&lt;&gt;"",E382&lt;&gt;"",OR(F382&lt;&gt;"",G382&lt;&gt;""),H382&lt;&gt;"",I382&lt;&gt;"",J382&lt;&gt;"No en catálogo",S382&lt;&gt;"",T382&lt;&gt;"",U382&lt;&gt;"",V382&lt;&gt;"",OR(AR382&lt;&gt;"",AND(W382&lt;&gt;"",X382&lt;&gt;"",AA382&lt;&gt;"",AB382&lt;&gt;"")),OR(AS382&lt;&gt;"",AND(AD382&lt;&gt;"",AE382&lt;&gt;"",AH382&lt;&gt;"",AI382&lt;&gt;"")),AK382&lt;&gt;"",OR(AK382&lt;&gt;"programado",AL382&lt;&gt;""),OR(AM382&lt;&gt;"específica",AN382&lt;&gt;""),OR(AO382&lt;&gt;"específica",AP382&lt;&gt;"")),"OK","Revisar"))</f>
        <v/>
      </c>
    </row>
    <row r="383" ht="15" customHeight="1" spans="1:46" x14ac:dyDescent="0.25">
      <c r="A383" s="15"/>
      <c r="B383" s="15"/>
      <c r="C383" s="15"/>
      <c r="D383" s="15"/>
      <c r="E383" s="15"/>
      <c r="F383" s="15"/>
      <c r="G383" s="15"/>
      <c r="H383" s="15"/>
      <c r="I383" s="15"/>
      <c r="J383" s="19">
        <f>IF(OR(H383="",I383=""),"",IFERROR(INDEX(Catalogo_Vehiculos!$C$2:$C$1325,MATCH(TRUE(),INDEX(Catalogo_Vehiculos!$G$2:$G$1325=H383&amp;"|"&amp;I383,0),0)),"No en catálogo"))</f>
      </c>
      <c r="K383" s="19">
        <f>IF(OR(H383="",I383=""),"",IFERROR(INDEX(Catalogo_Vehiculos!$D$2:$D$1325,MATCH(TRUE(),INDEX(Catalogo_Vehiculos!$G$2:$G$1325=H383&amp;"|"&amp;I383,0),0)),"No en catálogo"))</f>
      </c>
      <c r="L383" s="19">
        <f>IF(OR(H383="",I383=""),"",IFERROR(INDEX(Catalogo_Vehiculos!$E$2:$E$1325,MATCH(TRUE(),INDEX(Catalogo_Vehiculos!$G$2:$G$1325=H383&amp;"|"&amp;I383,0),0)),"No en catálogo"))</f>
      </c>
      <c r="M383" s="19">
        <f>IF(OR(H383="",I383=""),"",IFERROR(INDEX(Catalogo_Vehiculos!$F$2:$F$1325,MATCH(TRUE(),INDEX(Catalogo_Vehiculos!$G$2:$G$1325=H383&amp;"|"&amp;I383,0),0)),"No en catálogo"))</f>
      </c>
      <c r="N383" s="20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9"/>
      <c r="Z383" s="19"/>
      <c r="AA383" s="15"/>
      <c r="AB383" s="15"/>
      <c r="AC383" s="15"/>
      <c r="AD383" s="15"/>
      <c r="AE383" s="15"/>
      <c r="AF383" s="19"/>
      <c r="AG383" s="19"/>
      <c r="AH383" s="15"/>
      <c r="AI383" s="15"/>
      <c r="AJ383" s="15"/>
      <c r="AK383" s="15"/>
      <c r="AL383" s="21"/>
      <c r="AM383" s="15"/>
      <c r="AN383" s="15"/>
      <c r="AO383" s="15"/>
      <c r="AP383" s="15"/>
      <c r="AQ383" s="15"/>
      <c r="AR383" s="15"/>
      <c r="AS383" s="15"/>
      <c r="AT383" s="19" t="str">
        <f>IF(COUNTA(A383:I383)+COUNTA(N383:X383)+COUNTA(AA383:AE383)+COUNTA(AH383:AS383)=0,"",IF(AND(A383&lt;&gt;"",E383&lt;&gt;"",OR(F383&lt;&gt;"",G383&lt;&gt;""),H383&lt;&gt;"",I383&lt;&gt;"",J383&lt;&gt;"No en catálogo",S383&lt;&gt;"",T383&lt;&gt;"",U383&lt;&gt;"",V383&lt;&gt;"",OR(AR383&lt;&gt;"",AND(W383&lt;&gt;"",X383&lt;&gt;"",AA383&lt;&gt;"",AB383&lt;&gt;"")),OR(AS383&lt;&gt;"",AND(AD383&lt;&gt;"",AE383&lt;&gt;"",AH383&lt;&gt;"",AI383&lt;&gt;"")),AK383&lt;&gt;"",OR(AK383&lt;&gt;"programado",AL383&lt;&gt;""),OR(AM383&lt;&gt;"específica",AN383&lt;&gt;""),OR(AO383&lt;&gt;"específica",AP383&lt;&gt;"")),"OK","Revisar"))</f>
        <v/>
      </c>
    </row>
    <row r="384" ht="15" customHeight="1" spans="1:46" x14ac:dyDescent="0.25">
      <c r="A384" s="15"/>
      <c r="B384" s="15"/>
      <c r="C384" s="15"/>
      <c r="D384" s="15"/>
      <c r="E384" s="15"/>
      <c r="F384" s="15"/>
      <c r="G384" s="15"/>
      <c r="H384" s="15"/>
      <c r="I384" s="15"/>
      <c r="J384" s="19">
        <f>IF(OR(H384="",I384=""),"",IFERROR(INDEX(Catalogo_Vehiculos!$C$2:$C$1325,MATCH(TRUE(),INDEX(Catalogo_Vehiculos!$G$2:$G$1325=H384&amp;"|"&amp;I384,0),0)),"No en catálogo"))</f>
      </c>
      <c r="K384" s="19">
        <f>IF(OR(H384="",I384=""),"",IFERROR(INDEX(Catalogo_Vehiculos!$D$2:$D$1325,MATCH(TRUE(),INDEX(Catalogo_Vehiculos!$G$2:$G$1325=H384&amp;"|"&amp;I384,0),0)),"No en catálogo"))</f>
      </c>
      <c r="L384" s="19">
        <f>IF(OR(H384="",I384=""),"",IFERROR(INDEX(Catalogo_Vehiculos!$E$2:$E$1325,MATCH(TRUE(),INDEX(Catalogo_Vehiculos!$G$2:$G$1325=H384&amp;"|"&amp;I384,0),0)),"No en catálogo"))</f>
      </c>
      <c r="M384" s="19">
        <f>IF(OR(H384="",I384=""),"",IFERROR(INDEX(Catalogo_Vehiculos!$F$2:$F$1325,MATCH(TRUE(),INDEX(Catalogo_Vehiculos!$G$2:$G$1325=H384&amp;"|"&amp;I384,0),0)),"No en catálogo"))</f>
      </c>
      <c r="N384" s="20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9"/>
      <c r="Z384" s="19"/>
      <c r="AA384" s="15"/>
      <c r="AB384" s="15"/>
      <c r="AC384" s="15"/>
      <c r="AD384" s="15"/>
      <c r="AE384" s="15"/>
      <c r="AF384" s="19"/>
      <c r="AG384" s="19"/>
      <c r="AH384" s="15"/>
      <c r="AI384" s="15"/>
      <c r="AJ384" s="15"/>
      <c r="AK384" s="15"/>
      <c r="AL384" s="21"/>
      <c r="AM384" s="15"/>
      <c r="AN384" s="15"/>
      <c r="AO384" s="15"/>
      <c r="AP384" s="15"/>
      <c r="AQ384" s="15"/>
      <c r="AR384" s="15"/>
      <c r="AS384" s="15"/>
      <c r="AT384" s="19" t="str">
        <f>IF(COUNTA(A384:I384)+COUNTA(N384:X384)+COUNTA(AA384:AE384)+COUNTA(AH384:AS384)=0,"",IF(AND(A384&lt;&gt;"",E384&lt;&gt;"",OR(F384&lt;&gt;"",G384&lt;&gt;""),H384&lt;&gt;"",I384&lt;&gt;"",J384&lt;&gt;"No en catálogo",S384&lt;&gt;"",T384&lt;&gt;"",U384&lt;&gt;"",V384&lt;&gt;"",OR(AR384&lt;&gt;"",AND(W384&lt;&gt;"",X384&lt;&gt;"",AA384&lt;&gt;"",AB384&lt;&gt;"")),OR(AS384&lt;&gt;"",AND(AD384&lt;&gt;"",AE384&lt;&gt;"",AH384&lt;&gt;"",AI384&lt;&gt;"")),AK384&lt;&gt;"",OR(AK384&lt;&gt;"programado",AL384&lt;&gt;""),OR(AM384&lt;&gt;"específica",AN384&lt;&gt;""),OR(AO384&lt;&gt;"específica",AP384&lt;&gt;"")),"OK","Revisar"))</f>
        <v/>
      </c>
    </row>
    <row r="385" ht="15" customHeight="1" spans="1:46" x14ac:dyDescent="0.25">
      <c r="A385" s="15"/>
      <c r="B385" s="15"/>
      <c r="C385" s="15"/>
      <c r="D385" s="15"/>
      <c r="E385" s="15"/>
      <c r="F385" s="15"/>
      <c r="G385" s="15"/>
      <c r="H385" s="15"/>
      <c r="I385" s="15"/>
      <c r="J385" s="19">
        <f>IF(OR(H385="",I385=""),"",IFERROR(INDEX(Catalogo_Vehiculos!$C$2:$C$1325,MATCH(TRUE(),INDEX(Catalogo_Vehiculos!$G$2:$G$1325=H385&amp;"|"&amp;I385,0),0)),"No en catálogo"))</f>
      </c>
      <c r="K385" s="19">
        <f>IF(OR(H385="",I385=""),"",IFERROR(INDEX(Catalogo_Vehiculos!$D$2:$D$1325,MATCH(TRUE(),INDEX(Catalogo_Vehiculos!$G$2:$G$1325=H385&amp;"|"&amp;I385,0),0)),"No en catálogo"))</f>
      </c>
      <c r="L385" s="19">
        <f>IF(OR(H385="",I385=""),"",IFERROR(INDEX(Catalogo_Vehiculos!$E$2:$E$1325,MATCH(TRUE(),INDEX(Catalogo_Vehiculos!$G$2:$G$1325=H385&amp;"|"&amp;I385,0),0)),"No en catálogo"))</f>
      </c>
      <c r="M385" s="19">
        <f>IF(OR(H385="",I385=""),"",IFERROR(INDEX(Catalogo_Vehiculos!$F$2:$F$1325,MATCH(TRUE(),INDEX(Catalogo_Vehiculos!$G$2:$G$1325=H385&amp;"|"&amp;I385,0),0)),"No en catálogo"))</f>
      </c>
      <c r="N385" s="20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9"/>
      <c r="Z385" s="19"/>
      <c r="AA385" s="15"/>
      <c r="AB385" s="15"/>
      <c r="AC385" s="15"/>
      <c r="AD385" s="15"/>
      <c r="AE385" s="15"/>
      <c r="AF385" s="19"/>
      <c r="AG385" s="19"/>
      <c r="AH385" s="15"/>
      <c r="AI385" s="15"/>
      <c r="AJ385" s="15"/>
      <c r="AK385" s="15"/>
      <c r="AL385" s="21"/>
      <c r="AM385" s="15"/>
      <c r="AN385" s="15"/>
      <c r="AO385" s="15"/>
      <c r="AP385" s="15"/>
      <c r="AQ385" s="15"/>
      <c r="AR385" s="15"/>
      <c r="AS385" s="15"/>
      <c r="AT385" s="19" t="str">
        <f>IF(COUNTA(A385:I385)+COUNTA(N385:X385)+COUNTA(AA385:AE385)+COUNTA(AH385:AS385)=0,"",IF(AND(A385&lt;&gt;"",E385&lt;&gt;"",OR(F385&lt;&gt;"",G385&lt;&gt;""),H385&lt;&gt;"",I385&lt;&gt;"",J385&lt;&gt;"No en catálogo",S385&lt;&gt;"",T385&lt;&gt;"",U385&lt;&gt;"",V385&lt;&gt;"",OR(AR385&lt;&gt;"",AND(W385&lt;&gt;"",X385&lt;&gt;"",AA385&lt;&gt;"",AB385&lt;&gt;"")),OR(AS385&lt;&gt;"",AND(AD385&lt;&gt;"",AE385&lt;&gt;"",AH385&lt;&gt;"",AI385&lt;&gt;"")),AK385&lt;&gt;"",OR(AK385&lt;&gt;"programado",AL385&lt;&gt;""),OR(AM385&lt;&gt;"específica",AN385&lt;&gt;""),OR(AO385&lt;&gt;"específica",AP385&lt;&gt;"")),"OK","Revisar"))</f>
        <v/>
      </c>
    </row>
    <row r="386" ht="15" customHeight="1" spans="1:46" x14ac:dyDescent="0.25">
      <c r="A386" s="15"/>
      <c r="B386" s="15"/>
      <c r="C386" s="15"/>
      <c r="D386" s="15"/>
      <c r="E386" s="15"/>
      <c r="F386" s="15"/>
      <c r="G386" s="15"/>
      <c r="H386" s="15"/>
      <c r="I386" s="15"/>
      <c r="J386" s="19">
        <f>IF(OR(H386="",I386=""),"",IFERROR(INDEX(Catalogo_Vehiculos!$C$2:$C$1325,MATCH(TRUE(),INDEX(Catalogo_Vehiculos!$G$2:$G$1325=H386&amp;"|"&amp;I386,0),0)),"No en catálogo"))</f>
      </c>
      <c r="K386" s="19">
        <f>IF(OR(H386="",I386=""),"",IFERROR(INDEX(Catalogo_Vehiculos!$D$2:$D$1325,MATCH(TRUE(),INDEX(Catalogo_Vehiculos!$G$2:$G$1325=H386&amp;"|"&amp;I386,0),0)),"No en catálogo"))</f>
      </c>
      <c r="L386" s="19">
        <f>IF(OR(H386="",I386=""),"",IFERROR(INDEX(Catalogo_Vehiculos!$E$2:$E$1325,MATCH(TRUE(),INDEX(Catalogo_Vehiculos!$G$2:$G$1325=H386&amp;"|"&amp;I386,0),0)),"No en catálogo"))</f>
      </c>
      <c r="M386" s="19">
        <f>IF(OR(H386="",I386=""),"",IFERROR(INDEX(Catalogo_Vehiculos!$F$2:$F$1325,MATCH(TRUE(),INDEX(Catalogo_Vehiculos!$G$2:$G$1325=H386&amp;"|"&amp;I386,0),0)),"No en catálogo"))</f>
      </c>
      <c r="N386" s="20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9"/>
      <c r="Z386" s="19"/>
      <c r="AA386" s="15"/>
      <c r="AB386" s="15"/>
      <c r="AC386" s="15"/>
      <c r="AD386" s="15"/>
      <c r="AE386" s="15"/>
      <c r="AF386" s="19"/>
      <c r="AG386" s="19"/>
      <c r="AH386" s="15"/>
      <c r="AI386" s="15"/>
      <c r="AJ386" s="15"/>
      <c r="AK386" s="15"/>
      <c r="AL386" s="21"/>
      <c r="AM386" s="15"/>
      <c r="AN386" s="15"/>
      <c r="AO386" s="15"/>
      <c r="AP386" s="15"/>
      <c r="AQ386" s="15"/>
      <c r="AR386" s="15"/>
      <c r="AS386" s="15"/>
      <c r="AT386" s="19" t="str">
        <f>IF(COUNTA(A386:I386)+COUNTA(N386:X386)+COUNTA(AA386:AE386)+COUNTA(AH386:AS386)=0,"",IF(AND(A386&lt;&gt;"",E386&lt;&gt;"",OR(F386&lt;&gt;"",G386&lt;&gt;""),H386&lt;&gt;"",I386&lt;&gt;"",J386&lt;&gt;"No en catálogo",S386&lt;&gt;"",T386&lt;&gt;"",U386&lt;&gt;"",V386&lt;&gt;"",OR(AR386&lt;&gt;"",AND(W386&lt;&gt;"",X386&lt;&gt;"",AA386&lt;&gt;"",AB386&lt;&gt;"")),OR(AS386&lt;&gt;"",AND(AD386&lt;&gt;"",AE386&lt;&gt;"",AH386&lt;&gt;"",AI386&lt;&gt;"")),AK386&lt;&gt;"",OR(AK386&lt;&gt;"programado",AL386&lt;&gt;""),OR(AM386&lt;&gt;"específica",AN386&lt;&gt;""),OR(AO386&lt;&gt;"específica",AP386&lt;&gt;"")),"OK","Revisar"))</f>
        <v/>
      </c>
    </row>
    <row r="387" ht="15" customHeight="1" spans="1:46" x14ac:dyDescent="0.25">
      <c r="A387" s="15"/>
      <c r="B387" s="15"/>
      <c r="C387" s="15"/>
      <c r="D387" s="15"/>
      <c r="E387" s="15"/>
      <c r="F387" s="15"/>
      <c r="G387" s="15"/>
      <c r="H387" s="15"/>
      <c r="I387" s="15"/>
      <c r="J387" s="19">
        <f>IF(OR(H387="",I387=""),"",IFERROR(INDEX(Catalogo_Vehiculos!$C$2:$C$1325,MATCH(TRUE(),INDEX(Catalogo_Vehiculos!$G$2:$G$1325=H387&amp;"|"&amp;I387,0),0)),"No en catálogo"))</f>
      </c>
      <c r="K387" s="19">
        <f>IF(OR(H387="",I387=""),"",IFERROR(INDEX(Catalogo_Vehiculos!$D$2:$D$1325,MATCH(TRUE(),INDEX(Catalogo_Vehiculos!$G$2:$G$1325=H387&amp;"|"&amp;I387,0),0)),"No en catálogo"))</f>
      </c>
      <c r="L387" s="19">
        <f>IF(OR(H387="",I387=""),"",IFERROR(INDEX(Catalogo_Vehiculos!$E$2:$E$1325,MATCH(TRUE(),INDEX(Catalogo_Vehiculos!$G$2:$G$1325=H387&amp;"|"&amp;I387,0),0)),"No en catálogo"))</f>
      </c>
      <c r="M387" s="19">
        <f>IF(OR(H387="",I387=""),"",IFERROR(INDEX(Catalogo_Vehiculos!$F$2:$F$1325,MATCH(TRUE(),INDEX(Catalogo_Vehiculos!$G$2:$G$1325=H387&amp;"|"&amp;I387,0),0)),"No en catálogo"))</f>
      </c>
      <c r="N387" s="20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9"/>
      <c r="Z387" s="19"/>
      <c r="AA387" s="15"/>
      <c r="AB387" s="15"/>
      <c r="AC387" s="15"/>
      <c r="AD387" s="15"/>
      <c r="AE387" s="15"/>
      <c r="AF387" s="19"/>
      <c r="AG387" s="19"/>
      <c r="AH387" s="15"/>
      <c r="AI387" s="15"/>
      <c r="AJ387" s="15"/>
      <c r="AK387" s="15"/>
      <c r="AL387" s="21"/>
      <c r="AM387" s="15"/>
      <c r="AN387" s="15"/>
      <c r="AO387" s="15"/>
      <c r="AP387" s="15"/>
      <c r="AQ387" s="15"/>
      <c r="AR387" s="15"/>
      <c r="AS387" s="15"/>
      <c r="AT387" s="19" t="str">
        <f>IF(COUNTA(A387:I387)+COUNTA(N387:X387)+COUNTA(AA387:AE387)+COUNTA(AH387:AS387)=0,"",IF(AND(A387&lt;&gt;"",E387&lt;&gt;"",OR(F387&lt;&gt;"",G387&lt;&gt;""),H387&lt;&gt;"",I387&lt;&gt;"",J387&lt;&gt;"No en catálogo",S387&lt;&gt;"",T387&lt;&gt;"",U387&lt;&gt;"",V387&lt;&gt;"",OR(AR387&lt;&gt;"",AND(W387&lt;&gt;"",X387&lt;&gt;"",AA387&lt;&gt;"",AB387&lt;&gt;"")),OR(AS387&lt;&gt;"",AND(AD387&lt;&gt;"",AE387&lt;&gt;"",AH387&lt;&gt;"",AI387&lt;&gt;"")),AK387&lt;&gt;"",OR(AK387&lt;&gt;"programado",AL387&lt;&gt;""),OR(AM387&lt;&gt;"específica",AN387&lt;&gt;""),OR(AO387&lt;&gt;"específica",AP387&lt;&gt;"")),"OK","Revisar"))</f>
        <v/>
      </c>
    </row>
    <row r="388" ht="15" customHeight="1" spans="1:46" x14ac:dyDescent="0.25">
      <c r="A388" s="15"/>
      <c r="B388" s="15"/>
      <c r="C388" s="15"/>
      <c r="D388" s="15"/>
      <c r="E388" s="15"/>
      <c r="F388" s="15"/>
      <c r="G388" s="15"/>
      <c r="H388" s="15"/>
      <c r="I388" s="15"/>
      <c r="J388" s="19">
        <f>IF(OR(H388="",I388=""),"",IFERROR(INDEX(Catalogo_Vehiculos!$C$2:$C$1325,MATCH(TRUE(),INDEX(Catalogo_Vehiculos!$G$2:$G$1325=H388&amp;"|"&amp;I388,0),0)),"No en catálogo"))</f>
      </c>
      <c r="K388" s="19">
        <f>IF(OR(H388="",I388=""),"",IFERROR(INDEX(Catalogo_Vehiculos!$D$2:$D$1325,MATCH(TRUE(),INDEX(Catalogo_Vehiculos!$G$2:$G$1325=H388&amp;"|"&amp;I388,0),0)),"No en catálogo"))</f>
      </c>
      <c r="L388" s="19">
        <f>IF(OR(H388="",I388=""),"",IFERROR(INDEX(Catalogo_Vehiculos!$E$2:$E$1325,MATCH(TRUE(),INDEX(Catalogo_Vehiculos!$G$2:$G$1325=H388&amp;"|"&amp;I388,0),0)),"No en catálogo"))</f>
      </c>
      <c r="M388" s="19">
        <f>IF(OR(H388="",I388=""),"",IFERROR(INDEX(Catalogo_Vehiculos!$F$2:$F$1325,MATCH(TRUE(),INDEX(Catalogo_Vehiculos!$G$2:$G$1325=H388&amp;"|"&amp;I388,0),0)),"No en catálogo"))</f>
      </c>
      <c r="N388" s="20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9"/>
      <c r="Z388" s="19"/>
      <c r="AA388" s="15"/>
      <c r="AB388" s="15"/>
      <c r="AC388" s="15"/>
      <c r="AD388" s="15"/>
      <c r="AE388" s="15"/>
      <c r="AF388" s="19"/>
      <c r="AG388" s="19"/>
      <c r="AH388" s="15"/>
      <c r="AI388" s="15"/>
      <c r="AJ388" s="15"/>
      <c r="AK388" s="15"/>
      <c r="AL388" s="21"/>
      <c r="AM388" s="15"/>
      <c r="AN388" s="15"/>
      <c r="AO388" s="15"/>
      <c r="AP388" s="15"/>
      <c r="AQ388" s="15"/>
      <c r="AR388" s="15"/>
      <c r="AS388" s="15"/>
      <c r="AT388" s="19" t="str">
        <f>IF(COUNTA(A388:I388)+COUNTA(N388:X388)+COUNTA(AA388:AE388)+COUNTA(AH388:AS388)=0,"",IF(AND(A388&lt;&gt;"",E388&lt;&gt;"",OR(F388&lt;&gt;"",G388&lt;&gt;""),H388&lt;&gt;"",I388&lt;&gt;"",J388&lt;&gt;"No en catálogo",S388&lt;&gt;"",T388&lt;&gt;"",U388&lt;&gt;"",V388&lt;&gt;"",OR(AR388&lt;&gt;"",AND(W388&lt;&gt;"",X388&lt;&gt;"",AA388&lt;&gt;"",AB388&lt;&gt;"")),OR(AS388&lt;&gt;"",AND(AD388&lt;&gt;"",AE388&lt;&gt;"",AH388&lt;&gt;"",AI388&lt;&gt;"")),AK388&lt;&gt;"",OR(AK388&lt;&gt;"programado",AL388&lt;&gt;""),OR(AM388&lt;&gt;"específica",AN388&lt;&gt;""),OR(AO388&lt;&gt;"específica",AP388&lt;&gt;"")),"OK","Revisar"))</f>
        <v/>
      </c>
    </row>
    <row r="389" ht="15" customHeight="1" spans="1:46" x14ac:dyDescent="0.25">
      <c r="A389" s="15"/>
      <c r="B389" s="15"/>
      <c r="C389" s="15"/>
      <c r="D389" s="15"/>
      <c r="E389" s="15"/>
      <c r="F389" s="15"/>
      <c r="G389" s="15"/>
      <c r="H389" s="15"/>
      <c r="I389" s="15"/>
      <c r="J389" s="19">
        <f>IF(OR(H389="",I389=""),"",IFERROR(INDEX(Catalogo_Vehiculos!$C$2:$C$1325,MATCH(TRUE(),INDEX(Catalogo_Vehiculos!$G$2:$G$1325=H389&amp;"|"&amp;I389,0),0)),"No en catálogo"))</f>
      </c>
      <c r="K389" s="19">
        <f>IF(OR(H389="",I389=""),"",IFERROR(INDEX(Catalogo_Vehiculos!$D$2:$D$1325,MATCH(TRUE(),INDEX(Catalogo_Vehiculos!$G$2:$G$1325=H389&amp;"|"&amp;I389,0),0)),"No en catálogo"))</f>
      </c>
      <c r="L389" s="19">
        <f>IF(OR(H389="",I389=""),"",IFERROR(INDEX(Catalogo_Vehiculos!$E$2:$E$1325,MATCH(TRUE(),INDEX(Catalogo_Vehiculos!$G$2:$G$1325=H389&amp;"|"&amp;I389,0),0)),"No en catálogo"))</f>
      </c>
      <c r="M389" s="19">
        <f>IF(OR(H389="",I389=""),"",IFERROR(INDEX(Catalogo_Vehiculos!$F$2:$F$1325,MATCH(TRUE(),INDEX(Catalogo_Vehiculos!$G$2:$G$1325=H389&amp;"|"&amp;I389,0),0)),"No en catálogo"))</f>
      </c>
      <c r="N389" s="20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9"/>
      <c r="Z389" s="19"/>
      <c r="AA389" s="15"/>
      <c r="AB389" s="15"/>
      <c r="AC389" s="15"/>
      <c r="AD389" s="15"/>
      <c r="AE389" s="15"/>
      <c r="AF389" s="19"/>
      <c r="AG389" s="19"/>
      <c r="AH389" s="15"/>
      <c r="AI389" s="15"/>
      <c r="AJ389" s="15"/>
      <c r="AK389" s="15"/>
      <c r="AL389" s="21"/>
      <c r="AM389" s="15"/>
      <c r="AN389" s="15"/>
      <c r="AO389" s="15"/>
      <c r="AP389" s="15"/>
      <c r="AQ389" s="15"/>
      <c r="AR389" s="15"/>
      <c r="AS389" s="15"/>
      <c r="AT389" s="19" t="str">
        <f>IF(COUNTA(A389:I389)+COUNTA(N389:X389)+COUNTA(AA389:AE389)+COUNTA(AH389:AS389)=0,"",IF(AND(A389&lt;&gt;"",E389&lt;&gt;"",OR(F389&lt;&gt;"",G389&lt;&gt;""),H389&lt;&gt;"",I389&lt;&gt;"",J389&lt;&gt;"No en catálogo",S389&lt;&gt;"",T389&lt;&gt;"",U389&lt;&gt;"",V389&lt;&gt;"",OR(AR389&lt;&gt;"",AND(W389&lt;&gt;"",X389&lt;&gt;"",AA389&lt;&gt;"",AB389&lt;&gt;"")),OR(AS389&lt;&gt;"",AND(AD389&lt;&gt;"",AE389&lt;&gt;"",AH389&lt;&gt;"",AI389&lt;&gt;"")),AK389&lt;&gt;"",OR(AK389&lt;&gt;"programado",AL389&lt;&gt;""),OR(AM389&lt;&gt;"específica",AN389&lt;&gt;""),OR(AO389&lt;&gt;"específica",AP389&lt;&gt;"")),"OK","Revisar"))</f>
        <v/>
      </c>
    </row>
    <row r="390" ht="15" customHeight="1" spans="1:46" x14ac:dyDescent="0.25">
      <c r="A390" s="15"/>
      <c r="B390" s="15"/>
      <c r="C390" s="15"/>
      <c r="D390" s="15"/>
      <c r="E390" s="15"/>
      <c r="F390" s="15"/>
      <c r="G390" s="15"/>
      <c r="H390" s="15"/>
      <c r="I390" s="15"/>
      <c r="J390" s="19">
        <f>IF(OR(H390="",I390=""),"",IFERROR(INDEX(Catalogo_Vehiculos!$C$2:$C$1325,MATCH(TRUE(),INDEX(Catalogo_Vehiculos!$G$2:$G$1325=H390&amp;"|"&amp;I390,0),0)),"No en catálogo"))</f>
      </c>
      <c r="K390" s="19">
        <f>IF(OR(H390="",I390=""),"",IFERROR(INDEX(Catalogo_Vehiculos!$D$2:$D$1325,MATCH(TRUE(),INDEX(Catalogo_Vehiculos!$G$2:$G$1325=H390&amp;"|"&amp;I390,0),0)),"No en catálogo"))</f>
      </c>
      <c r="L390" s="19">
        <f>IF(OR(H390="",I390=""),"",IFERROR(INDEX(Catalogo_Vehiculos!$E$2:$E$1325,MATCH(TRUE(),INDEX(Catalogo_Vehiculos!$G$2:$G$1325=H390&amp;"|"&amp;I390,0),0)),"No en catálogo"))</f>
      </c>
      <c r="M390" s="19">
        <f>IF(OR(H390="",I390=""),"",IFERROR(INDEX(Catalogo_Vehiculos!$F$2:$F$1325,MATCH(TRUE(),INDEX(Catalogo_Vehiculos!$G$2:$G$1325=H390&amp;"|"&amp;I390,0),0)),"No en catálogo"))</f>
      </c>
      <c r="N390" s="20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9"/>
      <c r="Z390" s="19"/>
      <c r="AA390" s="15"/>
      <c r="AB390" s="15"/>
      <c r="AC390" s="15"/>
      <c r="AD390" s="15"/>
      <c r="AE390" s="15"/>
      <c r="AF390" s="19"/>
      <c r="AG390" s="19"/>
      <c r="AH390" s="15"/>
      <c r="AI390" s="15"/>
      <c r="AJ390" s="15"/>
      <c r="AK390" s="15"/>
      <c r="AL390" s="21"/>
      <c r="AM390" s="15"/>
      <c r="AN390" s="15"/>
      <c r="AO390" s="15"/>
      <c r="AP390" s="15"/>
      <c r="AQ390" s="15"/>
      <c r="AR390" s="15"/>
      <c r="AS390" s="15"/>
      <c r="AT390" s="19" t="str">
        <f>IF(COUNTA(A390:I390)+COUNTA(N390:X390)+COUNTA(AA390:AE390)+COUNTA(AH390:AS390)=0,"",IF(AND(A390&lt;&gt;"",E390&lt;&gt;"",OR(F390&lt;&gt;"",G390&lt;&gt;""),H390&lt;&gt;"",I390&lt;&gt;"",J390&lt;&gt;"No en catálogo",S390&lt;&gt;"",T390&lt;&gt;"",U390&lt;&gt;"",V390&lt;&gt;"",OR(AR390&lt;&gt;"",AND(W390&lt;&gt;"",X390&lt;&gt;"",AA390&lt;&gt;"",AB390&lt;&gt;"")),OR(AS390&lt;&gt;"",AND(AD390&lt;&gt;"",AE390&lt;&gt;"",AH390&lt;&gt;"",AI390&lt;&gt;"")),AK390&lt;&gt;"",OR(AK390&lt;&gt;"programado",AL390&lt;&gt;""),OR(AM390&lt;&gt;"específica",AN390&lt;&gt;""),OR(AO390&lt;&gt;"específica",AP390&lt;&gt;"")),"OK","Revisar"))</f>
        <v/>
      </c>
    </row>
    <row r="391" ht="15" customHeight="1" spans="1:46" x14ac:dyDescent="0.25">
      <c r="A391" s="15"/>
      <c r="B391" s="15"/>
      <c r="C391" s="15"/>
      <c r="D391" s="15"/>
      <c r="E391" s="15"/>
      <c r="F391" s="15"/>
      <c r="G391" s="15"/>
      <c r="H391" s="15"/>
      <c r="I391" s="15"/>
      <c r="J391" s="19">
        <f>IF(OR(H391="",I391=""),"",IFERROR(INDEX(Catalogo_Vehiculos!$C$2:$C$1325,MATCH(TRUE(),INDEX(Catalogo_Vehiculos!$G$2:$G$1325=H391&amp;"|"&amp;I391,0),0)),"No en catálogo"))</f>
      </c>
      <c r="K391" s="19">
        <f>IF(OR(H391="",I391=""),"",IFERROR(INDEX(Catalogo_Vehiculos!$D$2:$D$1325,MATCH(TRUE(),INDEX(Catalogo_Vehiculos!$G$2:$G$1325=H391&amp;"|"&amp;I391,0),0)),"No en catálogo"))</f>
      </c>
      <c r="L391" s="19">
        <f>IF(OR(H391="",I391=""),"",IFERROR(INDEX(Catalogo_Vehiculos!$E$2:$E$1325,MATCH(TRUE(),INDEX(Catalogo_Vehiculos!$G$2:$G$1325=H391&amp;"|"&amp;I391,0),0)),"No en catálogo"))</f>
      </c>
      <c r="M391" s="19">
        <f>IF(OR(H391="",I391=""),"",IFERROR(INDEX(Catalogo_Vehiculos!$F$2:$F$1325,MATCH(TRUE(),INDEX(Catalogo_Vehiculos!$G$2:$G$1325=H391&amp;"|"&amp;I391,0),0)),"No en catálogo"))</f>
      </c>
      <c r="N391" s="20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9"/>
      <c r="Z391" s="19"/>
      <c r="AA391" s="15"/>
      <c r="AB391" s="15"/>
      <c r="AC391" s="15"/>
      <c r="AD391" s="15"/>
      <c r="AE391" s="15"/>
      <c r="AF391" s="19"/>
      <c r="AG391" s="19"/>
      <c r="AH391" s="15"/>
      <c r="AI391" s="15"/>
      <c r="AJ391" s="15"/>
      <c r="AK391" s="15"/>
      <c r="AL391" s="21"/>
      <c r="AM391" s="15"/>
      <c r="AN391" s="15"/>
      <c r="AO391" s="15"/>
      <c r="AP391" s="15"/>
      <c r="AQ391" s="15"/>
      <c r="AR391" s="15"/>
      <c r="AS391" s="15"/>
      <c r="AT391" s="19" t="str">
        <f>IF(COUNTA(A391:I391)+COUNTA(N391:X391)+COUNTA(AA391:AE391)+COUNTA(AH391:AS391)=0,"",IF(AND(A391&lt;&gt;"",E391&lt;&gt;"",OR(F391&lt;&gt;"",G391&lt;&gt;""),H391&lt;&gt;"",I391&lt;&gt;"",J391&lt;&gt;"No en catálogo",S391&lt;&gt;"",T391&lt;&gt;"",U391&lt;&gt;"",V391&lt;&gt;"",OR(AR391&lt;&gt;"",AND(W391&lt;&gt;"",X391&lt;&gt;"",AA391&lt;&gt;"",AB391&lt;&gt;"")),OR(AS391&lt;&gt;"",AND(AD391&lt;&gt;"",AE391&lt;&gt;"",AH391&lt;&gt;"",AI391&lt;&gt;"")),AK391&lt;&gt;"",OR(AK391&lt;&gt;"programado",AL391&lt;&gt;""),OR(AM391&lt;&gt;"específica",AN391&lt;&gt;""),OR(AO391&lt;&gt;"específica",AP391&lt;&gt;"")),"OK","Revisar"))</f>
        <v/>
      </c>
    </row>
    <row r="392" ht="15" customHeight="1" spans="1:46" x14ac:dyDescent="0.25">
      <c r="A392" s="15"/>
      <c r="B392" s="15"/>
      <c r="C392" s="15"/>
      <c r="D392" s="15"/>
      <c r="E392" s="15"/>
      <c r="F392" s="15"/>
      <c r="G392" s="15"/>
      <c r="H392" s="15"/>
      <c r="I392" s="15"/>
      <c r="J392" s="19">
        <f>IF(OR(H392="",I392=""),"",IFERROR(INDEX(Catalogo_Vehiculos!$C$2:$C$1325,MATCH(TRUE(),INDEX(Catalogo_Vehiculos!$G$2:$G$1325=H392&amp;"|"&amp;I392,0),0)),"No en catálogo"))</f>
      </c>
      <c r="K392" s="19">
        <f>IF(OR(H392="",I392=""),"",IFERROR(INDEX(Catalogo_Vehiculos!$D$2:$D$1325,MATCH(TRUE(),INDEX(Catalogo_Vehiculos!$G$2:$G$1325=H392&amp;"|"&amp;I392,0),0)),"No en catálogo"))</f>
      </c>
      <c r="L392" s="19">
        <f>IF(OR(H392="",I392=""),"",IFERROR(INDEX(Catalogo_Vehiculos!$E$2:$E$1325,MATCH(TRUE(),INDEX(Catalogo_Vehiculos!$G$2:$G$1325=H392&amp;"|"&amp;I392,0),0)),"No en catálogo"))</f>
      </c>
      <c r="M392" s="19">
        <f>IF(OR(H392="",I392=""),"",IFERROR(INDEX(Catalogo_Vehiculos!$F$2:$F$1325,MATCH(TRUE(),INDEX(Catalogo_Vehiculos!$G$2:$G$1325=H392&amp;"|"&amp;I392,0),0)),"No en catálogo"))</f>
      </c>
      <c r="N392" s="20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9"/>
      <c r="Z392" s="19"/>
      <c r="AA392" s="15"/>
      <c r="AB392" s="15"/>
      <c r="AC392" s="15"/>
      <c r="AD392" s="15"/>
      <c r="AE392" s="15"/>
      <c r="AF392" s="19"/>
      <c r="AG392" s="19"/>
      <c r="AH392" s="15"/>
      <c r="AI392" s="15"/>
      <c r="AJ392" s="15"/>
      <c r="AK392" s="15"/>
      <c r="AL392" s="21"/>
      <c r="AM392" s="15"/>
      <c r="AN392" s="15"/>
      <c r="AO392" s="15"/>
      <c r="AP392" s="15"/>
      <c r="AQ392" s="15"/>
      <c r="AR392" s="15"/>
      <c r="AS392" s="15"/>
      <c r="AT392" s="19" t="str">
        <f>IF(COUNTA(A392:I392)+COUNTA(N392:X392)+COUNTA(AA392:AE392)+COUNTA(AH392:AS392)=0,"",IF(AND(A392&lt;&gt;"",E392&lt;&gt;"",OR(F392&lt;&gt;"",G392&lt;&gt;""),H392&lt;&gt;"",I392&lt;&gt;"",J392&lt;&gt;"No en catálogo",S392&lt;&gt;"",T392&lt;&gt;"",U392&lt;&gt;"",V392&lt;&gt;"",OR(AR392&lt;&gt;"",AND(W392&lt;&gt;"",X392&lt;&gt;"",AA392&lt;&gt;"",AB392&lt;&gt;"")),OR(AS392&lt;&gt;"",AND(AD392&lt;&gt;"",AE392&lt;&gt;"",AH392&lt;&gt;"",AI392&lt;&gt;"")),AK392&lt;&gt;"",OR(AK392&lt;&gt;"programado",AL392&lt;&gt;""),OR(AM392&lt;&gt;"específica",AN392&lt;&gt;""),OR(AO392&lt;&gt;"específica",AP392&lt;&gt;"")),"OK","Revisar"))</f>
        <v/>
      </c>
    </row>
    <row r="393" ht="15" customHeight="1" spans="1:46" x14ac:dyDescent="0.25">
      <c r="A393" s="15"/>
      <c r="B393" s="15"/>
      <c r="C393" s="15"/>
      <c r="D393" s="15"/>
      <c r="E393" s="15"/>
      <c r="F393" s="15"/>
      <c r="G393" s="15"/>
      <c r="H393" s="15"/>
      <c r="I393" s="15"/>
      <c r="J393" s="19">
        <f>IF(OR(H393="",I393=""),"",IFERROR(INDEX(Catalogo_Vehiculos!$C$2:$C$1325,MATCH(TRUE(),INDEX(Catalogo_Vehiculos!$G$2:$G$1325=H393&amp;"|"&amp;I393,0),0)),"No en catálogo"))</f>
      </c>
      <c r="K393" s="19">
        <f>IF(OR(H393="",I393=""),"",IFERROR(INDEX(Catalogo_Vehiculos!$D$2:$D$1325,MATCH(TRUE(),INDEX(Catalogo_Vehiculos!$G$2:$G$1325=H393&amp;"|"&amp;I393,0),0)),"No en catálogo"))</f>
      </c>
      <c r="L393" s="19">
        <f>IF(OR(H393="",I393=""),"",IFERROR(INDEX(Catalogo_Vehiculos!$E$2:$E$1325,MATCH(TRUE(),INDEX(Catalogo_Vehiculos!$G$2:$G$1325=H393&amp;"|"&amp;I393,0),0)),"No en catálogo"))</f>
      </c>
      <c r="M393" s="19">
        <f>IF(OR(H393="",I393=""),"",IFERROR(INDEX(Catalogo_Vehiculos!$F$2:$F$1325,MATCH(TRUE(),INDEX(Catalogo_Vehiculos!$G$2:$G$1325=H393&amp;"|"&amp;I393,0),0)),"No en catálogo"))</f>
      </c>
      <c r="N393" s="20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9"/>
      <c r="Z393" s="19"/>
      <c r="AA393" s="15"/>
      <c r="AB393" s="15"/>
      <c r="AC393" s="15"/>
      <c r="AD393" s="15"/>
      <c r="AE393" s="15"/>
      <c r="AF393" s="19"/>
      <c r="AG393" s="19"/>
      <c r="AH393" s="15"/>
      <c r="AI393" s="15"/>
      <c r="AJ393" s="15"/>
      <c r="AK393" s="15"/>
      <c r="AL393" s="21"/>
      <c r="AM393" s="15"/>
      <c r="AN393" s="15"/>
      <c r="AO393" s="15"/>
      <c r="AP393" s="15"/>
      <c r="AQ393" s="15"/>
      <c r="AR393" s="15"/>
      <c r="AS393" s="15"/>
      <c r="AT393" s="19" t="str">
        <f>IF(COUNTA(A393:I393)+COUNTA(N393:X393)+COUNTA(AA393:AE393)+COUNTA(AH393:AS393)=0,"",IF(AND(A393&lt;&gt;"",E393&lt;&gt;"",OR(F393&lt;&gt;"",G393&lt;&gt;""),H393&lt;&gt;"",I393&lt;&gt;"",J393&lt;&gt;"No en catálogo",S393&lt;&gt;"",T393&lt;&gt;"",U393&lt;&gt;"",V393&lt;&gt;"",OR(AR393&lt;&gt;"",AND(W393&lt;&gt;"",X393&lt;&gt;"",AA393&lt;&gt;"",AB393&lt;&gt;"")),OR(AS393&lt;&gt;"",AND(AD393&lt;&gt;"",AE393&lt;&gt;"",AH393&lt;&gt;"",AI393&lt;&gt;"")),AK393&lt;&gt;"",OR(AK393&lt;&gt;"programado",AL393&lt;&gt;""),OR(AM393&lt;&gt;"específica",AN393&lt;&gt;""),OR(AO393&lt;&gt;"específica",AP393&lt;&gt;"")),"OK","Revisar"))</f>
        <v/>
      </c>
    </row>
    <row r="394" ht="15" customHeight="1" spans="1:46" x14ac:dyDescent="0.25">
      <c r="A394" s="15"/>
      <c r="B394" s="15"/>
      <c r="C394" s="15"/>
      <c r="D394" s="15"/>
      <c r="E394" s="15"/>
      <c r="F394" s="15"/>
      <c r="G394" s="15"/>
      <c r="H394" s="15"/>
      <c r="I394" s="15"/>
      <c r="J394" s="19">
        <f>IF(OR(H394="",I394=""),"",IFERROR(INDEX(Catalogo_Vehiculos!$C$2:$C$1325,MATCH(TRUE(),INDEX(Catalogo_Vehiculos!$G$2:$G$1325=H394&amp;"|"&amp;I394,0),0)),"No en catálogo"))</f>
      </c>
      <c r="K394" s="19">
        <f>IF(OR(H394="",I394=""),"",IFERROR(INDEX(Catalogo_Vehiculos!$D$2:$D$1325,MATCH(TRUE(),INDEX(Catalogo_Vehiculos!$G$2:$G$1325=H394&amp;"|"&amp;I394,0),0)),"No en catálogo"))</f>
      </c>
      <c r="L394" s="19">
        <f>IF(OR(H394="",I394=""),"",IFERROR(INDEX(Catalogo_Vehiculos!$E$2:$E$1325,MATCH(TRUE(),INDEX(Catalogo_Vehiculos!$G$2:$G$1325=H394&amp;"|"&amp;I394,0),0)),"No en catálogo"))</f>
      </c>
      <c r="M394" s="19">
        <f>IF(OR(H394="",I394=""),"",IFERROR(INDEX(Catalogo_Vehiculos!$F$2:$F$1325,MATCH(TRUE(),INDEX(Catalogo_Vehiculos!$G$2:$G$1325=H394&amp;"|"&amp;I394,0),0)),"No en catálogo"))</f>
      </c>
      <c r="N394" s="20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9"/>
      <c r="Z394" s="19"/>
      <c r="AA394" s="15"/>
      <c r="AB394" s="15"/>
      <c r="AC394" s="15"/>
      <c r="AD394" s="15"/>
      <c r="AE394" s="15"/>
      <c r="AF394" s="19"/>
      <c r="AG394" s="19"/>
      <c r="AH394" s="15"/>
      <c r="AI394" s="15"/>
      <c r="AJ394" s="15"/>
      <c r="AK394" s="15"/>
      <c r="AL394" s="21"/>
      <c r="AM394" s="15"/>
      <c r="AN394" s="15"/>
      <c r="AO394" s="15"/>
      <c r="AP394" s="15"/>
      <c r="AQ394" s="15"/>
      <c r="AR394" s="15"/>
      <c r="AS394" s="15"/>
      <c r="AT394" s="19" t="str">
        <f>IF(COUNTA(A394:I394)+COUNTA(N394:X394)+COUNTA(AA394:AE394)+COUNTA(AH394:AS394)=0,"",IF(AND(A394&lt;&gt;"",E394&lt;&gt;"",OR(F394&lt;&gt;"",G394&lt;&gt;""),H394&lt;&gt;"",I394&lt;&gt;"",J394&lt;&gt;"No en catálogo",S394&lt;&gt;"",T394&lt;&gt;"",U394&lt;&gt;"",V394&lt;&gt;"",OR(AR394&lt;&gt;"",AND(W394&lt;&gt;"",X394&lt;&gt;"",AA394&lt;&gt;"",AB394&lt;&gt;"")),OR(AS394&lt;&gt;"",AND(AD394&lt;&gt;"",AE394&lt;&gt;"",AH394&lt;&gt;"",AI394&lt;&gt;"")),AK394&lt;&gt;"",OR(AK394&lt;&gt;"programado",AL394&lt;&gt;""),OR(AM394&lt;&gt;"específica",AN394&lt;&gt;""),OR(AO394&lt;&gt;"específica",AP394&lt;&gt;"")),"OK","Revisar"))</f>
        <v/>
      </c>
    </row>
    <row r="395" ht="15" customHeight="1" spans="1:46" x14ac:dyDescent="0.25">
      <c r="A395" s="15"/>
      <c r="B395" s="15"/>
      <c r="C395" s="15"/>
      <c r="D395" s="15"/>
      <c r="E395" s="15"/>
      <c r="F395" s="15"/>
      <c r="G395" s="15"/>
      <c r="H395" s="15"/>
      <c r="I395" s="15"/>
      <c r="J395" s="19">
        <f>IF(OR(H395="",I395=""),"",IFERROR(INDEX(Catalogo_Vehiculos!$C$2:$C$1325,MATCH(TRUE(),INDEX(Catalogo_Vehiculos!$G$2:$G$1325=H395&amp;"|"&amp;I395,0),0)),"No en catálogo"))</f>
      </c>
      <c r="K395" s="19">
        <f>IF(OR(H395="",I395=""),"",IFERROR(INDEX(Catalogo_Vehiculos!$D$2:$D$1325,MATCH(TRUE(),INDEX(Catalogo_Vehiculos!$G$2:$G$1325=H395&amp;"|"&amp;I395,0),0)),"No en catálogo"))</f>
      </c>
      <c r="L395" s="19">
        <f>IF(OR(H395="",I395=""),"",IFERROR(INDEX(Catalogo_Vehiculos!$E$2:$E$1325,MATCH(TRUE(),INDEX(Catalogo_Vehiculos!$G$2:$G$1325=H395&amp;"|"&amp;I395,0),0)),"No en catálogo"))</f>
      </c>
      <c r="M395" s="19">
        <f>IF(OR(H395="",I395=""),"",IFERROR(INDEX(Catalogo_Vehiculos!$F$2:$F$1325,MATCH(TRUE(),INDEX(Catalogo_Vehiculos!$G$2:$G$1325=H395&amp;"|"&amp;I395,0),0)),"No en catálogo"))</f>
      </c>
      <c r="N395" s="20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9"/>
      <c r="Z395" s="19"/>
      <c r="AA395" s="15"/>
      <c r="AB395" s="15"/>
      <c r="AC395" s="15"/>
      <c r="AD395" s="15"/>
      <c r="AE395" s="15"/>
      <c r="AF395" s="19"/>
      <c r="AG395" s="19"/>
      <c r="AH395" s="15"/>
      <c r="AI395" s="15"/>
      <c r="AJ395" s="15"/>
      <c r="AK395" s="15"/>
      <c r="AL395" s="21"/>
      <c r="AM395" s="15"/>
      <c r="AN395" s="15"/>
      <c r="AO395" s="15"/>
      <c r="AP395" s="15"/>
      <c r="AQ395" s="15"/>
      <c r="AR395" s="15"/>
      <c r="AS395" s="15"/>
      <c r="AT395" s="19" t="str">
        <f>IF(COUNTA(A395:I395)+COUNTA(N395:X395)+COUNTA(AA395:AE395)+COUNTA(AH395:AS395)=0,"",IF(AND(A395&lt;&gt;"",E395&lt;&gt;"",OR(F395&lt;&gt;"",G395&lt;&gt;""),H395&lt;&gt;"",I395&lt;&gt;"",J395&lt;&gt;"No en catálogo",S395&lt;&gt;"",T395&lt;&gt;"",U395&lt;&gt;"",V395&lt;&gt;"",OR(AR395&lt;&gt;"",AND(W395&lt;&gt;"",X395&lt;&gt;"",AA395&lt;&gt;"",AB395&lt;&gt;"")),OR(AS395&lt;&gt;"",AND(AD395&lt;&gt;"",AE395&lt;&gt;"",AH395&lt;&gt;"",AI395&lt;&gt;"")),AK395&lt;&gt;"",OR(AK395&lt;&gt;"programado",AL395&lt;&gt;""),OR(AM395&lt;&gt;"específica",AN395&lt;&gt;""),OR(AO395&lt;&gt;"específica",AP395&lt;&gt;"")),"OK","Revisar"))</f>
        <v/>
      </c>
    </row>
    <row r="396" ht="15" customHeight="1" spans="1:46" x14ac:dyDescent="0.25">
      <c r="A396" s="15"/>
      <c r="B396" s="15"/>
      <c r="C396" s="15"/>
      <c r="D396" s="15"/>
      <c r="E396" s="15"/>
      <c r="F396" s="15"/>
      <c r="G396" s="15"/>
      <c r="H396" s="15"/>
      <c r="I396" s="15"/>
      <c r="J396" s="19">
        <f>IF(OR(H396="",I396=""),"",IFERROR(INDEX(Catalogo_Vehiculos!$C$2:$C$1325,MATCH(TRUE(),INDEX(Catalogo_Vehiculos!$G$2:$G$1325=H396&amp;"|"&amp;I396,0),0)),"No en catálogo"))</f>
      </c>
      <c r="K396" s="19">
        <f>IF(OR(H396="",I396=""),"",IFERROR(INDEX(Catalogo_Vehiculos!$D$2:$D$1325,MATCH(TRUE(),INDEX(Catalogo_Vehiculos!$G$2:$G$1325=H396&amp;"|"&amp;I396,0),0)),"No en catálogo"))</f>
      </c>
      <c r="L396" s="19">
        <f>IF(OR(H396="",I396=""),"",IFERROR(INDEX(Catalogo_Vehiculos!$E$2:$E$1325,MATCH(TRUE(),INDEX(Catalogo_Vehiculos!$G$2:$G$1325=H396&amp;"|"&amp;I396,0),0)),"No en catálogo"))</f>
      </c>
      <c r="M396" s="19">
        <f>IF(OR(H396="",I396=""),"",IFERROR(INDEX(Catalogo_Vehiculos!$F$2:$F$1325,MATCH(TRUE(),INDEX(Catalogo_Vehiculos!$G$2:$G$1325=H396&amp;"|"&amp;I396,0),0)),"No en catálogo"))</f>
      </c>
      <c r="N396" s="20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9"/>
      <c r="Z396" s="19"/>
      <c r="AA396" s="15"/>
      <c r="AB396" s="15"/>
      <c r="AC396" s="15"/>
      <c r="AD396" s="15"/>
      <c r="AE396" s="15"/>
      <c r="AF396" s="19"/>
      <c r="AG396" s="19"/>
      <c r="AH396" s="15"/>
      <c r="AI396" s="15"/>
      <c r="AJ396" s="15"/>
      <c r="AK396" s="15"/>
      <c r="AL396" s="21"/>
      <c r="AM396" s="15"/>
      <c r="AN396" s="15"/>
      <c r="AO396" s="15"/>
      <c r="AP396" s="15"/>
      <c r="AQ396" s="15"/>
      <c r="AR396" s="15"/>
      <c r="AS396" s="15"/>
      <c r="AT396" s="19" t="str">
        <f>IF(COUNTA(A396:I396)+COUNTA(N396:X396)+COUNTA(AA396:AE396)+COUNTA(AH396:AS396)=0,"",IF(AND(A396&lt;&gt;"",E396&lt;&gt;"",OR(F396&lt;&gt;"",G396&lt;&gt;""),H396&lt;&gt;"",I396&lt;&gt;"",J396&lt;&gt;"No en catálogo",S396&lt;&gt;"",T396&lt;&gt;"",U396&lt;&gt;"",V396&lt;&gt;"",OR(AR396&lt;&gt;"",AND(W396&lt;&gt;"",X396&lt;&gt;"",AA396&lt;&gt;"",AB396&lt;&gt;"")),OR(AS396&lt;&gt;"",AND(AD396&lt;&gt;"",AE396&lt;&gt;"",AH396&lt;&gt;"",AI396&lt;&gt;"")),AK396&lt;&gt;"",OR(AK396&lt;&gt;"programado",AL396&lt;&gt;""),OR(AM396&lt;&gt;"específica",AN396&lt;&gt;""),OR(AO396&lt;&gt;"específica",AP396&lt;&gt;"")),"OK","Revisar"))</f>
        <v/>
      </c>
    </row>
    <row r="397" ht="15" customHeight="1" spans="1:46" x14ac:dyDescent="0.25">
      <c r="A397" s="15"/>
      <c r="B397" s="15"/>
      <c r="C397" s="15"/>
      <c r="D397" s="15"/>
      <c r="E397" s="15"/>
      <c r="F397" s="15"/>
      <c r="G397" s="15"/>
      <c r="H397" s="15"/>
      <c r="I397" s="15"/>
      <c r="J397" s="19">
        <f>IF(OR(H397="",I397=""),"",IFERROR(INDEX(Catalogo_Vehiculos!$C$2:$C$1325,MATCH(TRUE(),INDEX(Catalogo_Vehiculos!$G$2:$G$1325=H397&amp;"|"&amp;I397,0),0)),"No en catálogo"))</f>
      </c>
      <c r="K397" s="19">
        <f>IF(OR(H397="",I397=""),"",IFERROR(INDEX(Catalogo_Vehiculos!$D$2:$D$1325,MATCH(TRUE(),INDEX(Catalogo_Vehiculos!$G$2:$G$1325=H397&amp;"|"&amp;I397,0),0)),"No en catálogo"))</f>
      </c>
      <c r="L397" s="19">
        <f>IF(OR(H397="",I397=""),"",IFERROR(INDEX(Catalogo_Vehiculos!$E$2:$E$1325,MATCH(TRUE(),INDEX(Catalogo_Vehiculos!$G$2:$G$1325=H397&amp;"|"&amp;I397,0),0)),"No en catálogo"))</f>
      </c>
      <c r="M397" s="19">
        <f>IF(OR(H397="",I397=""),"",IFERROR(INDEX(Catalogo_Vehiculos!$F$2:$F$1325,MATCH(TRUE(),INDEX(Catalogo_Vehiculos!$G$2:$G$1325=H397&amp;"|"&amp;I397,0),0)),"No en catálogo"))</f>
      </c>
      <c r="N397" s="20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9"/>
      <c r="Z397" s="19"/>
      <c r="AA397" s="15"/>
      <c r="AB397" s="15"/>
      <c r="AC397" s="15"/>
      <c r="AD397" s="15"/>
      <c r="AE397" s="15"/>
      <c r="AF397" s="19"/>
      <c r="AG397" s="19"/>
      <c r="AH397" s="15"/>
      <c r="AI397" s="15"/>
      <c r="AJ397" s="15"/>
      <c r="AK397" s="15"/>
      <c r="AL397" s="21"/>
      <c r="AM397" s="15"/>
      <c r="AN397" s="15"/>
      <c r="AO397" s="15"/>
      <c r="AP397" s="15"/>
      <c r="AQ397" s="15"/>
      <c r="AR397" s="15"/>
      <c r="AS397" s="15"/>
      <c r="AT397" s="19" t="str">
        <f>IF(COUNTA(A397:I397)+COUNTA(N397:X397)+COUNTA(AA397:AE397)+COUNTA(AH397:AS397)=0,"",IF(AND(A397&lt;&gt;"",E397&lt;&gt;"",OR(F397&lt;&gt;"",G397&lt;&gt;""),H397&lt;&gt;"",I397&lt;&gt;"",J397&lt;&gt;"No en catálogo",S397&lt;&gt;"",T397&lt;&gt;"",U397&lt;&gt;"",V397&lt;&gt;"",OR(AR397&lt;&gt;"",AND(W397&lt;&gt;"",X397&lt;&gt;"",AA397&lt;&gt;"",AB397&lt;&gt;"")),OR(AS397&lt;&gt;"",AND(AD397&lt;&gt;"",AE397&lt;&gt;"",AH397&lt;&gt;"",AI397&lt;&gt;"")),AK397&lt;&gt;"",OR(AK397&lt;&gt;"programado",AL397&lt;&gt;""),OR(AM397&lt;&gt;"específica",AN397&lt;&gt;""),OR(AO397&lt;&gt;"específica",AP397&lt;&gt;"")),"OK","Revisar"))</f>
        <v/>
      </c>
    </row>
    <row r="398" ht="15" customHeight="1" spans="1:46" x14ac:dyDescent="0.25">
      <c r="A398" s="15"/>
      <c r="B398" s="15"/>
      <c r="C398" s="15"/>
      <c r="D398" s="15"/>
      <c r="E398" s="15"/>
      <c r="F398" s="15"/>
      <c r="G398" s="15"/>
      <c r="H398" s="15"/>
      <c r="I398" s="15"/>
      <c r="J398" s="19">
        <f>IF(OR(H398="",I398=""),"",IFERROR(INDEX(Catalogo_Vehiculos!$C$2:$C$1325,MATCH(TRUE(),INDEX(Catalogo_Vehiculos!$G$2:$G$1325=H398&amp;"|"&amp;I398,0),0)),"No en catálogo"))</f>
      </c>
      <c r="K398" s="19">
        <f>IF(OR(H398="",I398=""),"",IFERROR(INDEX(Catalogo_Vehiculos!$D$2:$D$1325,MATCH(TRUE(),INDEX(Catalogo_Vehiculos!$G$2:$G$1325=H398&amp;"|"&amp;I398,0),0)),"No en catálogo"))</f>
      </c>
      <c r="L398" s="19">
        <f>IF(OR(H398="",I398=""),"",IFERROR(INDEX(Catalogo_Vehiculos!$E$2:$E$1325,MATCH(TRUE(),INDEX(Catalogo_Vehiculos!$G$2:$G$1325=H398&amp;"|"&amp;I398,0),0)),"No en catálogo"))</f>
      </c>
      <c r="M398" s="19">
        <f>IF(OR(H398="",I398=""),"",IFERROR(INDEX(Catalogo_Vehiculos!$F$2:$F$1325,MATCH(TRUE(),INDEX(Catalogo_Vehiculos!$G$2:$G$1325=H398&amp;"|"&amp;I398,0),0)),"No en catálogo"))</f>
      </c>
      <c r="N398" s="20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9"/>
      <c r="Z398" s="19"/>
      <c r="AA398" s="15"/>
      <c r="AB398" s="15"/>
      <c r="AC398" s="15"/>
      <c r="AD398" s="15"/>
      <c r="AE398" s="15"/>
      <c r="AF398" s="19"/>
      <c r="AG398" s="19"/>
      <c r="AH398" s="15"/>
      <c r="AI398" s="15"/>
      <c r="AJ398" s="15"/>
      <c r="AK398" s="15"/>
      <c r="AL398" s="21"/>
      <c r="AM398" s="15"/>
      <c r="AN398" s="15"/>
      <c r="AO398" s="15"/>
      <c r="AP398" s="15"/>
      <c r="AQ398" s="15"/>
      <c r="AR398" s="15"/>
      <c r="AS398" s="15"/>
      <c r="AT398" s="19" t="str">
        <f>IF(COUNTA(A398:I398)+COUNTA(N398:X398)+COUNTA(AA398:AE398)+COUNTA(AH398:AS398)=0,"",IF(AND(A398&lt;&gt;"",E398&lt;&gt;"",OR(F398&lt;&gt;"",G398&lt;&gt;""),H398&lt;&gt;"",I398&lt;&gt;"",J398&lt;&gt;"No en catálogo",S398&lt;&gt;"",T398&lt;&gt;"",U398&lt;&gt;"",V398&lt;&gt;"",OR(AR398&lt;&gt;"",AND(W398&lt;&gt;"",X398&lt;&gt;"",AA398&lt;&gt;"",AB398&lt;&gt;"")),OR(AS398&lt;&gt;"",AND(AD398&lt;&gt;"",AE398&lt;&gt;"",AH398&lt;&gt;"",AI398&lt;&gt;"")),AK398&lt;&gt;"",OR(AK398&lt;&gt;"programado",AL398&lt;&gt;""),OR(AM398&lt;&gt;"específica",AN398&lt;&gt;""),OR(AO398&lt;&gt;"específica",AP398&lt;&gt;"")),"OK","Revisar"))</f>
        <v/>
      </c>
    </row>
    <row r="399" ht="15" customHeight="1" spans="1:46" x14ac:dyDescent="0.25">
      <c r="A399" s="15"/>
      <c r="B399" s="15"/>
      <c r="C399" s="15"/>
      <c r="D399" s="15"/>
      <c r="E399" s="15"/>
      <c r="F399" s="15"/>
      <c r="G399" s="15"/>
      <c r="H399" s="15"/>
      <c r="I399" s="15"/>
      <c r="J399" s="19">
        <f>IF(OR(H399="",I399=""),"",IFERROR(INDEX(Catalogo_Vehiculos!$C$2:$C$1325,MATCH(TRUE(),INDEX(Catalogo_Vehiculos!$G$2:$G$1325=H399&amp;"|"&amp;I399,0),0)),"No en catálogo"))</f>
      </c>
      <c r="K399" s="19">
        <f>IF(OR(H399="",I399=""),"",IFERROR(INDEX(Catalogo_Vehiculos!$D$2:$D$1325,MATCH(TRUE(),INDEX(Catalogo_Vehiculos!$G$2:$G$1325=H399&amp;"|"&amp;I399,0),0)),"No en catálogo"))</f>
      </c>
      <c r="L399" s="19">
        <f>IF(OR(H399="",I399=""),"",IFERROR(INDEX(Catalogo_Vehiculos!$E$2:$E$1325,MATCH(TRUE(),INDEX(Catalogo_Vehiculos!$G$2:$G$1325=H399&amp;"|"&amp;I399,0),0)),"No en catálogo"))</f>
      </c>
      <c r="M399" s="19">
        <f>IF(OR(H399="",I399=""),"",IFERROR(INDEX(Catalogo_Vehiculos!$F$2:$F$1325,MATCH(TRUE(),INDEX(Catalogo_Vehiculos!$G$2:$G$1325=H399&amp;"|"&amp;I399,0),0)),"No en catálogo"))</f>
      </c>
      <c r="N399" s="20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9"/>
      <c r="Z399" s="19"/>
      <c r="AA399" s="15"/>
      <c r="AB399" s="15"/>
      <c r="AC399" s="15"/>
      <c r="AD399" s="15"/>
      <c r="AE399" s="15"/>
      <c r="AF399" s="19"/>
      <c r="AG399" s="19"/>
      <c r="AH399" s="15"/>
      <c r="AI399" s="15"/>
      <c r="AJ399" s="15"/>
      <c r="AK399" s="15"/>
      <c r="AL399" s="21"/>
      <c r="AM399" s="15"/>
      <c r="AN399" s="15"/>
      <c r="AO399" s="15"/>
      <c r="AP399" s="15"/>
      <c r="AQ399" s="15"/>
      <c r="AR399" s="15"/>
      <c r="AS399" s="15"/>
      <c r="AT399" s="19" t="str">
        <f>IF(COUNTA(A399:I399)+COUNTA(N399:X399)+COUNTA(AA399:AE399)+COUNTA(AH399:AS399)=0,"",IF(AND(A399&lt;&gt;"",E399&lt;&gt;"",OR(F399&lt;&gt;"",G399&lt;&gt;""),H399&lt;&gt;"",I399&lt;&gt;"",J399&lt;&gt;"No en catálogo",S399&lt;&gt;"",T399&lt;&gt;"",U399&lt;&gt;"",V399&lt;&gt;"",OR(AR399&lt;&gt;"",AND(W399&lt;&gt;"",X399&lt;&gt;"",AA399&lt;&gt;"",AB399&lt;&gt;"")),OR(AS399&lt;&gt;"",AND(AD399&lt;&gt;"",AE399&lt;&gt;"",AH399&lt;&gt;"",AI399&lt;&gt;"")),AK399&lt;&gt;"",OR(AK399&lt;&gt;"programado",AL399&lt;&gt;""),OR(AM399&lt;&gt;"específica",AN399&lt;&gt;""),OR(AO399&lt;&gt;"específica",AP399&lt;&gt;"")),"OK","Revisar"))</f>
        <v/>
      </c>
    </row>
    <row r="400" ht="15" customHeight="1" spans="1:46" x14ac:dyDescent="0.25">
      <c r="A400" s="15"/>
      <c r="B400" s="15"/>
      <c r="C400" s="15"/>
      <c r="D400" s="15"/>
      <c r="E400" s="15"/>
      <c r="F400" s="15"/>
      <c r="G400" s="15"/>
      <c r="H400" s="15"/>
      <c r="I400" s="15"/>
      <c r="J400" s="19">
        <f>IF(OR(H400="",I400=""),"",IFERROR(INDEX(Catalogo_Vehiculos!$C$2:$C$1325,MATCH(TRUE(),INDEX(Catalogo_Vehiculos!$G$2:$G$1325=H400&amp;"|"&amp;I400,0),0)),"No en catálogo"))</f>
      </c>
      <c r="K400" s="19">
        <f>IF(OR(H400="",I400=""),"",IFERROR(INDEX(Catalogo_Vehiculos!$D$2:$D$1325,MATCH(TRUE(),INDEX(Catalogo_Vehiculos!$G$2:$G$1325=H400&amp;"|"&amp;I400,0),0)),"No en catálogo"))</f>
      </c>
      <c r="L400" s="19">
        <f>IF(OR(H400="",I400=""),"",IFERROR(INDEX(Catalogo_Vehiculos!$E$2:$E$1325,MATCH(TRUE(),INDEX(Catalogo_Vehiculos!$G$2:$G$1325=H400&amp;"|"&amp;I400,0),0)),"No en catálogo"))</f>
      </c>
      <c r="M400" s="19">
        <f>IF(OR(H400="",I400=""),"",IFERROR(INDEX(Catalogo_Vehiculos!$F$2:$F$1325,MATCH(TRUE(),INDEX(Catalogo_Vehiculos!$G$2:$G$1325=H400&amp;"|"&amp;I400,0),0)),"No en catálogo"))</f>
      </c>
      <c r="N400" s="20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9"/>
      <c r="Z400" s="19"/>
      <c r="AA400" s="15"/>
      <c r="AB400" s="15"/>
      <c r="AC400" s="15"/>
      <c r="AD400" s="15"/>
      <c r="AE400" s="15"/>
      <c r="AF400" s="19"/>
      <c r="AG400" s="19"/>
      <c r="AH400" s="15"/>
      <c r="AI400" s="15"/>
      <c r="AJ400" s="15"/>
      <c r="AK400" s="15"/>
      <c r="AL400" s="21"/>
      <c r="AM400" s="15"/>
      <c r="AN400" s="15"/>
      <c r="AO400" s="15"/>
      <c r="AP400" s="15"/>
      <c r="AQ400" s="15"/>
      <c r="AR400" s="15"/>
      <c r="AS400" s="15"/>
      <c r="AT400" s="19" t="str">
        <f>IF(COUNTA(A400:I400)+COUNTA(N400:X400)+COUNTA(AA400:AE400)+COUNTA(AH400:AS400)=0,"",IF(AND(A400&lt;&gt;"",E400&lt;&gt;"",OR(F400&lt;&gt;"",G400&lt;&gt;""),H400&lt;&gt;"",I400&lt;&gt;"",J400&lt;&gt;"No en catálogo",S400&lt;&gt;"",T400&lt;&gt;"",U400&lt;&gt;"",V400&lt;&gt;"",OR(AR400&lt;&gt;"",AND(W400&lt;&gt;"",X400&lt;&gt;"",AA400&lt;&gt;"",AB400&lt;&gt;"")),OR(AS400&lt;&gt;"",AND(AD400&lt;&gt;"",AE400&lt;&gt;"",AH400&lt;&gt;"",AI400&lt;&gt;"")),AK400&lt;&gt;"",OR(AK400&lt;&gt;"programado",AL400&lt;&gt;""),OR(AM400&lt;&gt;"específica",AN400&lt;&gt;""),OR(AO400&lt;&gt;"específica",AP400&lt;&gt;"")),"OK","Revisar"))</f>
        <v/>
      </c>
    </row>
    <row r="401" ht="15" customHeight="1" spans="1:46" x14ac:dyDescent="0.25">
      <c r="A401" s="15"/>
      <c r="B401" s="15"/>
      <c r="C401" s="15"/>
      <c r="D401" s="15"/>
      <c r="E401" s="15"/>
      <c r="F401" s="15"/>
      <c r="G401" s="15"/>
      <c r="H401" s="15"/>
      <c r="I401" s="15"/>
      <c r="J401" s="19">
        <f>IF(OR(H401="",I401=""),"",IFERROR(INDEX(Catalogo_Vehiculos!$C$2:$C$1325,MATCH(TRUE(),INDEX(Catalogo_Vehiculos!$G$2:$G$1325=H401&amp;"|"&amp;I401,0),0)),"No en catálogo"))</f>
      </c>
      <c r="K401" s="19">
        <f>IF(OR(H401="",I401=""),"",IFERROR(INDEX(Catalogo_Vehiculos!$D$2:$D$1325,MATCH(TRUE(),INDEX(Catalogo_Vehiculos!$G$2:$G$1325=H401&amp;"|"&amp;I401,0),0)),"No en catálogo"))</f>
      </c>
      <c r="L401" s="19">
        <f>IF(OR(H401="",I401=""),"",IFERROR(INDEX(Catalogo_Vehiculos!$E$2:$E$1325,MATCH(TRUE(),INDEX(Catalogo_Vehiculos!$G$2:$G$1325=H401&amp;"|"&amp;I401,0),0)),"No en catálogo"))</f>
      </c>
      <c r="M401" s="19">
        <f>IF(OR(H401="",I401=""),"",IFERROR(INDEX(Catalogo_Vehiculos!$F$2:$F$1325,MATCH(TRUE(),INDEX(Catalogo_Vehiculos!$G$2:$G$1325=H401&amp;"|"&amp;I401,0),0)),"No en catálogo"))</f>
      </c>
      <c r="N401" s="20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9"/>
      <c r="Z401" s="19"/>
      <c r="AA401" s="15"/>
      <c r="AB401" s="15"/>
      <c r="AC401" s="15"/>
      <c r="AD401" s="15"/>
      <c r="AE401" s="15"/>
      <c r="AF401" s="19"/>
      <c r="AG401" s="19"/>
      <c r="AH401" s="15"/>
      <c r="AI401" s="15"/>
      <c r="AJ401" s="15"/>
      <c r="AK401" s="15"/>
      <c r="AL401" s="21"/>
      <c r="AM401" s="15"/>
      <c r="AN401" s="15"/>
      <c r="AO401" s="15"/>
      <c r="AP401" s="15"/>
      <c r="AQ401" s="15"/>
      <c r="AR401" s="15"/>
      <c r="AS401" s="15"/>
      <c r="AT401" s="19" t="str">
        <f>IF(COUNTA(A401:I401)+COUNTA(N401:X401)+COUNTA(AA401:AE401)+COUNTA(AH401:AS401)=0,"",IF(AND(A401&lt;&gt;"",E401&lt;&gt;"",OR(F401&lt;&gt;"",G401&lt;&gt;""),H401&lt;&gt;"",I401&lt;&gt;"",J401&lt;&gt;"No en catálogo",S401&lt;&gt;"",T401&lt;&gt;"",U401&lt;&gt;"",V401&lt;&gt;"",OR(AR401&lt;&gt;"",AND(W401&lt;&gt;"",X401&lt;&gt;"",AA401&lt;&gt;"",AB401&lt;&gt;"")),OR(AS401&lt;&gt;"",AND(AD401&lt;&gt;"",AE401&lt;&gt;"",AH401&lt;&gt;"",AI401&lt;&gt;"")),AK401&lt;&gt;"",OR(AK401&lt;&gt;"programado",AL401&lt;&gt;""),OR(AM401&lt;&gt;"específica",AN401&lt;&gt;""),OR(AO401&lt;&gt;"específica",AP401&lt;&gt;"")),"OK","Revisar"))</f>
        <v/>
      </c>
    </row>
    <row r="402" ht="15" customHeight="1" spans="1:46" x14ac:dyDescent="0.25">
      <c r="A402" s="15"/>
      <c r="B402" s="15"/>
      <c r="C402" s="15"/>
      <c r="D402" s="15"/>
      <c r="E402" s="15"/>
      <c r="F402" s="15"/>
      <c r="G402" s="15"/>
      <c r="H402" s="15"/>
      <c r="I402" s="15"/>
      <c r="J402" s="19">
        <f>IF(OR(H402="",I402=""),"",IFERROR(INDEX(Catalogo_Vehiculos!$C$2:$C$1325,MATCH(TRUE(),INDEX(Catalogo_Vehiculos!$G$2:$G$1325=H402&amp;"|"&amp;I402,0),0)),"No en catálogo"))</f>
      </c>
      <c r="K402" s="19">
        <f>IF(OR(H402="",I402=""),"",IFERROR(INDEX(Catalogo_Vehiculos!$D$2:$D$1325,MATCH(TRUE(),INDEX(Catalogo_Vehiculos!$G$2:$G$1325=H402&amp;"|"&amp;I402,0),0)),"No en catálogo"))</f>
      </c>
      <c r="L402" s="19">
        <f>IF(OR(H402="",I402=""),"",IFERROR(INDEX(Catalogo_Vehiculos!$E$2:$E$1325,MATCH(TRUE(),INDEX(Catalogo_Vehiculos!$G$2:$G$1325=H402&amp;"|"&amp;I402,0),0)),"No en catálogo"))</f>
      </c>
      <c r="M402" s="19">
        <f>IF(OR(H402="",I402=""),"",IFERROR(INDEX(Catalogo_Vehiculos!$F$2:$F$1325,MATCH(TRUE(),INDEX(Catalogo_Vehiculos!$G$2:$G$1325=H402&amp;"|"&amp;I402,0),0)),"No en catálogo"))</f>
      </c>
      <c r="N402" s="20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9"/>
      <c r="Z402" s="19"/>
      <c r="AA402" s="15"/>
      <c r="AB402" s="15"/>
      <c r="AC402" s="15"/>
      <c r="AD402" s="15"/>
      <c r="AE402" s="15"/>
      <c r="AF402" s="19"/>
      <c r="AG402" s="19"/>
      <c r="AH402" s="15"/>
      <c r="AI402" s="15"/>
      <c r="AJ402" s="15"/>
      <c r="AK402" s="15"/>
      <c r="AL402" s="21"/>
      <c r="AM402" s="15"/>
      <c r="AN402" s="15"/>
      <c r="AO402" s="15"/>
      <c r="AP402" s="15"/>
      <c r="AQ402" s="15"/>
      <c r="AR402" s="15"/>
      <c r="AS402" s="15"/>
      <c r="AT402" s="19" t="str">
        <f>IF(COUNTA(A402:I402)+COUNTA(N402:X402)+COUNTA(AA402:AE402)+COUNTA(AH402:AS402)=0,"",IF(AND(A402&lt;&gt;"",E402&lt;&gt;"",OR(F402&lt;&gt;"",G402&lt;&gt;""),H402&lt;&gt;"",I402&lt;&gt;"",J402&lt;&gt;"No en catálogo",S402&lt;&gt;"",T402&lt;&gt;"",U402&lt;&gt;"",V402&lt;&gt;"",OR(AR402&lt;&gt;"",AND(W402&lt;&gt;"",X402&lt;&gt;"",AA402&lt;&gt;"",AB402&lt;&gt;"")),OR(AS402&lt;&gt;"",AND(AD402&lt;&gt;"",AE402&lt;&gt;"",AH402&lt;&gt;"",AI402&lt;&gt;"")),AK402&lt;&gt;"",OR(AK402&lt;&gt;"programado",AL402&lt;&gt;""),OR(AM402&lt;&gt;"específica",AN402&lt;&gt;""),OR(AO402&lt;&gt;"específica",AP402&lt;&gt;"")),"OK","Revisar"))</f>
        <v/>
      </c>
    </row>
    <row r="403" ht="15" customHeight="1" spans="1:46" x14ac:dyDescent="0.25">
      <c r="A403" s="15"/>
      <c r="B403" s="15"/>
      <c r="C403" s="15"/>
      <c r="D403" s="15"/>
      <c r="E403" s="15"/>
      <c r="F403" s="15"/>
      <c r="G403" s="15"/>
      <c r="H403" s="15"/>
      <c r="I403" s="15"/>
      <c r="J403" s="19">
        <f>IF(OR(H403="",I403=""),"",IFERROR(INDEX(Catalogo_Vehiculos!$C$2:$C$1325,MATCH(TRUE(),INDEX(Catalogo_Vehiculos!$G$2:$G$1325=H403&amp;"|"&amp;I403,0),0)),"No en catálogo"))</f>
      </c>
      <c r="K403" s="19">
        <f>IF(OR(H403="",I403=""),"",IFERROR(INDEX(Catalogo_Vehiculos!$D$2:$D$1325,MATCH(TRUE(),INDEX(Catalogo_Vehiculos!$G$2:$G$1325=H403&amp;"|"&amp;I403,0),0)),"No en catálogo"))</f>
      </c>
      <c r="L403" s="19">
        <f>IF(OR(H403="",I403=""),"",IFERROR(INDEX(Catalogo_Vehiculos!$E$2:$E$1325,MATCH(TRUE(),INDEX(Catalogo_Vehiculos!$G$2:$G$1325=H403&amp;"|"&amp;I403,0),0)),"No en catálogo"))</f>
      </c>
      <c r="M403" s="19">
        <f>IF(OR(H403="",I403=""),"",IFERROR(INDEX(Catalogo_Vehiculos!$F$2:$F$1325,MATCH(TRUE(),INDEX(Catalogo_Vehiculos!$G$2:$G$1325=H403&amp;"|"&amp;I403,0),0)),"No en catálogo"))</f>
      </c>
      <c r="N403" s="20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9"/>
      <c r="Z403" s="19"/>
      <c r="AA403" s="15"/>
      <c r="AB403" s="15"/>
      <c r="AC403" s="15"/>
      <c r="AD403" s="15"/>
      <c r="AE403" s="15"/>
      <c r="AF403" s="19"/>
      <c r="AG403" s="19"/>
      <c r="AH403" s="15"/>
      <c r="AI403" s="15"/>
      <c r="AJ403" s="15"/>
      <c r="AK403" s="15"/>
      <c r="AL403" s="21"/>
      <c r="AM403" s="15"/>
      <c r="AN403" s="15"/>
      <c r="AO403" s="15"/>
      <c r="AP403" s="15"/>
      <c r="AQ403" s="15"/>
      <c r="AR403" s="15"/>
      <c r="AS403" s="15"/>
      <c r="AT403" s="19" t="str">
        <f>IF(COUNTA(A403:I403)+COUNTA(N403:X403)+COUNTA(AA403:AE403)+COUNTA(AH403:AS403)=0,"",IF(AND(A403&lt;&gt;"",E403&lt;&gt;"",OR(F403&lt;&gt;"",G403&lt;&gt;""),H403&lt;&gt;"",I403&lt;&gt;"",J403&lt;&gt;"No en catálogo",S403&lt;&gt;"",T403&lt;&gt;"",U403&lt;&gt;"",V403&lt;&gt;"",OR(AR403&lt;&gt;"",AND(W403&lt;&gt;"",X403&lt;&gt;"",AA403&lt;&gt;"",AB403&lt;&gt;"")),OR(AS403&lt;&gt;"",AND(AD403&lt;&gt;"",AE403&lt;&gt;"",AH403&lt;&gt;"",AI403&lt;&gt;"")),AK403&lt;&gt;"",OR(AK403&lt;&gt;"programado",AL403&lt;&gt;""),OR(AM403&lt;&gt;"específica",AN403&lt;&gt;""),OR(AO403&lt;&gt;"específica",AP403&lt;&gt;"")),"OK","Revisar"))</f>
        <v/>
      </c>
    </row>
    <row r="404" ht="15" customHeight="1" spans="1:46" x14ac:dyDescent="0.25">
      <c r="A404" s="15"/>
      <c r="B404" s="15"/>
      <c r="C404" s="15"/>
      <c r="D404" s="15"/>
      <c r="E404" s="15"/>
      <c r="F404" s="15"/>
      <c r="G404" s="15"/>
      <c r="H404" s="15"/>
      <c r="I404" s="15"/>
      <c r="J404" s="19">
        <f>IF(OR(H404="",I404=""),"",IFERROR(INDEX(Catalogo_Vehiculos!$C$2:$C$1325,MATCH(TRUE(),INDEX(Catalogo_Vehiculos!$G$2:$G$1325=H404&amp;"|"&amp;I404,0),0)),"No en catálogo"))</f>
      </c>
      <c r="K404" s="19">
        <f>IF(OR(H404="",I404=""),"",IFERROR(INDEX(Catalogo_Vehiculos!$D$2:$D$1325,MATCH(TRUE(),INDEX(Catalogo_Vehiculos!$G$2:$G$1325=H404&amp;"|"&amp;I404,0),0)),"No en catálogo"))</f>
      </c>
      <c r="L404" s="19">
        <f>IF(OR(H404="",I404=""),"",IFERROR(INDEX(Catalogo_Vehiculos!$E$2:$E$1325,MATCH(TRUE(),INDEX(Catalogo_Vehiculos!$G$2:$G$1325=H404&amp;"|"&amp;I404,0),0)),"No en catálogo"))</f>
      </c>
      <c r="M404" s="19">
        <f>IF(OR(H404="",I404=""),"",IFERROR(INDEX(Catalogo_Vehiculos!$F$2:$F$1325,MATCH(TRUE(),INDEX(Catalogo_Vehiculos!$G$2:$G$1325=H404&amp;"|"&amp;I404,0),0)),"No en catálogo"))</f>
      </c>
      <c r="N404" s="20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9"/>
      <c r="Z404" s="19"/>
      <c r="AA404" s="15"/>
      <c r="AB404" s="15"/>
      <c r="AC404" s="15"/>
      <c r="AD404" s="15"/>
      <c r="AE404" s="15"/>
      <c r="AF404" s="19"/>
      <c r="AG404" s="19"/>
      <c r="AH404" s="15"/>
      <c r="AI404" s="15"/>
      <c r="AJ404" s="15"/>
      <c r="AK404" s="15"/>
      <c r="AL404" s="21"/>
      <c r="AM404" s="15"/>
      <c r="AN404" s="15"/>
      <c r="AO404" s="15"/>
      <c r="AP404" s="15"/>
      <c r="AQ404" s="15"/>
      <c r="AR404" s="15"/>
      <c r="AS404" s="15"/>
      <c r="AT404" s="19" t="str">
        <f>IF(COUNTA(A404:I404)+COUNTA(N404:X404)+COUNTA(AA404:AE404)+COUNTA(AH404:AS404)=0,"",IF(AND(A404&lt;&gt;"",E404&lt;&gt;"",OR(F404&lt;&gt;"",G404&lt;&gt;""),H404&lt;&gt;"",I404&lt;&gt;"",J404&lt;&gt;"No en catálogo",S404&lt;&gt;"",T404&lt;&gt;"",U404&lt;&gt;"",V404&lt;&gt;"",OR(AR404&lt;&gt;"",AND(W404&lt;&gt;"",X404&lt;&gt;"",AA404&lt;&gt;"",AB404&lt;&gt;"")),OR(AS404&lt;&gt;"",AND(AD404&lt;&gt;"",AE404&lt;&gt;"",AH404&lt;&gt;"",AI404&lt;&gt;"")),AK404&lt;&gt;"",OR(AK404&lt;&gt;"programado",AL404&lt;&gt;""),OR(AM404&lt;&gt;"específica",AN404&lt;&gt;""),OR(AO404&lt;&gt;"específica",AP404&lt;&gt;"")),"OK","Revisar"))</f>
        <v/>
      </c>
    </row>
    <row r="405" ht="15" customHeight="1" spans="1:46" x14ac:dyDescent="0.25">
      <c r="A405" s="15"/>
      <c r="B405" s="15"/>
      <c r="C405" s="15"/>
      <c r="D405" s="15"/>
      <c r="E405" s="15"/>
      <c r="F405" s="15"/>
      <c r="G405" s="15"/>
      <c r="H405" s="15"/>
      <c r="I405" s="15"/>
      <c r="J405" s="19">
        <f>IF(OR(H405="",I405=""),"",IFERROR(INDEX(Catalogo_Vehiculos!$C$2:$C$1325,MATCH(TRUE(),INDEX(Catalogo_Vehiculos!$G$2:$G$1325=H405&amp;"|"&amp;I405,0),0)),"No en catálogo"))</f>
      </c>
      <c r="K405" s="19">
        <f>IF(OR(H405="",I405=""),"",IFERROR(INDEX(Catalogo_Vehiculos!$D$2:$D$1325,MATCH(TRUE(),INDEX(Catalogo_Vehiculos!$G$2:$G$1325=H405&amp;"|"&amp;I405,0),0)),"No en catálogo"))</f>
      </c>
      <c r="L405" s="19">
        <f>IF(OR(H405="",I405=""),"",IFERROR(INDEX(Catalogo_Vehiculos!$E$2:$E$1325,MATCH(TRUE(),INDEX(Catalogo_Vehiculos!$G$2:$G$1325=H405&amp;"|"&amp;I405,0),0)),"No en catálogo"))</f>
      </c>
      <c r="M405" s="19">
        <f>IF(OR(H405="",I405=""),"",IFERROR(INDEX(Catalogo_Vehiculos!$F$2:$F$1325,MATCH(TRUE(),INDEX(Catalogo_Vehiculos!$G$2:$G$1325=H405&amp;"|"&amp;I405,0),0)),"No en catálogo"))</f>
      </c>
      <c r="N405" s="20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9"/>
      <c r="Z405" s="19"/>
      <c r="AA405" s="15"/>
      <c r="AB405" s="15"/>
      <c r="AC405" s="15"/>
      <c r="AD405" s="15"/>
      <c r="AE405" s="15"/>
      <c r="AF405" s="19"/>
      <c r="AG405" s="19"/>
      <c r="AH405" s="15"/>
      <c r="AI405" s="15"/>
      <c r="AJ405" s="15"/>
      <c r="AK405" s="15"/>
      <c r="AL405" s="21"/>
      <c r="AM405" s="15"/>
      <c r="AN405" s="15"/>
      <c r="AO405" s="15"/>
      <c r="AP405" s="15"/>
      <c r="AQ405" s="15"/>
      <c r="AR405" s="15"/>
      <c r="AS405" s="15"/>
      <c r="AT405" s="19" t="str">
        <f>IF(COUNTA(A405:I405)+COUNTA(N405:X405)+COUNTA(AA405:AE405)+COUNTA(AH405:AS405)=0,"",IF(AND(A405&lt;&gt;"",E405&lt;&gt;"",OR(F405&lt;&gt;"",G405&lt;&gt;""),H405&lt;&gt;"",I405&lt;&gt;"",J405&lt;&gt;"No en catálogo",S405&lt;&gt;"",T405&lt;&gt;"",U405&lt;&gt;"",V405&lt;&gt;"",OR(AR405&lt;&gt;"",AND(W405&lt;&gt;"",X405&lt;&gt;"",AA405&lt;&gt;"",AB405&lt;&gt;"")),OR(AS405&lt;&gt;"",AND(AD405&lt;&gt;"",AE405&lt;&gt;"",AH405&lt;&gt;"",AI405&lt;&gt;"")),AK405&lt;&gt;"",OR(AK405&lt;&gt;"programado",AL405&lt;&gt;""),OR(AM405&lt;&gt;"específica",AN405&lt;&gt;""),OR(AO405&lt;&gt;"específica",AP405&lt;&gt;"")),"OK","Revisar"))</f>
        <v/>
      </c>
    </row>
    <row r="406" ht="15" customHeight="1" spans="1:46" x14ac:dyDescent="0.25">
      <c r="A406" s="15"/>
      <c r="B406" s="15"/>
      <c r="C406" s="15"/>
      <c r="D406" s="15"/>
      <c r="E406" s="15"/>
      <c r="F406" s="15"/>
      <c r="G406" s="15"/>
      <c r="H406" s="15"/>
      <c r="I406" s="15"/>
      <c r="J406" s="19">
        <f>IF(OR(H406="",I406=""),"",IFERROR(INDEX(Catalogo_Vehiculos!$C$2:$C$1325,MATCH(TRUE(),INDEX(Catalogo_Vehiculos!$G$2:$G$1325=H406&amp;"|"&amp;I406,0),0)),"No en catálogo"))</f>
      </c>
      <c r="K406" s="19">
        <f>IF(OR(H406="",I406=""),"",IFERROR(INDEX(Catalogo_Vehiculos!$D$2:$D$1325,MATCH(TRUE(),INDEX(Catalogo_Vehiculos!$G$2:$G$1325=H406&amp;"|"&amp;I406,0),0)),"No en catálogo"))</f>
      </c>
      <c r="L406" s="19">
        <f>IF(OR(H406="",I406=""),"",IFERROR(INDEX(Catalogo_Vehiculos!$E$2:$E$1325,MATCH(TRUE(),INDEX(Catalogo_Vehiculos!$G$2:$G$1325=H406&amp;"|"&amp;I406,0),0)),"No en catálogo"))</f>
      </c>
      <c r="M406" s="19">
        <f>IF(OR(H406="",I406=""),"",IFERROR(INDEX(Catalogo_Vehiculos!$F$2:$F$1325,MATCH(TRUE(),INDEX(Catalogo_Vehiculos!$G$2:$G$1325=H406&amp;"|"&amp;I406,0),0)),"No en catálogo"))</f>
      </c>
      <c r="N406" s="20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9"/>
      <c r="Z406" s="19"/>
      <c r="AA406" s="15"/>
      <c r="AB406" s="15"/>
      <c r="AC406" s="15"/>
      <c r="AD406" s="15"/>
      <c r="AE406" s="15"/>
      <c r="AF406" s="19"/>
      <c r="AG406" s="19"/>
      <c r="AH406" s="15"/>
      <c r="AI406" s="15"/>
      <c r="AJ406" s="15"/>
      <c r="AK406" s="15"/>
      <c r="AL406" s="21"/>
      <c r="AM406" s="15"/>
      <c r="AN406" s="15"/>
      <c r="AO406" s="15"/>
      <c r="AP406" s="15"/>
      <c r="AQ406" s="15"/>
      <c r="AR406" s="15"/>
      <c r="AS406" s="15"/>
      <c r="AT406" s="19" t="str">
        <f>IF(COUNTA(A406:I406)+COUNTA(N406:X406)+COUNTA(AA406:AE406)+COUNTA(AH406:AS406)=0,"",IF(AND(A406&lt;&gt;"",E406&lt;&gt;"",OR(F406&lt;&gt;"",G406&lt;&gt;""),H406&lt;&gt;"",I406&lt;&gt;"",J406&lt;&gt;"No en catálogo",S406&lt;&gt;"",T406&lt;&gt;"",U406&lt;&gt;"",V406&lt;&gt;"",OR(AR406&lt;&gt;"",AND(W406&lt;&gt;"",X406&lt;&gt;"",AA406&lt;&gt;"",AB406&lt;&gt;"")),OR(AS406&lt;&gt;"",AND(AD406&lt;&gt;"",AE406&lt;&gt;"",AH406&lt;&gt;"",AI406&lt;&gt;"")),AK406&lt;&gt;"",OR(AK406&lt;&gt;"programado",AL406&lt;&gt;""),OR(AM406&lt;&gt;"específica",AN406&lt;&gt;""),OR(AO406&lt;&gt;"específica",AP406&lt;&gt;"")),"OK","Revisar"))</f>
        <v/>
      </c>
    </row>
    <row r="407" ht="15" customHeight="1" spans="1:46" x14ac:dyDescent="0.25">
      <c r="A407" s="15"/>
      <c r="B407" s="15"/>
      <c r="C407" s="15"/>
      <c r="D407" s="15"/>
      <c r="E407" s="15"/>
      <c r="F407" s="15"/>
      <c r="G407" s="15"/>
      <c r="H407" s="15"/>
      <c r="I407" s="15"/>
      <c r="J407" s="19">
        <f>IF(OR(H407="",I407=""),"",IFERROR(INDEX(Catalogo_Vehiculos!$C$2:$C$1325,MATCH(TRUE(),INDEX(Catalogo_Vehiculos!$G$2:$G$1325=H407&amp;"|"&amp;I407,0),0)),"No en catálogo"))</f>
      </c>
      <c r="K407" s="19">
        <f>IF(OR(H407="",I407=""),"",IFERROR(INDEX(Catalogo_Vehiculos!$D$2:$D$1325,MATCH(TRUE(),INDEX(Catalogo_Vehiculos!$G$2:$G$1325=H407&amp;"|"&amp;I407,0),0)),"No en catálogo"))</f>
      </c>
      <c r="L407" s="19">
        <f>IF(OR(H407="",I407=""),"",IFERROR(INDEX(Catalogo_Vehiculos!$E$2:$E$1325,MATCH(TRUE(),INDEX(Catalogo_Vehiculos!$G$2:$G$1325=H407&amp;"|"&amp;I407,0),0)),"No en catálogo"))</f>
      </c>
      <c r="M407" s="19">
        <f>IF(OR(H407="",I407=""),"",IFERROR(INDEX(Catalogo_Vehiculos!$F$2:$F$1325,MATCH(TRUE(),INDEX(Catalogo_Vehiculos!$G$2:$G$1325=H407&amp;"|"&amp;I407,0),0)),"No en catálogo"))</f>
      </c>
      <c r="N407" s="20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9"/>
      <c r="Z407" s="19"/>
      <c r="AA407" s="15"/>
      <c r="AB407" s="15"/>
      <c r="AC407" s="15"/>
      <c r="AD407" s="15"/>
      <c r="AE407" s="15"/>
      <c r="AF407" s="19"/>
      <c r="AG407" s="19"/>
      <c r="AH407" s="15"/>
      <c r="AI407" s="15"/>
      <c r="AJ407" s="15"/>
      <c r="AK407" s="15"/>
      <c r="AL407" s="21"/>
      <c r="AM407" s="15"/>
      <c r="AN407" s="15"/>
      <c r="AO407" s="15"/>
      <c r="AP407" s="15"/>
      <c r="AQ407" s="15"/>
      <c r="AR407" s="15"/>
      <c r="AS407" s="15"/>
      <c r="AT407" s="19" t="str">
        <f>IF(COUNTA(A407:I407)+COUNTA(N407:X407)+COUNTA(AA407:AE407)+COUNTA(AH407:AS407)=0,"",IF(AND(A407&lt;&gt;"",E407&lt;&gt;"",OR(F407&lt;&gt;"",G407&lt;&gt;""),H407&lt;&gt;"",I407&lt;&gt;"",J407&lt;&gt;"No en catálogo",S407&lt;&gt;"",T407&lt;&gt;"",U407&lt;&gt;"",V407&lt;&gt;"",OR(AR407&lt;&gt;"",AND(W407&lt;&gt;"",X407&lt;&gt;"",AA407&lt;&gt;"",AB407&lt;&gt;"")),OR(AS407&lt;&gt;"",AND(AD407&lt;&gt;"",AE407&lt;&gt;"",AH407&lt;&gt;"",AI407&lt;&gt;"")),AK407&lt;&gt;"",OR(AK407&lt;&gt;"programado",AL407&lt;&gt;""),OR(AM407&lt;&gt;"específica",AN407&lt;&gt;""),OR(AO407&lt;&gt;"específica",AP407&lt;&gt;"")),"OK","Revisar"))</f>
        <v/>
      </c>
    </row>
    <row r="408" ht="15" customHeight="1" spans="1:46" x14ac:dyDescent="0.25">
      <c r="A408" s="15"/>
      <c r="B408" s="15"/>
      <c r="C408" s="15"/>
      <c r="D408" s="15"/>
      <c r="E408" s="15"/>
      <c r="F408" s="15"/>
      <c r="G408" s="15"/>
      <c r="H408" s="15"/>
      <c r="I408" s="15"/>
      <c r="J408" s="19">
        <f>IF(OR(H408="",I408=""),"",IFERROR(INDEX(Catalogo_Vehiculos!$C$2:$C$1325,MATCH(TRUE(),INDEX(Catalogo_Vehiculos!$G$2:$G$1325=H408&amp;"|"&amp;I408,0),0)),"No en catálogo"))</f>
      </c>
      <c r="K408" s="19">
        <f>IF(OR(H408="",I408=""),"",IFERROR(INDEX(Catalogo_Vehiculos!$D$2:$D$1325,MATCH(TRUE(),INDEX(Catalogo_Vehiculos!$G$2:$G$1325=H408&amp;"|"&amp;I408,0),0)),"No en catálogo"))</f>
      </c>
      <c r="L408" s="19">
        <f>IF(OR(H408="",I408=""),"",IFERROR(INDEX(Catalogo_Vehiculos!$E$2:$E$1325,MATCH(TRUE(),INDEX(Catalogo_Vehiculos!$G$2:$G$1325=H408&amp;"|"&amp;I408,0),0)),"No en catálogo"))</f>
      </c>
      <c r="M408" s="19">
        <f>IF(OR(H408="",I408=""),"",IFERROR(INDEX(Catalogo_Vehiculos!$F$2:$F$1325,MATCH(TRUE(),INDEX(Catalogo_Vehiculos!$G$2:$G$1325=H408&amp;"|"&amp;I408,0),0)),"No en catálogo"))</f>
      </c>
      <c r="N408" s="20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9"/>
      <c r="Z408" s="19"/>
      <c r="AA408" s="15"/>
      <c r="AB408" s="15"/>
      <c r="AC408" s="15"/>
      <c r="AD408" s="15"/>
      <c r="AE408" s="15"/>
      <c r="AF408" s="19"/>
      <c r="AG408" s="19"/>
      <c r="AH408" s="15"/>
      <c r="AI408" s="15"/>
      <c r="AJ408" s="15"/>
      <c r="AK408" s="15"/>
      <c r="AL408" s="21"/>
      <c r="AM408" s="15"/>
      <c r="AN408" s="15"/>
      <c r="AO408" s="15"/>
      <c r="AP408" s="15"/>
      <c r="AQ408" s="15"/>
      <c r="AR408" s="15"/>
      <c r="AS408" s="15"/>
      <c r="AT408" s="19" t="str">
        <f>IF(COUNTA(A408:I408)+COUNTA(N408:X408)+COUNTA(AA408:AE408)+COUNTA(AH408:AS408)=0,"",IF(AND(A408&lt;&gt;"",E408&lt;&gt;"",OR(F408&lt;&gt;"",G408&lt;&gt;""),H408&lt;&gt;"",I408&lt;&gt;"",J408&lt;&gt;"No en catálogo",S408&lt;&gt;"",T408&lt;&gt;"",U408&lt;&gt;"",V408&lt;&gt;"",OR(AR408&lt;&gt;"",AND(W408&lt;&gt;"",X408&lt;&gt;"",AA408&lt;&gt;"",AB408&lt;&gt;"")),OR(AS408&lt;&gt;"",AND(AD408&lt;&gt;"",AE408&lt;&gt;"",AH408&lt;&gt;"",AI408&lt;&gt;"")),AK408&lt;&gt;"",OR(AK408&lt;&gt;"programado",AL408&lt;&gt;""),OR(AM408&lt;&gt;"específica",AN408&lt;&gt;""),OR(AO408&lt;&gt;"específica",AP408&lt;&gt;"")),"OK","Revisar"))</f>
        <v/>
      </c>
    </row>
    <row r="409" ht="15" customHeight="1" spans="1:46" x14ac:dyDescent="0.25">
      <c r="A409" s="15"/>
      <c r="B409" s="15"/>
      <c r="C409" s="15"/>
      <c r="D409" s="15"/>
      <c r="E409" s="15"/>
      <c r="F409" s="15"/>
      <c r="G409" s="15"/>
      <c r="H409" s="15"/>
      <c r="I409" s="15"/>
      <c r="J409" s="19">
        <f>IF(OR(H409="",I409=""),"",IFERROR(INDEX(Catalogo_Vehiculos!$C$2:$C$1325,MATCH(TRUE(),INDEX(Catalogo_Vehiculos!$G$2:$G$1325=H409&amp;"|"&amp;I409,0),0)),"No en catálogo"))</f>
      </c>
      <c r="K409" s="19">
        <f>IF(OR(H409="",I409=""),"",IFERROR(INDEX(Catalogo_Vehiculos!$D$2:$D$1325,MATCH(TRUE(),INDEX(Catalogo_Vehiculos!$G$2:$G$1325=H409&amp;"|"&amp;I409,0),0)),"No en catálogo"))</f>
      </c>
      <c r="L409" s="19">
        <f>IF(OR(H409="",I409=""),"",IFERROR(INDEX(Catalogo_Vehiculos!$E$2:$E$1325,MATCH(TRUE(),INDEX(Catalogo_Vehiculos!$G$2:$G$1325=H409&amp;"|"&amp;I409,0),0)),"No en catálogo"))</f>
      </c>
      <c r="M409" s="19">
        <f>IF(OR(H409="",I409=""),"",IFERROR(INDEX(Catalogo_Vehiculos!$F$2:$F$1325,MATCH(TRUE(),INDEX(Catalogo_Vehiculos!$G$2:$G$1325=H409&amp;"|"&amp;I409,0),0)),"No en catálogo"))</f>
      </c>
      <c r="N409" s="20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9"/>
      <c r="Z409" s="19"/>
      <c r="AA409" s="15"/>
      <c r="AB409" s="15"/>
      <c r="AC409" s="15"/>
      <c r="AD409" s="15"/>
      <c r="AE409" s="15"/>
      <c r="AF409" s="19"/>
      <c r="AG409" s="19"/>
      <c r="AH409" s="15"/>
      <c r="AI409" s="15"/>
      <c r="AJ409" s="15"/>
      <c r="AK409" s="15"/>
      <c r="AL409" s="21"/>
      <c r="AM409" s="15"/>
      <c r="AN409" s="15"/>
      <c r="AO409" s="15"/>
      <c r="AP409" s="15"/>
      <c r="AQ409" s="15"/>
      <c r="AR409" s="15"/>
      <c r="AS409" s="15"/>
      <c r="AT409" s="19" t="str">
        <f>IF(COUNTA(A409:I409)+COUNTA(N409:X409)+COUNTA(AA409:AE409)+COUNTA(AH409:AS409)=0,"",IF(AND(A409&lt;&gt;"",E409&lt;&gt;"",OR(F409&lt;&gt;"",G409&lt;&gt;""),H409&lt;&gt;"",I409&lt;&gt;"",J409&lt;&gt;"No en catálogo",S409&lt;&gt;"",T409&lt;&gt;"",U409&lt;&gt;"",V409&lt;&gt;"",OR(AR409&lt;&gt;"",AND(W409&lt;&gt;"",X409&lt;&gt;"",AA409&lt;&gt;"",AB409&lt;&gt;"")),OR(AS409&lt;&gt;"",AND(AD409&lt;&gt;"",AE409&lt;&gt;"",AH409&lt;&gt;"",AI409&lt;&gt;"")),AK409&lt;&gt;"",OR(AK409&lt;&gt;"programado",AL409&lt;&gt;""),OR(AM409&lt;&gt;"específica",AN409&lt;&gt;""),OR(AO409&lt;&gt;"específica",AP409&lt;&gt;"")),"OK","Revisar"))</f>
        <v/>
      </c>
    </row>
    <row r="410" ht="15" customHeight="1" spans="1:46" x14ac:dyDescent="0.25">
      <c r="A410" s="15"/>
      <c r="B410" s="15"/>
      <c r="C410" s="15"/>
      <c r="D410" s="15"/>
      <c r="E410" s="15"/>
      <c r="F410" s="15"/>
      <c r="G410" s="15"/>
      <c r="H410" s="15"/>
      <c r="I410" s="15"/>
      <c r="J410" s="19">
        <f>IF(OR(H410="",I410=""),"",IFERROR(INDEX(Catalogo_Vehiculos!$C$2:$C$1325,MATCH(TRUE(),INDEX(Catalogo_Vehiculos!$G$2:$G$1325=H410&amp;"|"&amp;I410,0),0)),"No en catálogo"))</f>
      </c>
      <c r="K410" s="19">
        <f>IF(OR(H410="",I410=""),"",IFERROR(INDEX(Catalogo_Vehiculos!$D$2:$D$1325,MATCH(TRUE(),INDEX(Catalogo_Vehiculos!$G$2:$G$1325=H410&amp;"|"&amp;I410,0),0)),"No en catálogo"))</f>
      </c>
      <c r="L410" s="19">
        <f>IF(OR(H410="",I410=""),"",IFERROR(INDEX(Catalogo_Vehiculos!$E$2:$E$1325,MATCH(TRUE(),INDEX(Catalogo_Vehiculos!$G$2:$G$1325=H410&amp;"|"&amp;I410,0),0)),"No en catálogo"))</f>
      </c>
      <c r="M410" s="19">
        <f>IF(OR(H410="",I410=""),"",IFERROR(INDEX(Catalogo_Vehiculos!$F$2:$F$1325,MATCH(TRUE(),INDEX(Catalogo_Vehiculos!$G$2:$G$1325=H410&amp;"|"&amp;I410,0),0)),"No en catálogo"))</f>
      </c>
      <c r="N410" s="20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9"/>
      <c r="Z410" s="19"/>
      <c r="AA410" s="15"/>
      <c r="AB410" s="15"/>
      <c r="AC410" s="15"/>
      <c r="AD410" s="15"/>
      <c r="AE410" s="15"/>
      <c r="AF410" s="19"/>
      <c r="AG410" s="19"/>
      <c r="AH410" s="15"/>
      <c r="AI410" s="15"/>
      <c r="AJ410" s="15"/>
      <c r="AK410" s="15"/>
      <c r="AL410" s="21"/>
      <c r="AM410" s="15"/>
      <c r="AN410" s="15"/>
      <c r="AO410" s="15"/>
      <c r="AP410" s="15"/>
      <c r="AQ410" s="15"/>
      <c r="AR410" s="15"/>
      <c r="AS410" s="15"/>
      <c r="AT410" s="19" t="str">
        <f>IF(COUNTA(A410:I410)+COUNTA(N410:X410)+COUNTA(AA410:AE410)+COUNTA(AH410:AS410)=0,"",IF(AND(A410&lt;&gt;"",E410&lt;&gt;"",OR(F410&lt;&gt;"",G410&lt;&gt;""),H410&lt;&gt;"",I410&lt;&gt;"",J410&lt;&gt;"No en catálogo",S410&lt;&gt;"",T410&lt;&gt;"",U410&lt;&gt;"",V410&lt;&gt;"",OR(AR410&lt;&gt;"",AND(W410&lt;&gt;"",X410&lt;&gt;"",AA410&lt;&gt;"",AB410&lt;&gt;"")),OR(AS410&lt;&gt;"",AND(AD410&lt;&gt;"",AE410&lt;&gt;"",AH410&lt;&gt;"",AI410&lt;&gt;"")),AK410&lt;&gt;"",OR(AK410&lt;&gt;"programado",AL410&lt;&gt;""),OR(AM410&lt;&gt;"específica",AN410&lt;&gt;""),OR(AO410&lt;&gt;"específica",AP410&lt;&gt;"")),"OK","Revisar"))</f>
        <v/>
      </c>
    </row>
    <row r="411" ht="15" customHeight="1" spans="1:46" x14ac:dyDescent="0.25">
      <c r="A411" s="15"/>
      <c r="B411" s="15"/>
      <c r="C411" s="15"/>
      <c r="D411" s="15"/>
      <c r="E411" s="15"/>
      <c r="F411" s="15"/>
      <c r="G411" s="15"/>
      <c r="H411" s="15"/>
      <c r="I411" s="15"/>
      <c r="J411" s="19">
        <f>IF(OR(H411="",I411=""),"",IFERROR(INDEX(Catalogo_Vehiculos!$C$2:$C$1325,MATCH(TRUE(),INDEX(Catalogo_Vehiculos!$G$2:$G$1325=H411&amp;"|"&amp;I411,0),0)),"No en catálogo"))</f>
      </c>
      <c r="K411" s="19">
        <f>IF(OR(H411="",I411=""),"",IFERROR(INDEX(Catalogo_Vehiculos!$D$2:$D$1325,MATCH(TRUE(),INDEX(Catalogo_Vehiculos!$G$2:$G$1325=H411&amp;"|"&amp;I411,0),0)),"No en catálogo"))</f>
      </c>
      <c r="L411" s="19">
        <f>IF(OR(H411="",I411=""),"",IFERROR(INDEX(Catalogo_Vehiculos!$E$2:$E$1325,MATCH(TRUE(),INDEX(Catalogo_Vehiculos!$G$2:$G$1325=H411&amp;"|"&amp;I411,0),0)),"No en catálogo"))</f>
      </c>
      <c r="M411" s="19">
        <f>IF(OR(H411="",I411=""),"",IFERROR(INDEX(Catalogo_Vehiculos!$F$2:$F$1325,MATCH(TRUE(),INDEX(Catalogo_Vehiculos!$G$2:$G$1325=H411&amp;"|"&amp;I411,0),0)),"No en catálogo"))</f>
      </c>
      <c r="N411" s="20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9"/>
      <c r="Z411" s="19"/>
      <c r="AA411" s="15"/>
      <c r="AB411" s="15"/>
      <c r="AC411" s="15"/>
      <c r="AD411" s="15"/>
      <c r="AE411" s="15"/>
      <c r="AF411" s="19"/>
      <c r="AG411" s="19"/>
      <c r="AH411" s="15"/>
      <c r="AI411" s="15"/>
      <c r="AJ411" s="15"/>
      <c r="AK411" s="15"/>
      <c r="AL411" s="21"/>
      <c r="AM411" s="15"/>
      <c r="AN411" s="15"/>
      <c r="AO411" s="15"/>
      <c r="AP411" s="15"/>
      <c r="AQ411" s="15"/>
      <c r="AR411" s="15"/>
      <c r="AS411" s="15"/>
      <c r="AT411" s="19" t="str">
        <f>IF(COUNTA(A411:I411)+COUNTA(N411:X411)+COUNTA(AA411:AE411)+COUNTA(AH411:AS411)=0,"",IF(AND(A411&lt;&gt;"",E411&lt;&gt;"",OR(F411&lt;&gt;"",G411&lt;&gt;""),H411&lt;&gt;"",I411&lt;&gt;"",J411&lt;&gt;"No en catálogo",S411&lt;&gt;"",T411&lt;&gt;"",U411&lt;&gt;"",V411&lt;&gt;"",OR(AR411&lt;&gt;"",AND(W411&lt;&gt;"",X411&lt;&gt;"",AA411&lt;&gt;"",AB411&lt;&gt;"")),OR(AS411&lt;&gt;"",AND(AD411&lt;&gt;"",AE411&lt;&gt;"",AH411&lt;&gt;"",AI411&lt;&gt;"")),AK411&lt;&gt;"",OR(AK411&lt;&gt;"programado",AL411&lt;&gt;""),OR(AM411&lt;&gt;"específica",AN411&lt;&gt;""),OR(AO411&lt;&gt;"específica",AP411&lt;&gt;"")),"OK","Revisar"))</f>
        <v/>
      </c>
    </row>
    <row r="412" ht="15" customHeight="1" spans="1:46" x14ac:dyDescent="0.25">
      <c r="A412" s="15"/>
      <c r="B412" s="15"/>
      <c r="C412" s="15"/>
      <c r="D412" s="15"/>
      <c r="E412" s="15"/>
      <c r="F412" s="15"/>
      <c r="G412" s="15"/>
      <c r="H412" s="15"/>
      <c r="I412" s="15"/>
      <c r="J412" s="19">
        <f>IF(OR(H412="",I412=""),"",IFERROR(INDEX(Catalogo_Vehiculos!$C$2:$C$1325,MATCH(TRUE(),INDEX(Catalogo_Vehiculos!$G$2:$G$1325=H412&amp;"|"&amp;I412,0),0)),"No en catálogo"))</f>
      </c>
      <c r="K412" s="19">
        <f>IF(OR(H412="",I412=""),"",IFERROR(INDEX(Catalogo_Vehiculos!$D$2:$D$1325,MATCH(TRUE(),INDEX(Catalogo_Vehiculos!$G$2:$G$1325=H412&amp;"|"&amp;I412,0),0)),"No en catálogo"))</f>
      </c>
      <c r="L412" s="19">
        <f>IF(OR(H412="",I412=""),"",IFERROR(INDEX(Catalogo_Vehiculos!$E$2:$E$1325,MATCH(TRUE(),INDEX(Catalogo_Vehiculos!$G$2:$G$1325=H412&amp;"|"&amp;I412,0),0)),"No en catálogo"))</f>
      </c>
      <c r="M412" s="19">
        <f>IF(OR(H412="",I412=""),"",IFERROR(INDEX(Catalogo_Vehiculos!$F$2:$F$1325,MATCH(TRUE(),INDEX(Catalogo_Vehiculos!$G$2:$G$1325=H412&amp;"|"&amp;I412,0),0)),"No en catálogo"))</f>
      </c>
      <c r="N412" s="20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9"/>
      <c r="Z412" s="19"/>
      <c r="AA412" s="15"/>
      <c r="AB412" s="15"/>
      <c r="AC412" s="15"/>
      <c r="AD412" s="15"/>
      <c r="AE412" s="15"/>
      <c r="AF412" s="19"/>
      <c r="AG412" s="19"/>
      <c r="AH412" s="15"/>
      <c r="AI412" s="15"/>
      <c r="AJ412" s="15"/>
      <c r="AK412" s="15"/>
      <c r="AL412" s="21"/>
      <c r="AM412" s="15"/>
      <c r="AN412" s="15"/>
      <c r="AO412" s="15"/>
      <c r="AP412" s="15"/>
      <c r="AQ412" s="15"/>
      <c r="AR412" s="15"/>
      <c r="AS412" s="15"/>
      <c r="AT412" s="19" t="str">
        <f>IF(COUNTA(A412:I412)+COUNTA(N412:X412)+COUNTA(AA412:AE412)+COUNTA(AH412:AS412)=0,"",IF(AND(A412&lt;&gt;"",E412&lt;&gt;"",OR(F412&lt;&gt;"",G412&lt;&gt;""),H412&lt;&gt;"",I412&lt;&gt;"",J412&lt;&gt;"No en catálogo",S412&lt;&gt;"",T412&lt;&gt;"",U412&lt;&gt;"",V412&lt;&gt;"",OR(AR412&lt;&gt;"",AND(W412&lt;&gt;"",X412&lt;&gt;"",AA412&lt;&gt;"",AB412&lt;&gt;"")),OR(AS412&lt;&gt;"",AND(AD412&lt;&gt;"",AE412&lt;&gt;"",AH412&lt;&gt;"",AI412&lt;&gt;"")),AK412&lt;&gt;"",OR(AK412&lt;&gt;"programado",AL412&lt;&gt;""),OR(AM412&lt;&gt;"específica",AN412&lt;&gt;""),OR(AO412&lt;&gt;"específica",AP412&lt;&gt;"")),"OK","Revisar"))</f>
        <v/>
      </c>
    </row>
    <row r="413" ht="15" customHeight="1" spans="1:46" x14ac:dyDescent="0.25">
      <c r="A413" s="15"/>
      <c r="B413" s="15"/>
      <c r="C413" s="15"/>
      <c r="D413" s="15"/>
      <c r="E413" s="15"/>
      <c r="F413" s="15"/>
      <c r="G413" s="15"/>
      <c r="H413" s="15"/>
      <c r="I413" s="15"/>
      <c r="J413" s="19">
        <f>IF(OR(H413="",I413=""),"",IFERROR(INDEX(Catalogo_Vehiculos!$C$2:$C$1325,MATCH(TRUE(),INDEX(Catalogo_Vehiculos!$G$2:$G$1325=H413&amp;"|"&amp;I413,0),0)),"No en catálogo"))</f>
      </c>
      <c r="K413" s="19">
        <f>IF(OR(H413="",I413=""),"",IFERROR(INDEX(Catalogo_Vehiculos!$D$2:$D$1325,MATCH(TRUE(),INDEX(Catalogo_Vehiculos!$G$2:$G$1325=H413&amp;"|"&amp;I413,0),0)),"No en catálogo"))</f>
      </c>
      <c r="L413" s="19">
        <f>IF(OR(H413="",I413=""),"",IFERROR(INDEX(Catalogo_Vehiculos!$E$2:$E$1325,MATCH(TRUE(),INDEX(Catalogo_Vehiculos!$G$2:$G$1325=H413&amp;"|"&amp;I413,0),0)),"No en catálogo"))</f>
      </c>
      <c r="M413" s="19">
        <f>IF(OR(H413="",I413=""),"",IFERROR(INDEX(Catalogo_Vehiculos!$F$2:$F$1325,MATCH(TRUE(),INDEX(Catalogo_Vehiculos!$G$2:$G$1325=H413&amp;"|"&amp;I413,0),0)),"No en catálogo"))</f>
      </c>
      <c r="N413" s="20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9"/>
      <c r="Z413" s="19"/>
      <c r="AA413" s="15"/>
      <c r="AB413" s="15"/>
      <c r="AC413" s="15"/>
      <c r="AD413" s="15"/>
      <c r="AE413" s="15"/>
      <c r="AF413" s="19"/>
      <c r="AG413" s="19"/>
      <c r="AH413" s="15"/>
      <c r="AI413" s="15"/>
      <c r="AJ413" s="15"/>
      <c r="AK413" s="15"/>
      <c r="AL413" s="21"/>
      <c r="AM413" s="15"/>
      <c r="AN413" s="15"/>
      <c r="AO413" s="15"/>
      <c r="AP413" s="15"/>
      <c r="AQ413" s="15"/>
      <c r="AR413" s="15"/>
      <c r="AS413" s="15"/>
      <c r="AT413" s="19" t="str">
        <f>IF(COUNTA(A413:I413)+COUNTA(N413:X413)+COUNTA(AA413:AE413)+COUNTA(AH413:AS413)=0,"",IF(AND(A413&lt;&gt;"",E413&lt;&gt;"",OR(F413&lt;&gt;"",G413&lt;&gt;""),H413&lt;&gt;"",I413&lt;&gt;"",J413&lt;&gt;"No en catálogo",S413&lt;&gt;"",T413&lt;&gt;"",U413&lt;&gt;"",V413&lt;&gt;"",OR(AR413&lt;&gt;"",AND(W413&lt;&gt;"",X413&lt;&gt;"",AA413&lt;&gt;"",AB413&lt;&gt;"")),OR(AS413&lt;&gt;"",AND(AD413&lt;&gt;"",AE413&lt;&gt;"",AH413&lt;&gt;"",AI413&lt;&gt;"")),AK413&lt;&gt;"",OR(AK413&lt;&gt;"programado",AL413&lt;&gt;""),OR(AM413&lt;&gt;"específica",AN413&lt;&gt;""),OR(AO413&lt;&gt;"específica",AP413&lt;&gt;"")),"OK","Revisar"))</f>
        <v/>
      </c>
    </row>
    <row r="414" ht="15" customHeight="1" spans="1:46" x14ac:dyDescent="0.25">
      <c r="A414" s="15"/>
      <c r="B414" s="15"/>
      <c r="C414" s="15"/>
      <c r="D414" s="15"/>
      <c r="E414" s="15"/>
      <c r="F414" s="15"/>
      <c r="G414" s="15"/>
      <c r="H414" s="15"/>
      <c r="I414" s="15"/>
      <c r="J414" s="19">
        <f>IF(OR(H414="",I414=""),"",IFERROR(INDEX(Catalogo_Vehiculos!$C$2:$C$1325,MATCH(TRUE(),INDEX(Catalogo_Vehiculos!$G$2:$G$1325=H414&amp;"|"&amp;I414,0),0)),"No en catálogo"))</f>
      </c>
      <c r="K414" s="19">
        <f>IF(OR(H414="",I414=""),"",IFERROR(INDEX(Catalogo_Vehiculos!$D$2:$D$1325,MATCH(TRUE(),INDEX(Catalogo_Vehiculos!$G$2:$G$1325=H414&amp;"|"&amp;I414,0),0)),"No en catálogo"))</f>
      </c>
      <c r="L414" s="19">
        <f>IF(OR(H414="",I414=""),"",IFERROR(INDEX(Catalogo_Vehiculos!$E$2:$E$1325,MATCH(TRUE(),INDEX(Catalogo_Vehiculos!$G$2:$G$1325=H414&amp;"|"&amp;I414,0),0)),"No en catálogo"))</f>
      </c>
      <c r="M414" s="19">
        <f>IF(OR(H414="",I414=""),"",IFERROR(INDEX(Catalogo_Vehiculos!$F$2:$F$1325,MATCH(TRUE(),INDEX(Catalogo_Vehiculos!$G$2:$G$1325=H414&amp;"|"&amp;I414,0),0)),"No en catálogo"))</f>
      </c>
      <c r="N414" s="20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9"/>
      <c r="Z414" s="19"/>
      <c r="AA414" s="15"/>
      <c r="AB414" s="15"/>
      <c r="AC414" s="15"/>
      <c r="AD414" s="15"/>
      <c r="AE414" s="15"/>
      <c r="AF414" s="19"/>
      <c r="AG414" s="19"/>
      <c r="AH414" s="15"/>
      <c r="AI414" s="15"/>
      <c r="AJ414" s="15"/>
      <c r="AK414" s="15"/>
      <c r="AL414" s="21"/>
      <c r="AM414" s="15"/>
      <c r="AN414" s="15"/>
      <c r="AO414" s="15"/>
      <c r="AP414" s="15"/>
      <c r="AQ414" s="15"/>
      <c r="AR414" s="15"/>
      <c r="AS414" s="15"/>
      <c r="AT414" s="19" t="str">
        <f>IF(COUNTA(A414:I414)+COUNTA(N414:X414)+COUNTA(AA414:AE414)+COUNTA(AH414:AS414)=0,"",IF(AND(A414&lt;&gt;"",E414&lt;&gt;"",OR(F414&lt;&gt;"",G414&lt;&gt;""),H414&lt;&gt;"",I414&lt;&gt;"",J414&lt;&gt;"No en catálogo",S414&lt;&gt;"",T414&lt;&gt;"",U414&lt;&gt;"",V414&lt;&gt;"",OR(AR414&lt;&gt;"",AND(W414&lt;&gt;"",X414&lt;&gt;"",AA414&lt;&gt;"",AB414&lt;&gt;"")),OR(AS414&lt;&gt;"",AND(AD414&lt;&gt;"",AE414&lt;&gt;"",AH414&lt;&gt;"",AI414&lt;&gt;"")),AK414&lt;&gt;"",OR(AK414&lt;&gt;"programado",AL414&lt;&gt;""),OR(AM414&lt;&gt;"específica",AN414&lt;&gt;""),OR(AO414&lt;&gt;"específica",AP414&lt;&gt;"")),"OK","Revisar"))</f>
        <v/>
      </c>
    </row>
    <row r="415" ht="15" customHeight="1" spans="1:46" x14ac:dyDescent="0.25">
      <c r="A415" s="15"/>
      <c r="B415" s="15"/>
      <c r="C415" s="15"/>
      <c r="D415" s="15"/>
      <c r="E415" s="15"/>
      <c r="F415" s="15"/>
      <c r="G415" s="15"/>
      <c r="H415" s="15"/>
      <c r="I415" s="15"/>
      <c r="J415" s="19">
        <f>IF(OR(H415="",I415=""),"",IFERROR(INDEX(Catalogo_Vehiculos!$C$2:$C$1325,MATCH(TRUE(),INDEX(Catalogo_Vehiculos!$G$2:$G$1325=H415&amp;"|"&amp;I415,0),0)),"No en catálogo"))</f>
      </c>
      <c r="K415" s="19">
        <f>IF(OR(H415="",I415=""),"",IFERROR(INDEX(Catalogo_Vehiculos!$D$2:$D$1325,MATCH(TRUE(),INDEX(Catalogo_Vehiculos!$G$2:$G$1325=H415&amp;"|"&amp;I415,0),0)),"No en catálogo"))</f>
      </c>
      <c r="L415" s="19">
        <f>IF(OR(H415="",I415=""),"",IFERROR(INDEX(Catalogo_Vehiculos!$E$2:$E$1325,MATCH(TRUE(),INDEX(Catalogo_Vehiculos!$G$2:$G$1325=H415&amp;"|"&amp;I415,0),0)),"No en catálogo"))</f>
      </c>
      <c r="M415" s="19">
        <f>IF(OR(H415="",I415=""),"",IFERROR(INDEX(Catalogo_Vehiculos!$F$2:$F$1325,MATCH(TRUE(),INDEX(Catalogo_Vehiculos!$G$2:$G$1325=H415&amp;"|"&amp;I415,0),0)),"No en catálogo"))</f>
      </c>
      <c r="N415" s="20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9"/>
      <c r="Z415" s="19"/>
      <c r="AA415" s="15"/>
      <c r="AB415" s="15"/>
      <c r="AC415" s="15"/>
      <c r="AD415" s="15"/>
      <c r="AE415" s="15"/>
      <c r="AF415" s="19"/>
      <c r="AG415" s="19"/>
      <c r="AH415" s="15"/>
      <c r="AI415" s="15"/>
      <c r="AJ415" s="15"/>
      <c r="AK415" s="15"/>
      <c r="AL415" s="21"/>
      <c r="AM415" s="15"/>
      <c r="AN415" s="15"/>
      <c r="AO415" s="15"/>
      <c r="AP415" s="15"/>
      <c r="AQ415" s="15"/>
      <c r="AR415" s="15"/>
      <c r="AS415" s="15"/>
      <c r="AT415" s="19" t="str">
        <f>IF(COUNTA(A415:I415)+COUNTA(N415:X415)+COUNTA(AA415:AE415)+COUNTA(AH415:AS415)=0,"",IF(AND(A415&lt;&gt;"",E415&lt;&gt;"",OR(F415&lt;&gt;"",G415&lt;&gt;""),H415&lt;&gt;"",I415&lt;&gt;"",J415&lt;&gt;"No en catálogo",S415&lt;&gt;"",T415&lt;&gt;"",U415&lt;&gt;"",V415&lt;&gt;"",OR(AR415&lt;&gt;"",AND(W415&lt;&gt;"",X415&lt;&gt;"",AA415&lt;&gt;"",AB415&lt;&gt;"")),OR(AS415&lt;&gt;"",AND(AD415&lt;&gt;"",AE415&lt;&gt;"",AH415&lt;&gt;"",AI415&lt;&gt;"")),AK415&lt;&gt;"",OR(AK415&lt;&gt;"programado",AL415&lt;&gt;""),OR(AM415&lt;&gt;"específica",AN415&lt;&gt;""),OR(AO415&lt;&gt;"específica",AP415&lt;&gt;"")),"OK","Revisar"))</f>
        <v/>
      </c>
    </row>
    <row r="416" ht="15" customHeight="1" spans="1:46" x14ac:dyDescent="0.25">
      <c r="A416" s="15"/>
      <c r="B416" s="15"/>
      <c r="C416" s="15"/>
      <c r="D416" s="15"/>
      <c r="E416" s="15"/>
      <c r="F416" s="15"/>
      <c r="G416" s="15"/>
      <c r="H416" s="15"/>
      <c r="I416" s="15"/>
      <c r="J416" s="19">
        <f>IF(OR(H416="",I416=""),"",IFERROR(INDEX(Catalogo_Vehiculos!$C$2:$C$1325,MATCH(TRUE(),INDEX(Catalogo_Vehiculos!$G$2:$G$1325=H416&amp;"|"&amp;I416,0),0)),"No en catálogo"))</f>
      </c>
      <c r="K416" s="19">
        <f>IF(OR(H416="",I416=""),"",IFERROR(INDEX(Catalogo_Vehiculos!$D$2:$D$1325,MATCH(TRUE(),INDEX(Catalogo_Vehiculos!$G$2:$G$1325=H416&amp;"|"&amp;I416,0),0)),"No en catálogo"))</f>
      </c>
      <c r="L416" s="19">
        <f>IF(OR(H416="",I416=""),"",IFERROR(INDEX(Catalogo_Vehiculos!$E$2:$E$1325,MATCH(TRUE(),INDEX(Catalogo_Vehiculos!$G$2:$G$1325=H416&amp;"|"&amp;I416,0),0)),"No en catálogo"))</f>
      </c>
      <c r="M416" s="19">
        <f>IF(OR(H416="",I416=""),"",IFERROR(INDEX(Catalogo_Vehiculos!$F$2:$F$1325,MATCH(TRUE(),INDEX(Catalogo_Vehiculos!$G$2:$G$1325=H416&amp;"|"&amp;I416,0),0)),"No en catálogo"))</f>
      </c>
      <c r="N416" s="20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9"/>
      <c r="Z416" s="19"/>
      <c r="AA416" s="15"/>
      <c r="AB416" s="15"/>
      <c r="AC416" s="15"/>
      <c r="AD416" s="15"/>
      <c r="AE416" s="15"/>
      <c r="AF416" s="19"/>
      <c r="AG416" s="19"/>
      <c r="AH416" s="15"/>
      <c r="AI416" s="15"/>
      <c r="AJ416" s="15"/>
      <c r="AK416" s="15"/>
      <c r="AL416" s="21"/>
      <c r="AM416" s="15"/>
      <c r="AN416" s="15"/>
      <c r="AO416" s="15"/>
      <c r="AP416" s="15"/>
      <c r="AQ416" s="15"/>
      <c r="AR416" s="15"/>
      <c r="AS416" s="15"/>
      <c r="AT416" s="19" t="str">
        <f>IF(COUNTA(A416:I416)+COUNTA(N416:X416)+COUNTA(AA416:AE416)+COUNTA(AH416:AS416)=0,"",IF(AND(A416&lt;&gt;"",E416&lt;&gt;"",OR(F416&lt;&gt;"",G416&lt;&gt;""),H416&lt;&gt;"",I416&lt;&gt;"",J416&lt;&gt;"No en catálogo",S416&lt;&gt;"",T416&lt;&gt;"",U416&lt;&gt;"",V416&lt;&gt;"",OR(AR416&lt;&gt;"",AND(W416&lt;&gt;"",X416&lt;&gt;"",AA416&lt;&gt;"",AB416&lt;&gt;"")),OR(AS416&lt;&gt;"",AND(AD416&lt;&gt;"",AE416&lt;&gt;"",AH416&lt;&gt;"",AI416&lt;&gt;"")),AK416&lt;&gt;"",OR(AK416&lt;&gt;"programado",AL416&lt;&gt;""),OR(AM416&lt;&gt;"específica",AN416&lt;&gt;""),OR(AO416&lt;&gt;"específica",AP416&lt;&gt;"")),"OK","Revisar"))</f>
        <v/>
      </c>
    </row>
    <row r="417" ht="15" customHeight="1" spans="1:46" x14ac:dyDescent="0.25">
      <c r="A417" s="15"/>
      <c r="B417" s="15"/>
      <c r="C417" s="15"/>
      <c r="D417" s="15"/>
      <c r="E417" s="15"/>
      <c r="F417" s="15"/>
      <c r="G417" s="15"/>
      <c r="H417" s="15"/>
      <c r="I417" s="15"/>
      <c r="J417" s="19">
        <f>IF(OR(H417="",I417=""),"",IFERROR(INDEX(Catalogo_Vehiculos!$C$2:$C$1325,MATCH(TRUE(),INDEX(Catalogo_Vehiculos!$G$2:$G$1325=H417&amp;"|"&amp;I417,0),0)),"No en catálogo"))</f>
      </c>
      <c r="K417" s="19">
        <f>IF(OR(H417="",I417=""),"",IFERROR(INDEX(Catalogo_Vehiculos!$D$2:$D$1325,MATCH(TRUE(),INDEX(Catalogo_Vehiculos!$G$2:$G$1325=H417&amp;"|"&amp;I417,0),0)),"No en catálogo"))</f>
      </c>
      <c r="L417" s="19">
        <f>IF(OR(H417="",I417=""),"",IFERROR(INDEX(Catalogo_Vehiculos!$E$2:$E$1325,MATCH(TRUE(),INDEX(Catalogo_Vehiculos!$G$2:$G$1325=H417&amp;"|"&amp;I417,0),0)),"No en catálogo"))</f>
      </c>
      <c r="M417" s="19">
        <f>IF(OR(H417="",I417=""),"",IFERROR(INDEX(Catalogo_Vehiculos!$F$2:$F$1325,MATCH(TRUE(),INDEX(Catalogo_Vehiculos!$G$2:$G$1325=H417&amp;"|"&amp;I417,0),0)),"No en catálogo"))</f>
      </c>
      <c r="N417" s="20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9"/>
      <c r="Z417" s="19"/>
      <c r="AA417" s="15"/>
      <c r="AB417" s="15"/>
      <c r="AC417" s="15"/>
      <c r="AD417" s="15"/>
      <c r="AE417" s="15"/>
      <c r="AF417" s="19"/>
      <c r="AG417" s="19"/>
      <c r="AH417" s="15"/>
      <c r="AI417" s="15"/>
      <c r="AJ417" s="15"/>
      <c r="AK417" s="15"/>
      <c r="AL417" s="21"/>
      <c r="AM417" s="15"/>
      <c r="AN417" s="15"/>
      <c r="AO417" s="15"/>
      <c r="AP417" s="15"/>
      <c r="AQ417" s="15"/>
      <c r="AR417" s="15"/>
      <c r="AS417" s="15"/>
      <c r="AT417" s="19" t="str">
        <f>IF(COUNTA(A417:I417)+COUNTA(N417:X417)+COUNTA(AA417:AE417)+COUNTA(AH417:AS417)=0,"",IF(AND(A417&lt;&gt;"",E417&lt;&gt;"",OR(F417&lt;&gt;"",G417&lt;&gt;""),H417&lt;&gt;"",I417&lt;&gt;"",J417&lt;&gt;"No en catálogo",S417&lt;&gt;"",T417&lt;&gt;"",U417&lt;&gt;"",V417&lt;&gt;"",OR(AR417&lt;&gt;"",AND(W417&lt;&gt;"",X417&lt;&gt;"",AA417&lt;&gt;"",AB417&lt;&gt;"")),OR(AS417&lt;&gt;"",AND(AD417&lt;&gt;"",AE417&lt;&gt;"",AH417&lt;&gt;"",AI417&lt;&gt;"")),AK417&lt;&gt;"",OR(AK417&lt;&gt;"programado",AL417&lt;&gt;""),OR(AM417&lt;&gt;"específica",AN417&lt;&gt;""),OR(AO417&lt;&gt;"específica",AP417&lt;&gt;"")),"OK","Revisar"))</f>
        <v/>
      </c>
    </row>
    <row r="418" ht="15" customHeight="1" spans="1:46" x14ac:dyDescent="0.25">
      <c r="A418" s="15"/>
      <c r="B418" s="15"/>
      <c r="C418" s="15"/>
      <c r="D418" s="15"/>
      <c r="E418" s="15"/>
      <c r="F418" s="15"/>
      <c r="G418" s="15"/>
      <c r="H418" s="15"/>
      <c r="I418" s="15"/>
      <c r="J418" s="19">
        <f>IF(OR(H418="",I418=""),"",IFERROR(INDEX(Catalogo_Vehiculos!$C$2:$C$1325,MATCH(TRUE(),INDEX(Catalogo_Vehiculos!$G$2:$G$1325=H418&amp;"|"&amp;I418,0),0)),"No en catálogo"))</f>
      </c>
      <c r="K418" s="19">
        <f>IF(OR(H418="",I418=""),"",IFERROR(INDEX(Catalogo_Vehiculos!$D$2:$D$1325,MATCH(TRUE(),INDEX(Catalogo_Vehiculos!$G$2:$G$1325=H418&amp;"|"&amp;I418,0),0)),"No en catálogo"))</f>
      </c>
      <c r="L418" s="19">
        <f>IF(OR(H418="",I418=""),"",IFERROR(INDEX(Catalogo_Vehiculos!$E$2:$E$1325,MATCH(TRUE(),INDEX(Catalogo_Vehiculos!$G$2:$G$1325=H418&amp;"|"&amp;I418,0),0)),"No en catálogo"))</f>
      </c>
      <c r="M418" s="19">
        <f>IF(OR(H418="",I418=""),"",IFERROR(INDEX(Catalogo_Vehiculos!$F$2:$F$1325,MATCH(TRUE(),INDEX(Catalogo_Vehiculos!$G$2:$G$1325=H418&amp;"|"&amp;I418,0),0)),"No en catálogo"))</f>
      </c>
      <c r="N418" s="20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9"/>
      <c r="Z418" s="19"/>
      <c r="AA418" s="15"/>
      <c r="AB418" s="15"/>
      <c r="AC418" s="15"/>
      <c r="AD418" s="15"/>
      <c r="AE418" s="15"/>
      <c r="AF418" s="19"/>
      <c r="AG418" s="19"/>
      <c r="AH418" s="15"/>
      <c r="AI418" s="15"/>
      <c r="AJ418" s="15"/>
      <c r="AK418" s="15"/>
      <c r="AL418" s="21"/>
      <c r="AM418" s="15"/>
      <c r="AN418" s="15"/>
      <c r="AO418" s="15"/>
      <c r="AP418" s="15"/>
      <c r="AQ418" s="15"/>
      <c r="AR418" s="15"/>
      <c r="AS418" s="15"/>
      <c r="AT418" s="19" t="str">
        <f>IF(COUNTA(A418:I418)+COUNTA(N418:X418)+COUNTA(AA418:AE418)+COUNTA(AH418:AS418)=0,"",IF(AND(A418&lt;&gt;"",E418&lt;&gt;"",OR(F418&lt;&gt;"",G418&lt;&gt;""),H418&lt;&gt;"",I418&lt;&gt;"",J418&lt;&gt;"No en catálogo",S418&lt;&gt;"",T418&lt;&gt;"",U418&lt;&gt;"",V418&lt;&gt;"",OR(AR418&lt;&gt;"",AND(W418&lt;&gt;"",X418&lt;&gt;"",AA418&lt;&gt;"",AB418&lt;&gt;"")),OR(AS418&lt;&gt;"",AND(AD418&lt;&gt;"",AE418&lt;&gt;"",AH418&lt;&gt;"",AI418&lt;&gt;"")),AK418&lt;&gt;"",OR(AK418&lt;&gt;"programado",AL418&lt;&gt;""),OR(AM418&lt;&gt;"específica",AN418&lt;&gt;""),OR(AO418&lt;&gt;"específica",AP418&lt;&gt;"")),"OK","Revisar"))</f>
        <v/>
      </c>
    </row>
    <row r="419" ht="15" customHeight="1" spans="1:46" x14ac:dyDescent="0.25">
      <c r="A419" s="15"/>
      <c r="B419" s="15"/>
      <c r="C419" s="15"/>
      <c r="D419" s="15"/>
      <c r="E419" s="15"/>
      <c r="F419" s="15"/>
      <c r="G419" s="15"/>
      <c r="H419" s="15"/>
      <c r="I419" s="15"/>
      <c r="J419" s="19">
        <f>IF(OR(H419="",I419=""),"",IFERROR(INDEX(Catalogo_Vehiculos!$C$2:$C$1325,MATCH(TRUE(),INDEX(Catalogo_Vehiculos!$G$2:$G$1325=H419&amp;"|"&amp;I419,0),0)),"No en catálogo"))</f>
      </c>
      <c r="K419" s="19">
        <f>IF(OR(H419="",I419=""),"",IFERROR(INDEX(Catalogo_Vehiculos!$D$2:$D$1325,MATCH(TRUE(),INDEX(Catalogo_Vehiculos!$G$2:$G$1325=H419&amp;"|"&amp;I419,0),0)),"No en catálogo"))</f>
      </c>
      <c r="L419" s="19">
        <f>IF(OR(H419="",I419=""),"",IFERROR(INDEX(Catalogo_Vehiculos!$E$2:$E$1325,MATCH(TRUE(),INDEX(Catalogo_Vehiculos!$G$2:$G$1325=H419&amp;"|"&amp;I419,0),0)),"No en catálogo"))</f>
      </c>
      <c r="M419" s="19">
        <f>IF(OR(H419="",I419=""),"",IFERROR(INDEX(Catalogo_Vehiculos!$F$2:$F$1325,MATCH(TRUE(),INDEX(Catalogo_Vehiculos!$G$2:$G$1325=H419&amp;"|"&amp;I419,0),0)),"No en catálogo"))</f>
      </c>
      <c r="N419" s="20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9"/>
      <c r="Z419" s="19"/>
      <c r="AA419" s="15"/>
      <c r="AB419" s="15"/>
      <c r="AC419" s="15"/>
      <c r="AD419" s="15"/>
      <c r="AE419" s="15"/>
      <c r="AF419" s="19"/>
      <c r="AG419" s="19"/>
      <c r="AH419" s="15"/>
      <c r="AI419" s="15"/>
      <c r="AJ419" s="15"/>
      <c r="AK419" s="15"/>
      <c r="AL419" s="21"/>
      <c r="AM419" s="15"/>
      <c r="AN419" s="15"/>
      <c r="AO419" s="15"/>
      <c r="AP419" s="15"/>
      <c r="AQ419" s="15"/>
      <c r="AR419" s="15"/>
      <c r="AS419" s="15"/>
      <c r="AT419" s="19" t="str">
        <f>IF(COUNTA(A419:I419)+COUNTA(N419:X419)+COUNTA(AA419:AE419)+COUNTA(AH419:AS419)=0,"",IF(AND(A419&lt;&gt;"",E419&lt;&gt;"",OR(F419&lt;&gt;"",G419&lt;&gt;""),H419&lt;&gt;"",I419&lt;&gt;"",J419&lt;&gt;"No en catálogo",S419&lt;&gt;"",T419&lt;&gt;"",U419&lt;&gt;"",V419&lt;&gt;"",OR(AR419&lt;&gt;"",AND(W419&lt;&gt;"",X419&lt;&gt;"",AA419&lt;&gt;"",AB419&lt;&gt;"")),OR(AS419&lt;&gt;"",AND(AD419&lt;&gt;"",AE419&lt;&gt;"",AH419&lt;&gt;"",AI419&lt;&gt;"")),AK419&lt;&gt;"",OR(AK419&lt;&gt;"programado",AL419&lt;&gt;""),OR(AM419&lt;&gt;"específica",AN419&lt;&gt;""),OR(AO419&lt;&gt;"específica",AP419&lt;&gt;"")),"OK","Revisar"))</f>
        <v/>
      </c>
    </row>
    <row r="420" ht="15" customHeight="1" spans="1:46" x14ac:dyDescent="0.25">
      <c r="A420" s="15"/>
      <c r="B420" s="15"/>
      <c r="C420" s="15"/>
      <c r="D420" s="15"/>
      <c r="E420" s="15"/>
      <c r="F420" s="15"/>
      <c r="G420" s="15"/>
      <c r="H420" s="15"/>
      <c r="I420" s="15"/>
      <c r="J420" s="19">
        <f>IF(OR(H420="",I420=""),"",IFERROR(INDEX(Catalogo_Vehiculos!$C$2:$C$1325,MATCH(TRUE(),INDEX(Catalogo_Vehiculos!$G$2:$G$1325=H420&amp;"|"&amp;I420,0),0)),"No en catálogo"))</f>
      </c>
      <c r="K420" s="19">
        <f>IF(OR(H420="",I420=""),"",IFERROR(INDEX(Catalogo_Vehiculos!$D$2:$D$1325,MATCH(TRUE(),INDEX(Catalogo_Vehiculos!$G$2:$G$1325=H420&amp;"|"&amp;I420,0),0)),"No en catálogo"))</f>
      </c>
      <c r="L420" s="19">
        <f>IF(OR(H420="",I420=""),"",IFERROR(INDEX(Catalogo_Vehiculos!$E$2:$E$1325,MATCH(TRUE(),INDEX(Catalogo_Vehiculos!$G$2:$G$1325=H420&amp;"|"&amp;I420,0),0)),"No en catálogo"))</f>
      </c>
      <c r="M420" s="19">
        <f>IF(OR(H420="",I420=""),"",IFERROR(INDEX(Catalogo_Vehiculos!$F$2:$F$1325,MATCH(TRUE(),INDEX(Catalogo_Vehiculos!$G$2:$G$1325=H420&amp;"|"&amp;I420,0),0)),"No en catálogo"))</f>
      </c>
      <c r="N420" s="20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9"/>
      <c r="Z420" s="19"/>
      <c r="AA420" s="15"/>
      <c r="AB420" s="15"/>
      <c r="AC420" s="15"/>
      <c r="AD420" s="15"/>
      <c r="AE420" s="15"/>
      <c r="AF420" s="19"/>
      <c r="AG420" s="19"/>
      <c r="AH420" s="15"/>
      <c r="AI420" s="15"/>
      <c r="AJ420" s="15"/>
      <c r="AK420" s="15"/>
      <c r="AL420" s="21"/>
      <c r="AM420" s="15"/>
      <c r="AN420" s="15"/>
      <c r="AO420" s="15"/>
      <c r="AP420" s="15"/>
      <c r="AQ420" s="15"/>
      <c r="AR420" s="15"/>
      <c r="AS420" s="15"/>
      <c r="AT420" s="19" t="str">
        <f>IF(COUNTA(A420:I420)+COUNTA(N420:X420)+COUNTA(AA420:AE420)+COUNTA(AH420:AS420)=0,"",IF(AND(A420&lt;&gt;"",E420&lt;&gt;"",OR(F420&lt;&gt;"",G420&lt;&gt;""),H420&lt;&gt;"",I420&lt;&gt;"",J420&lt;&gt;"No en catálogo",S420&lt;&gt;"",T420&lt;&gt;"",U420&lt;&gt;"",V420&lt;&gt;"",OR(AR420&lt;&gt;"",AND(W420&lt;&gt;"",X420&lt;&gt;"",AA420&lt;&gt;"",AB420&lt;&gt;"")),OR(AS420&lt;&gt;"",AND(AD420&lt;&gt;"",AE420&lt;&gt;"",AH420&lt;&gt;"",AI420&lt;&gt;"")),AK420&lt;&gt;"",OR(AK420&lt;&gt;"programado",AL420&lt;&gt;""),OR(AM420&lt;&gt;"específica",AN420&lt;&gt;""),OR(AO420&lt;&gt;"específica",AP420&lt;&gt;"")),"OK","Revisar"))</f>
        <v/>
      </c>
    </row>
    <row r="421" ht="15" customHeight="1" spans="1:46" x14ac:dyDescent="0.25">
      <c r="A421" s="15"/>
      <c r="B421" s="15"/>
      <c r="C421" s="15"/>
      <c r="D421" s="15"/>
      <c r="E421" s="15"/>
      <c r="F421" s="15"/>
      <c r="G421" s="15"/>
      <c r="H421" s="15"/>
      <c r="I421" s="15"/>
      <c r="J421" s="19">
        <f>IF(OR(H421="",I421=""),"",IFERROR(INDEX(Catalogo_Vehiculos!$C$2:$C$1325,MATCH(TRUE(),INDEX(Catalogo_Vehiculos!$G$2:$G$1325=H421&amp;"|"&amp;I421,0),0)),"No en catálogo"))</f>
      </c>
      <c r="K421" s="19">
        <f>IF(OR(H421="",I421=""),"",IFERROR(INDEX(Catalogo_Vehiculos!$D$2:$D$1325,MATCH(TRUE(),INDEX(Catalogo_Vehiculos!$G$2:$G$1325=H421&amp;"|"&amp;I421,0),0)),"No en catálogo"))</f>
      </c>
      <c r="L421" s="19">
        <f>IF(OR(H421="",I421=""),"",IFERROR(INDEX(Catalogo_Vehiculos!$E$2:$E$1325,MATCH(TRUE(),INDEX(Catalogo_Vehiculos!$G$2:$G$1325=H421&amp;"|"&amp;I421,0),0)),"No en catálogo"))</f>
      </c>
      <c r="M421" s="19">
        <f>IF(OR(H421="",I421=""),"",IFERROR(INDEX(Catalogo_Vehiculos!$F$2:$F$1325,MATCH(TRUE(),INDEX(Catalogo_Vehiculos!$G$2:$G$1325=H421&amp;"|"&amp;I421,0),0)),"No en catálogo"))</f>
      </c>
      <c r="N421" s="20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9"/>
      <c r="Z421" s="19"/>
      <c r="AA421" s="15"/>
      <c r="AB421" s="15"/>
      <c r="AC421" s="15"/>
      <c r="AD421" s="15"/>
      <c r="AE421" s="15"/>
      <c r="AF421" s="19"/>
      <c r="AG421" s="19"/>
      <c r="AH421" s="15"/>
      <c r="AI421" s="15"/>
      <c r="AJ421" s="15"/>
      <c r="AK421" s="15"/>
      <c r="AL421" s="21"/>
      <c r="AM421" s="15"/>
      <c r="AN421" s="15"/>
      <c r="AO421" s="15"/>
      <c r="AP421" s="15"/>
      <c r="AQ421" s="15"/>
      <c r="AR421" s="15"/>
      <c r="AS421" s="15"/>
      <c r="AT421" s="19" t="str">
        <f>IF(COUNTA(A421:I421)+COUNTA(N421:X421)+COUNTA(AA421:AE421)+COUNTA(AH421:AS421)=0,"",IF(AND(A421&lt;&gt;"",E421&lt;&gt;"",OR(F421&lt;&gt;"",G421&lt;&gt;""),H421&lt;&gt;"",I421&lt;&gt;"",J421&lt;&gt;"No en catálogo",S421&lt;&gt;"",T421&lt;&gt;"",U421&lt;&gt;"",V421&lt;&gt;"",OR(AR421&lt;&gt;"",AND(W421&lt;&gt;"",X421&lt;&gt;"",AA421&lt;&gt;"",AB421&lt;&gt;"")),OR(AS421&lt;&gt;"",AND(AD421&lt;&gt;"",AE421&lt;&gt;"",AH421&lt;&gt;"",AI421&lt;&gt;"")),AK421&lt;&gt;"",OR(AK421&lt;&gt;"programado",AL421&lt;&gt;""),OR(AM421&lt;&gt;"específica",AN421&lt;&gt;""),OR(AO421&lt;&gt;"específica",AP421&lt;&gt;"")),"OK","Revisar"))</f>
        <v/>
      </c>
    </row>
    <row r="422" ht="15" customHeight="1" spans="1:46" x14ac:dyDescent="0.25">
      <c r="A422" s="15"/>
      <c r="B422" s="15"/>
      <c r="C422" s="15"/>
      <c r="D422" s="15"/>
      <c r="E422" s="15"/>
      <c r="F422" s="15"/>
      <c r="G422" s="15"/>
      <c r="H422" s="15"/>
      <c r="I422" s="15"/>
      <c r="J422" s="19">
        <f>IF(OR(H422="",I422=""),"",IFERROR(INDEX(Catalogo_Vehiculos!$C$2:$C$1325,MATCH(TRUE(),INDEX(Catalogo_Vehiculos!$G$2:$G$1325=H422&amp;"|"&amp;I422,0),0)),"No en catálogo"))</f>
      </c>
      <c r="K422" s="19">
        <f>IF(OR(H422="",I422=""),"",IFERROR(INDEX(Catalogo_Vehiculos!$D$2:$D$1325,MATCH(TRUE(),INDEX(Catalogo_Vehiculos!$G$2:$G$1325=H422&amp;"|"&amp;I422,0),0)),"No en catálogo"))</f>
      </c>
      <c r="L422" s="19">
        <f>IF(OR(H422="",I422=""),"",IFERROR(INDEX(Catalogo_Vehiculos!$E$2:$E$1325,MATCH(TRUE(),INDEX(Catalogo_Vehiculos!$G$2:$G$1325=H422&amp;"|"&amp;I422,0),0)),"No en catálogo"))</f>
      </c>
      <c r="M422" s="19">
        <f>IF(OR(H422="",I422=""),"",IFERROR(INDEX(Catalogo_Vehiculos!$F$2:$F$1325,MATCH(TRUE(),INDEX(Catalogo_Vehiculos!$G$2:$G$1325=H422&amp;"|"&amp;I422,0),0)),"No en catálogo"))</f>
      </c>
      <c r="N422" s="20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9"/>
      <c r="Z422" s="19"/>
      <c r="AA422" s="15"/>
      <c r="AB422" s="15"/>
      <c r="AC422" s="15"/>
      <c r="AD422" s="15"/>
      <c r="AE422" s="15"/>
      <c r="AF422" s="19"/>
      <c r="AG422" s="19"/>
      <c r="AH422" s="15"/>
      <c r="AI422" s="15"/>
      <c r="AJ422" s="15"/>
      <c r="AK422" s="15"/>
      <c r="AL422" s="21"/>
      <c r="AM422" s="15"/>
      <c r="AN422" s="15"/>
      <c r="AO422" s="15"/>
      <c r="AP422" s="15"/>
      <c r="AQ422" s="15"/>
      <c r="AR422" s="15"/>
      <c r="AS422" s="15"/>
      <c r="AT422" s="19" t="str">
        <f>IF(COUNTA(A422:I422)+COUNTA(N422:X422)+COUNTA(AA422:AE422)+COUNTA(AH422:AS422)=0,"",IF(AND(A422&lt;&gt;"",E422&lt;&gt;"",OR(F422&lt;&gt;"",G422&lt;&gt;""),H422&lt;&gt;"",I422&lt;&gt;"",J422&lt;&gt;"No en catálogo",S422&lt;&gt;"",T422&lt;&gt;"",U422&lt;&gt;"",V422&lt;&gt;"",OR(AR422&lt;&gt;"",AND(W422&lt;&gt;"",X422&lt;&gt;"",AA422&lt;&gt;"",AB422&lt;&gt;"")),OR(AS422&lt;&gt;"",AND(AD422&lt;&gt;"",AE422&lt;&gt;"",AH422&lt;&gt;"",AI422&lt;&gt;"")),AK422&lt;&gt;"",OR(AK422&lt;&gt;"programado",AL422&lt;&gt;""),OR(AM422&lt;&gt;"específica",AN422&lt;&gt;""),OR(AO422&lt;&gt;"específica",AP422&lt;&gt;"")),"OK","Revisar"))</f>
        <v/>
      </c>
    </row>
    <row r="423" ht="15" customHeight="1" spans="1:46" x14ac:dyDescent="0.25">
      <c r="A423" s="15"/>
      <c r="B423" s="15"/>
      <c r="C423" s="15"/>
      <c r="D423" s="15"/>
      <c r="E423" s="15"/>
      <c r="F423" s="15"/>
      <c r="G423" s="15"/>
      <c r="H423" s="15"/>
      <c r="I423" s="15"/>
      <c r="J423" s="19">
        <f>IF(OR(H423="",I423=""),"",IFERROR(INDEX(Catalogo_Vehiculos!$C$2:$C$1325,MATCH(TRUE(),INDEX(Catalogo_Vehiculos!$G$2:$G$1325=H423&amp;"|"&amp;I423,0),0)),"No en catálogo"))</f>
      </c>
      <c r="K423" s="19">
        <f>IF(OR(H423="",I423=""),"",IFERROR(INDEX(Catalogo_Vehiculos!$D$2:$D$1325,MATCH(TRUE(),INDEX(Catalogo_Vehiculos!$G$2:$G$1325=H423&amp;"|"&amp;I423,0),0)),"No en catálogo"))</f>
      </c>
      <c r="L423" s="19">
        <f>IF(OR(H423="",I423=""),"",IFERROR(INDEX(Catalogo_Vehiculos!$E$2:$E$1325,MATCH(TRUE(),INDEX(Catalogo_Vehiculos!$G$2:$G$1325=H423&amp;"|"&amp;I423,0),0)),"No en catálogo"))</f>
      </c>
      <c r="M423" s="19">
        <f>IF(OR(H423="",I423=""),"",IFERROR(INDEX(Catalogo_Vehiculos!$F$2:$F$1325,MATCH(TRUE(),INDEX(Catalogo_Vehiculos!$G$2:$G$1325=H423&amp;"|"&amp;I423,0),0)),"No en catálogo"))</f>
      </c>
      <c r="N423" s="20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9"/>
      <c r="Z423" s="19"/>
      <c r="AA423" s="15"/>
      <c r="AB423" s="15"/>
      <c r="AC423" s="15"/>
      <c r="AD423" s="15"/>
      <c r="AE423" s="15"/>
      <c r="AF423" s="19"/>
      <c r="AG423" s="19"/>
      <c r="AH423" s="15"/>
      <c r="AI423" s="15"/>
      <c r="AJ423" s="15"/>
      <c r="AK423" s="15"/>
      <c r="AL423" s="21"/>
      <c r="AM423" s="15"/>
      <c r="AN423" s="15"/>
      <c r="AO423" s="15"/>
      <c r="AP423" s="15"/>
      <c r="AQ423" s="15"/>
      <c r="AR423" s="15"/>
      <c r="AS423" s="15"/>
      <c r="AT423" s="19" t="str">
        <f>IF(COUNTA(A423:I423)+COUNTA(N423:X423)+COUNTA(AA423:AE423)+COUNTA(AH423:AS423)=0,"",IF(AND(A423&lt;&gt;"",E423&lt;&gt;"",OR(F423&lt;&gt;"",G423&lt;&gt;""),H423&lt;&gt;"",I423&lt;&gt;"",J423&lt;&gt;"No en catálogo",S423&lt;&gt;"",T423&lt;&gt;"",U423&lt;&gt;"",V423&lt;&gt;"",OR(AR423&lt;&gt;"",AND(W423&lt;&gt;"",X423&lt;&gt;"",AA423&lt;&gt;"",AB423&lt;&gt;"")),OR(AS423&lt;&gt;"",AND(AD423&lt;&gt;"",AE423&lt;&gt;"",AH423&lt;&gt;"",AI423&lt;&gt;"")),AK423&lt;&gt;"",OR(AK423&lt;&gt;"programado",AL423&lt;&gt;""),OR(AM423&lt;&gt;"específica",AN423&lt;&gt;""),OR(AO423&lt;&gt;"específica",AP423&lt;&gt;"")),"OK","Revisar"))</f>
        <v/>
      </c>
    </row>
    <row r="424" ht="15" customHeight="1" spans="1:46" x14ac:dyDescent="0.25">
      <c r="A424" s="15"/>
      <c r="B424" s="15"/>
      <c r="C424" s="15"/>
      <c r="D424" s="15"/>
      <c r="E424" s="15"/>
      <c r="F424" s="15"/>
      <c r="G424" s="15"/>
      <c r="H424" s="15"/>
      <c r="I424" s="15"/>
      <c r="J424" s="19">
        <f>IF(OR(H424="",I424=""),"",IFERROR(INDEX(Catalogo_Vehiculos!$C$2:$C$1325,MATCH(TRUE(),INDEX(Catalogo_Vehiculos!$G$2:$G$1325=H424&amp;"|"&amp;I424,0),0)),"No en catálogo"))</f>
      </c>
      <c r="K424" s="19">
        <f>IF(OR(H424="",I424=""),"",IFERROR(INDEX(Catalogo_Vehiculos!$D$2:$D$1325,MATCH(TRUE(),INDEX(Catalogo_Vehiculos!$G$2:$G$1325=H424&amp;"|"&amp;I424,0),0)),"No en catálogo"))</f>
      </c>
      <c r="L424" s="19">
        <f>IF(OR(H424="",I424=""),"",IFERROR(INDEX(Catalogo_Vehiculos!$E$2:$E$1325,MATCH(TRUE(),INDEX(Catalogo_Vehiculos!$G$2:$G$1325=H424&amp;"|"&amp;I424,0),0)),"No en catálogo"))</f>
      </c>
      <c r="M424" s="19">
        <f>IF(OR(H424="",I424=""),"",IFERROR(INDEX(Catalogo_Vehiculos!$F$2:$F$1325,MATCH(TRUE(),INDEX(Catalogo_Vehiculos!$G$2:$G$1325=H424&amp;"|"&amp;I424,0),0)),"No en catálogo"))</f>
      </c>
      <c r="N424" s="20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9"/>
      <c r="Z424" s="19"/>
      <c r="AA424" s="15"/>
      <c r="AB424" s="15"/>
      <c r="AC424" s="15"/>
      <c r="AD424" s="15"/>
      <c r="AE424" s="15"/>
      <c r="AF424" s="19"/>
      <c r="AG424" s="19"/>
      <c r="AH424" s="15"/>
      <c r="AI424" s="15"/>
      <c r="AJ424" s="15"/>
      <c r="AK424" s="15"/>
      <c r="AL424" s="21"/>
      <c r="AM424" s="15"/>
      <c r="AN424" s="15"/>
      <c r="AO424" s="15"/>
      <c r="AP424" s="15"/>
      <c r="AQ424" s="15"/>
      <c r="AR424" s="15"/>
      <c r="AS424" s="15"/>
      <c r="AT424" s="19" t="str">
        <f>IF(COUNTA(A424:I424)+COUNTA(N424:X424)+COUNTA(AA424:AE424)+COUNTA(AH424:AS424)=0,"",IF(AND(A424&lt;&gt;"",E424&lt;&gt;"",OR(F424&lt;&gt;"",G424&lt;&gt;""),H424&lt;&gt;"",I424&lt;&gt;"",J424&lt;&gt;"No en catálogo",S424&lt;&gt;"",T424&lt;&gt;"",U424&lt;&gt;"",V424&lt;&gt;"",OR(AR424&lt;&gt;"",AND(W424&lt;&gt;"",X424&lt;&gt;"",AA424&lt;&gt;"",AB424&lt;&gt;"")),OR(AS424&lt;&gt;"",AND(AD424&lt;&gt;"",AE424&lt;&gt;"",AH424&lt;&gt;"",AI424&lt;&gt;"")),AK424&lt;&gt;"",OR(AK424&lt;&gt;"programado",AL424&lt;&gt;""),OR(AM424&lt;&gt;"específica",AN424&lt;&gt;""),OR(AO424&lt;&gt;"específica",AP424&lt;&gt;"")),"OK","Revisar"))</f>
        <v/>
      </c>
    </row>
    <row r="425" ht="15" customHeight="1" spans="1:46" x14ac:dyDescent="0.25">
      <c r="A425" s="15"/>
      <c r="B425" s="15"/>
      <c r="C425" s="15"/>
      <c r="D425" s="15"/>
      <c r="E425" s="15"/>
      <c r="F425" s="15"/>
      <c r="G425" s="15"/>
      <c r="H425" s="15"/>
      <c r="I425" s="15"/>
      <c r="J425" s="19">
        <f>IF(OR(H425="",I425=""),"",IFERROR(INDEX(Catalogo_Vehiculos!$C$2:$C$1325,MATCH(TRUE(),INDEX(Catalogo_Vehiculos!$G$2:$G$1325=H425&amp;"|"&amp;I425,0),0)),"No en catálogo"))</f>
      </c>
      <c r="K425" s="19">
        <f>IF(OR(H425="",I425=""),"",IFERROR(INDEX(Catalogo_Vehiculos!$D$2:$D$1325,MATCH(TRUE(),INDEX(Catalogo_Vehiculos!$G$2:$G$1325=H425&amp;"|"&amp;I425,0),0)),"No en catálogo"))</f>
      </c>
      <c r="L425" s="19">
        <f>IF(OR(H425="",I425=""),"",IFERROR(INDEX(Catalogo_Vehiculos!$E$2:$E$1325,MATCH(TRUE(),INDEX(Catalogo_Vehiculos!$G$2:$G$1325=H425&amp;"|"&amp;I425,0),0)),"No en catálogo"))</f>
      </c>
      <c r="M425" s="19">
        <f>IF(OR(H425="",I425=""),"",IFERROR(INDEX(Catalogo_Vehiculos!$F$2:$F$1325,MATCH(TRUE(),INDEX(Catalogo_Vehiculos!$G$2:$G$1325=H425&amp;"|"&amp;I425,0),0)),"No en catálogo"))</f>
      </c>
      <c r="N425" s="20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9"/>
      <c r="Z425" s="19"/>
      <c r="AA425" s="15"/>
      <c r="AB425" s="15"/>
      <c r="AC425" s="15"/>
      <c r="AD425" s="15"/>
      <c r="AE425" s="15"/>
      <c r="AF425" s="19"/>
      <c r="AG425" s="19"/>
      <c r="AH425" s="15"/>
      <c r="AI425" s="15"/>
      <c r="AJ425" s="15"/>
      <c r="AK425" s="15"/>
      <c r="AL425" s="21"/>
      <c r="AM425" s="15"/>
      <c r="AN425" s="15"/>
      <c r="AO425" s="15"/>
      <c r="AP425" s="15"/>
      <c r="AQ425" s="15"/>
      <c r="AR425" s="15"/>
      <c r="AS425" s="15"/>
      <c r="AT425" s="19" t="str">
        <f>IF(COUNTA(A425:I425)+COUNTA(N425:X425)+COUNTA(AA425:AE425)+COUNTA(AH425:AS425)=0,"",IF(AND(A425&lt;&gt;"",E425&lt;&gt;"",OR(F425&lt;&gt;"",G425&lt;&gt;""),H425&lt;&gt;"",I425&lt;&gt;"",J425&lt;&gt;"No en catálogo",S425&lt;&gt;"",T425&lt;&gt;"",U425&lt;&gt;"",V425&lt;&gt;"",OR(AR425&lt;&gt;"",AND(W425&lt;&gt;"",X425&lt;&gt;"",AA425&lt;&gt;"",AB425&lt;&gt;"")),OR(AS425&lt;&gt;"",AND(AD425&lt;&gt;"",AE425&lt;&gt;"",AH425&lt;&gt;"",AI425&lt;&gt;"")),AK425&lt;&gt;"",OR(AK425&lt;&gt;"programado",AL425&lt;&gt;""),OR(AM425&lt;&gt;"específica",AN425&lt;&gt;""),OR(AO425&lt;&gt;"específica",AP425&lt;&gt;"")),"OK","Revisar"))</f>
        <v/>
      </c>
    </row>
    <row r="426" ht="15" customHeight="1" spans="1:46" x14ac:dyDescent="0.25">
      <c r="A426" s="15"/>
      <c r="B426" s="15"/>
      <c r="C426" s="15"/>
      <c r="D426" s="15"/>
      <c r="E426" s="15"/>
      <c r="F426" s="15"/>
      <c r="G426" s="15"/>
      <c r="H426" s="15"/>
      <c r="I426" s="15"/>
      <c r="J426" s="19">
        <f>IF(OR(H426="",I426=""),"",IFERROR(INDEX(Catalogo_Vehiculos!$C$2:$C$1325,MATCH(TRUE(),INDEX(Catalogo_Vehiculos!$G$2:$G$1325=H426&amp;"|"&amp;I426,0),0)),"No en catálogo"))</f>
      </c>
      <c r="K426" s="19">
        <f>IF(OR(H426="",I426=""),"",IFERROR(INDEX(Catalogo_Vehiculos!$D$2:$D$1325,MATCH(TRUE(),INDEX(Catalogo_Vehiculos!$G$2:$G$1325=H426&amp;"|"&amp;I426,0),0)),"No en catálogo"))</f>
      </c>
      <c r="L426" s="19">
        <f>IF(OR(H426="",I426=""),"",IFERROR(INDEX(Catalogo_Vehiculos!$E$2:$E$1325,MATCH(TRUE(),INDEX(Catalogo_Vehiculos!$G$2:$G$1325=H426&amp;"|"&amp;I426,0),0)),"No en catálogo"))</f>
      </c>
      <c r="M426" s="19">
        <f>IF(OR(H426="",I426=""),"",IFERROR(INDEX(Catalogo_Vehiculos!$F$2:$F$1325,MATCH(TRUE(),INDEX(Catalogo_Vehiculos!$G$2:$G$1325=H426&amp;"|"&amp;I426,0),0)),"No en catálogo"))</f>
      </c>
      <c r="N426" s="20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9"/>
      <c r="Z426" s="19"/>
      <c r="AA426" s="15"/>
      <c r="AB426" s="15"/>
      <c r="AC426" s="15"/>
      <c r="AD426" s="15"/>
      <c r="AE426" s="15"/>
      <c r="AF426" s="19"/>
      <c r="AG426" s="19"/>
      <c r="AH426" s="15"/>
      <c r="AI426" s="15"/>
      <c r="AJ426" s="15"/>
      <c r="AK426" s="15"/>
      <c r="AL426" s="21"/>
      <c r="AM426" s="15"/>
      <c r="AN426" s="15"/>
      <c r="AO426" s="15"/>
      <c r="AP426" s="15"/>
      <c r="AQ426" s="15"/>
      <c r="AR426" s="15"/>
      <c r="AS426" s="15"/>
      <c r="AT426" s="19" t="str">
        <f>IF(COUNTA(A426:I426)+COUNTA(N426:X426)+COUNTA(AA426:AE426)+COUNTA(AH426:AS426)=0,"",IF(AND(A426&lt;&gt;"",E426&lt;&gt;"",OR(F426&lt;&gt;"",G426&lt;&gt;""),H426&lt;&gt;"",I426&lt;&gt;"",J426&lt;&gt;"No en catálogo",S426&lt;&gt;"",T426&lt;&gt;"",U426&lt;&gt;"",V426&lt;&gt;"",OR(AR426&lt;&gt;"",AND(W426&lt;&gt;"",X426&lt;&gt;"",AA426&lt;&gt;"",AB426&lt;&gt;"")),OR(AS426&lt;&gt;"",AND(AD426&lt;&gt;"",AE426&lt;&gt;"",AH426&lt;&gt;"",AI426&lt;&gt;"")),AK426&lt;&gt;"",OR(AK426&lt;&gt;"programado",AL426&lt;&gt;""),OR(AM426&lt;&gt;"específica",AN426&lt;&gt;""),OR(AO426&lt;&gt;"específica",AP426&lt;&gt;"")),"OK","Revisar"))</f>
        <v/>
      </c>
    </row>
    <row r="427" ht="15" customHeight="1" spans="1:46" x14ac:dyDescent="0.25">
      <c r="A427" s="15"/>
      <c r="B427" s="15"/>
      <c r="C427" s="15"/>
      <c r="D427" s="15"/>
      <c r="E427" s="15"/>
      <c r="F427" s="15"/>
      <c r="G427" s="15"/>
      <c r="H427" s="15"/>
      <c r="I427" s="15"/>
      <c r="J427" s="19">
        <f>IF(OR(H427="",I427=""),"",IFERROR(INDEX(Catalogo_Vehiculos!$C$2:$C$1325,MATCH(TRUE(),INDEX(Catalogo_Vehiculos!$G$2:$G$1325=H427&amp;"|"&amp;I427,0),0)),"No en catálogo"))</f>
      </c>
      <c r="K427" s="19">
        <f>IF(OR(H427="",I427=""),"",IFERROR(INDEX(Catalogo_Vehiculos!$D$2:$D$1325,MATCH(TRUE(),INDEX(Catalogo_Vehiculos!$G$2:$G$1325=H427&amp;"|"&amp;I427,0),0)),"No en catálogo"))</f>
      </c>
      <c r="L427" s="19">
        <f>IF(OR(H427="",I427=""),"",IFERROR(INDEX(Catalogo_Vehiculos!$E$2:$E$1325,MATCH(TRUE(),INDEX(Catalogo_Vehiculos!$G$2:$G$1325=H427&amp;"|"&amp;I427,0),0)),"No en catálogo"))</f>
      </c>
      <c r="M427" s="19">
        <f>IF(OR(H427="",I427=""),"",IFERROR(INDEX(Catalogo_Vehiculos!$F$2:$F$1325,MATCH(TRUE(),INDEX(Catalogo_Vehiculos!$G$2:$G$1325=H427&amp;"|"&amp;I427,0),0)),"No en catálogo"))</f>
      </c>
      <c r="N427" s="20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9"/>
      <c r="Z427" s="19"/>
      <c r="AA427" s="15"/>
      <c r="AB427" s="15"/>
      <c r="AC427" s="15"/>
      <c r="AD427" s="15"/>
      <c r="AE427" s="15"/>
      <c r="AF427" s="19"/>
      <c r="AG427" s="19"/>
      <c r="AH427" s="15"/>
      <c r="AI427" s="15"/>
      <c r="AJ427" s="15"/>
      <c r="AK427" s="15"/>
      <c r="AL427" s="21"/>
      <c r="AM427" s="15"/>
      <c r="AN427" s="15"/>
      <c r="AO427" s="15"/>
      <c r="AP427" s="15"/>
      <c r="AQ427" s="15"/>
      <c r="AR427" s="15"/>
      <c r="AS427" s="15"/>
      <c r="AT427" s="19" t="str">
        <f>IF(COUNTA(A427:I427)+COUNTA(N427:X427)+COUNTA(AA427:AE427)+COUNTA(AH427:AS427)=0,"",IF(AND(A427&lt;&gt;"",E427&lt;&gt;"",OR(F427&lt;&gt;"",G427&lt;&gt;""),H427&lt;&gt;"",I427&lt;&gt;"",J427&lt;&gt;"No en catálogo",S427&lt;&gt;"",T427&lt;&gt;"",U427&lt;&gt;"",V427&lt;&gt;"",OR(AR427&lt;&gt;"",AND(W427&lt;&gt;"",X427&lt;&gt;"",AA427&lt;&gt;"",AB427&lt;&gt;"")),OR(AS427&lt;&gt;"",AND(AD427&lt;&gt;"",AE427&lt;&gt;"",AH427&lt;&gt;"",AI427&lt;&gt;"")),AK427&lt;&gt;"",OR(AK427&lt;&gt;"programado",AL427&lt;&gt;""),OR(AM427&lt;&gt;"específica",AN427&lt;&gt;""),OR(AO427&lt;&gt;"específica",AP427&lt;&gt;"")),"OK","Revisar"))</f>
        <v/>
      </c>
    </row>
    <row r="428" ht="15" customHeight="1" spans="1:46" x14ac:dyDescent="0.25">
      <c r="A428" s="15"/>
      <c r="B428" s="15"/>
      <c r="C428" s="15"/>
      <c r="D428" s="15"/>
      <c r="E428" s="15"/>
      <c r="F428" s="15"/>
      <c r="G428" s="15"/>
      <c r="H428" s="15"/>
      <c r="I428" s="15"/>
      <c r="J428" s="19">
        <f>IF(OR(H428="",I428=""),"",IFERROR(INDEX(Catalogo_Vehiculos!$C$2:$C$1325,MATCH(TRUE(),INDEX(Catalogo_Vehiculos!$G$2:$G$1325=H428&amp;"|"&amp;I428,0),0)),"No en catálogo"))</f>
      </c>
      <c r="K428" s="19">
        <f>IF(OR(H428="",I428=""),"",IFERROR(INDEX(Catalogo_Vehiculos!$D$2:$D$1325,MATCH(TRUE(),INDEX(Catalogo_Vehiculos!$G$2:$G$1325=H428&amp;"|"&amp;I428,0),0)),"No en catálogo"))</f>
      </c>
      <c r="L428" s="19">
        <f>IF(OR(H428="",I428=""),"",IFERROR(INDEX(Catalogo_Vehiculos!$E$2:$E$1325,MATCH(TRUE(),INDEX(Catalogo_Vehiculos!$G$2:$G$1325=H428&amp;"|"&amp;I428,0),0)),"No en catálogo"))</f>
      </c>
      <c r="M428" s="19">
        <f>IF(OR(H428="",I428=""),"",IFERROR(INDEX(Catalogo_Vehiculos!$F$2:$F$1325,MATCH(TRUE(),INDEX(Catalogo_Vehiculos!$G$2:$G$1325=H428&amp;"|"&amp;I428,0),0)),"No en catálogo"))</f>
      </c>
      <c r="N428" s="20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9"/>
      <c r="Z428" s="19"/>
      <c r="AA428" s="15"/>
      <c r="AB428" s="15"/>
      <c r="AC428" s="15"/>
      <c r="AD428" s="15"/>
      <c r="AE428" s="15"/>
      <c r="AF428" s="19"/>
      <c r="AG428" s="19"/>
      <c r="AH428" s="15"/>
      <c r="AI428" s="15"/>
      <c r="AJ428" s="15"/>
      <c r="AK428" s="15"/>
      <c r="AL428" s="21"/>
      <c r="AM428" s="15"/>
      <c r="AN428" s="15"/>
      <c r="AO428" s="15"/>
      <c r="AP428" s="15"/>
      <c r="AQ428" s="15"/>
      <c r="AR428" s="15"/>
      <c r="AS428" s="15"/>
      <c r="AT428" s="19" t="str">
        <f>IF(COUNTA(A428:I428)+COUNTA(N428:X428)+COUNTA(AA428:AE428)+COUNTA(AH428:AS428)=0,"",IF(AND(A428&lt;&gt;"",E428&lt;&gt;"",OR(F428&lt;&gt;"",G428&lt;&gt;""),H428&lt;&gt;"",I428&lt;&gt;"",J428&lt;&gt;"No en catálogo",S428&lt;&gt;"",T428&lt;&gt;"",U428&lt;&gt;"",V428&lt;&gt;"",OR(AR428&lt;&gt;"",AND(W428&lt;&gt;"",X428&lt;&gt;"",AA428&lt;&gt;"",AB428&lt;&gt;"")),OR(AS428&lt;&gt;"",AND(AD428&lt;&gt;"",AE428&lt;&gt;"",AH428&lt;&gt;"",AI428&lt;&gt;"")),AK428&lt;&gt;"",OR(AK428&lt;&gt;"programado",AL428&lt;&gt;""),OR(AM428&lt;&gt;"específica",AN428&lt;&gt;""),OR(AO428&lt;&gt;"específica",AP428&lt;&gt;"")),"OK","Revisar"))</f>
        <v/>
      </c>
    </row>
    <row r="429" ht="15" customHeight="1" spans="1:46" x14ac:dyDescent="0.25">
      <c r="A429" s="15"/>
      <c r="B429" s="15"/>
      <c r="C429" s="15"/>
      <c r="D429" s="15"/>
      <c r="E429" s="15"/>
      <c r="F429" s="15"/>
      <c r="G429" s="15"/>
      <c r="H429" s="15"/>
      <c r="I429" s="15"/>
      <c r="J429" s="19">
        <f>IF(OR(H429="",I429=""),"",IFERROR(INDEX(Catalogo_Vehiculos!$C$2:$C$1325,MATCH(TRUE(),INDEX(Catalogo_Vehiculos!$G$2:$G$1325=H429&amp;"|"&amp;I429,0),0)),"No en catálogo"))</f>
      </c>
      <c r="K429" s="19">
        <f>IF(OR(H429="",I429=""),"",IFERROR(INDEX(Catalogo_Vehiculos!$D$2:$D$1325,MATCH(TRUE(),INDEX(Catalogo_Vehiculos!$G$2:$G$1325=H429&amp;"|"&amp;I429,0),0)),"No en catálogo"))</f>
      </c>
      <c r="L429" s="19">
        <f>IF(OR(H429="",I429=""),"",IFERROR(INDEX(Catalogo_Vehiculos!$E$2:$E$1325,MATCH(TRUE(),INDEX(Catalogo_Vehiculos!$G$2:$G$1325=H429&amp;"|"&amp;I429,0),0)),"No en catálogo"))</f>
      </c>
      <c r="M429" s="19">
        <f>IF(OR(H429="",I429=""),"",IFERROR(INDEX(Catalogo_Vehiculos!$F$2:$F$1325,MATCH(TRUE(),INDEX(Catalogo_Vehiculos!$G$2:$G$1325=H429&amp;"|"&amp;I429,0),0)),"No en catálogo"))</f>
      </c>
      <c r="N429" s="20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9"/>
      <c r="Z429" s="19"/>
      <c r="AA429" s="15"/>
      <c r="AB429" s="15"/>
      <c r="AC429" s="15"/>
      <c r="AD429" s="15"/>
      <c r="AE429" s="15"/>
      <c r="AF429" s="19"/>
      <c r="AG429" s="19"/>
      <c r="AH429" s="15"/>
      <c r="AI429" s="15"/>
      <c r="AJ429" s="15"/>
      <c r="AK429" s="15"/>
      <c r="AL429" s="21"/>
      <c r="AM429" s="15"/>
      <c r="AN429" s="15"/>
      <c r="AO429" s="15"/>
      <c r="AP429" s="15"/>
      <c r="AQ429" s="15"/>
      <c r="AR429" s="15"/>
      <c r="AS429" s="15"/>
      <c r="AT429" s="19" t="str">
        <f>IF(COUNTA(A429:I429)+COUNTA(N429:X429)+COUNTA(AA429:AE429)+COUNTA(AH429:AS429)=0,"",IF(AND(A429&lt;&gt;"",E429&lt;&gt;"",OR(F429&lt;&gt;"",G429&lt;&gt;""),H429&lt;&gt;"",I429&lt;&gt;"",J429&lt;&gt;"No en catálogo",S429&lt;&gt;"",T429&lt;&gt;"",U429&lt;&gt;"",V429&lt;&gt;"",OR(AR429&lt;&gt;"",AND(W429&lt;&gt;"",X429&lt;&gt;"",AA429&lt;&gt;"",AB429&lt;&gt;"")),OR(AS429&lt;&gt;"",AND(AD429&lt;&gt;"",AE429&lt;&gt;"",AH429&lt;&gt;"",AI429&lt;&gt;"")),AK429&lt;&gt;"",OR(AK429&lt;&gt;"programado",AL429&lt;&gt;""),OR(AM429&lt;&gt;"específica",AN429&lt;&gt;""),OR(AO429&lt;&gt;"específica",AP429&lt;&gt;"")),"OK","Revisar"))</f>
        <v/>
      </c>
    </row>
    <row r="430" ht="15" customHeight="1" spans="1:46" x14ac:dyDescent="0.25">
      <c r="A430" s="15"/>
      <c r="B430" s="15"/>
      <c r="C430" s="15"/>
      <c r="D430" s="15"/>
      <c r="E430" s="15"/>
      <c r="F430" s="15"/>
      <c r="G430" s="15"/>
      <c r="H430" s="15"/>
      <c r="I430" s="15"/>
      <c r="J430" s="19">
        <f>IF(OR(H430="",I430=""),"",IFERROR(INDEX(Catalogo_Vehiculos!$C$2:$C$1325,MATCH(TRUE(),INDEX(Catalogo_Vehiculos!$G$2:$G$1325=H430&amp;"|"&amp;I430,0),0)),"No en catálogo"))</f>
      </c>
      <c r="K430" s="19">
        <f>IF(OR(H430="",I430=""),"",IFERROR(INDEX(Catalogo_Vehiculos!$D$2:$D$1325,MATCH(TRUE(),INDEX(Catalogo_Vehiculos!$G$2:$G$1325=H430&amp;"|"&amp;I430,0),0)),"No en catálogo"))</f>
      </c>
      <c r="L430" s="19">
        <f>IF(OR(H430="",I430=""),"",IFERROR(INDEX(Catalogo_Vehiculos!$E$2:$E$1325,MATCH(TRUE(),INDEX(Catalogo_Vehiculos!$G$2:$G$1325=H430&amp;"|"&amp;I430,0),0)),"No en catálogo"))</f>
      </c>
      <c r="M430" s="19">
        <f>IF(OR(H430="",I430=""),"",IFERROR(INDEX(Catalogo_Vehiculos!$F$2:$F$1325,MATCH(TRUE(),INDEX(Catalogo_Vehiculos!$G$2:$G$1325=H430&amp;"|"&amp;I430,0),0)),"No en catálogo"))</f>
      </c>
      <c r="N430" s="20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9"/>
      <c r="Z430" s="19"/>
      <c r="AA430" s="15"/>
      <c r="AB430" s="15"/>
      <c r="AC430" s="15"/>
      <c r="AD430" s="15"/>
      <c r="AE430" s="15"/>
      <c r="AF430" s="19"/>
      <c r="AG430" s="19"/>
      <c r="AH430" s="15"/>
      <c r="AI430" s="15"/>
      <c r="AJ430" s="15"/>
      <c r="AK430" s="15"/>
      <c r="AL430" s="21"/>
      <c r="AM430" s="15"/>
      <c r="AN430" s="15"/>
      <c r="AO430" s="15"/>
      <c r="AP430" s="15"/>
      <c r="AQ430" s="15"/>
      <c r="AR430" s="15"/>
      <c r="AS430" s="15"/>
      <c r="AT430" s="19" t="str">
        <f>IF(COUNTA(A430:I430)+COUNTA(N430:X430)+COUNTA(AA430:AE430)+COUNTA(AH430:AS430)=0,"",IF(AND(A430&lt;&gt;"",E430&lt;&gt;"",OR(F430&lt;&gt;"",G430&lt;&gt;""),H430&lt;&gt;"",I430&lt;&gt;"",J430&lt;&gt;"No en catálogo",S430&lt;&gt;"",T430&lt;&gt;"",U430&lt;&gt;"",V430&lt;&gt;"",OR(AR430&lt;&gt;"",AND(W430&lt;&gt;"",X430&lt;&gt;"",AA430&lt;&gt;"",AB430&lt;&gt;"")),OR(AS430&lt;&gt;"",AND(AD430&lt;&gt;"",AE430&lt;&gt;"",AH430&lt;&gt;"",AI430&lt;&gt;"")),AK430&lt;&gt;"",OR(AK430&lt;&gt;"programado",AL430&lt;&gt;""),OR(AM430&lt;&gt;"específica",AN430&lt;&gt;""),OR(AO430&lt;&gt;"específica",AP430&lt;&gt;"")),"OK","Revisar"))</f>
        <v/>
      </c>
    </row>
    <row r="431" ht="15" customHeight="1" spans="1:46" x14ac:dyDescent="0.25">
      <c r="A431" s="15"/>
      <c r="B431" s="15"/>
      <c r="C431" s="15"/>
      <c r="D431" s="15"/>
      <c r="E431" s="15"/>
      <c r="F431" s="15"/>
      <c r="G431" s="15"/>
      <c r="H431" s="15"/>
      <c r="I431" s="15"/>
      <c r="J431" s="19">
        <f>IF(OR(H431="",I431=""),"",IFERROR(INDEX(Catalogo_Vehiculos!$C$2:$C$1325,MATCH(TRUE(),INDEX(Catalogo_Vehiculos!$G$2:$G$1325=H431&amp;"|"&amp;I431,0),0)),"No en catálogo"))</f>
      </c>
      <c r="K431" s="19">
        <f>IF(OR(H431="",I431=""),"",IFERROR(INDEX(Catalogo_Vehiculos!$D$2:$D$1325,MATCH(TRUE(),INDEX(Catalogo_Vehiculos!$G$2:$G$1325=H431&amp;"|"&amp;I431,0),0)),"No en catálogo"))</f>
      </c>
      <c r="L431" s="19">
        <f>IF(OR(H431="",I431=""),"",IFERROR(INDEX(Catalogo_Vehiculos!$E$2:$E$1325,MATCH(TRUE(),INDEX(Catalogo_Vehiculos!$G$2:$G$1325=H431&amp;"|"&amp;I431,0),0)),"No en catálogo"))</f>
      </c>
      <c r="M431" s="19">
        <f>IF(OR(H431="",I431=""),"",IFERROR(INDEX(Catalogo_Vehiculos!$F$2:$F$1325,MATCH(TRUE(),INDEX(Catalogo_Vehiculos!$G$2:$G$1325=H431&amp;"|"&amp;I431,0),0)),"No en catálogo"))</f>
      </c>
      <c r="N431" s="20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9"/>
      <c r="Z431" s="19"/>
      <c r="AA431" s="15"/>
      <c r="AB431" s="15"/>
      <c r="AC431" s="15"/>
      <c r="AD431" s="15"/>
      <c r="AE431" s="15"/>
      <c r="AF431" s="19"/>
      <c r="AG431" s="19"/>
      <c r="AH431" s="15"/>
      <c r="AI431" s="15"/>
      <c r="AJ431" s="15"/>
      <c r="AK431" s="15"/>
      <c r="AL431" s="21"/>
      <c r="AM431" s="15"/>
      <c r="AN431" s="15"/>
      <c r="AO431" s="15"/>
      <c r="AP431" s="15"/>
      <c r="AQ431" s="15"/>
      <c r="AR431" s="15"/>
      <c r="AS431" s="15"/>
      <c r="AT431" s="19" t="str">
        <f>IF(COUNTA(A431:I431)+COUNTA(N431:X431)+COUNTA(AA431:AE431)+COUNTA(AH431:AS431)=0,"",IF(AND(A431&lt;&gt;"",E431&lt;&gt;"",OR(F431&lt;&gt;"",G431&lt;&gt;""),H431&lt;&gt;"",I431&lt;&gt;"",J431&lt;&gt;"No en catálogo",S431&lt;&gt;"",T431&lt;&gt;"",U431&lt;&gt;"",V431&lt;&gt;"",OR(AR431&lt;&gt;"",AND(W431&lt;&gt;"",X431&lt;&gt;"",AA431&lt;&gt;"",AB431&lt;&gt;"")),OR(AS431&lt;&gt;"",AND(AD431&lt;&gt;"",AE431&lt;&gt;"",AH431&lt;&gt;"",AI431&lt;&gt;"")),AK431&lt;&gt;"",OR(AK431&lt;&gt;"programado",AL431&lt;&gt;""),OR(AM431&lt;&gt;"específica",AN431&lt;&gt;""),OR(AO431&lt;&gt;"específica",AP431&lt;&gt;"")),"OK","Revisar"))</f>
        <v/>
      </c>
    </row>
    <row r="432" ht="15" customHeight="1" spans="1:46" x14ac:dyDescent="0.25">
      <c r="A432" s="15"/>
      <c r="B432" s="15"/>
      <c r="C432" s="15"/>
      <c r="D432" s="15"/>
      <c r="E432" s="15"/>
      <c r="F432" s="15"/>
      <c r="G432" s="15"/>
      <c r="H432" s="15"/>
      <c r="I432" s="15"/>
      <c r="J432" s="19">
        <f>IF(OR(H432="",I432=""),"",IFERROR(INDEX(Catalogo_Vehiculos!$C$2:$C$1325,MATCH(TRUE(),INDEX(Catalogo_Vehiculos!$G$2:$G$1325=H432&amp;"|"&amp;I432,0),0)),"No en catálogo"))</f>
      </c>
      <c r="K432" s="19">
        <f>IF(OR(H432="",I432=""),"",IFERROR(INDEX(Catalogo_Vehiculos!$D$2:$D$1325,MATCH(TRUE(),INDEX(Catalogo_Vehiculos!$G$2:$G$1325=H432&amp;"|"&amp;I432,0),0)),"No en catálogo"))</f>
      </c>
      <c r="L432" s="19">
        <f>IF(OR(H432="",I432=""),"",IFERROR(INDEX(Catalogo_Vehiculos!$E$2:$E$1325,MATCH(TRUE(),INDEX(Catalogo_Vehiculos!$G$2:$G$1325=H432&amp;"|"&amp;I432,0),0)),"No en catálogo"))</f>
      </c>
      <c r="M432" s="19">
        <f>IF(OR(H432="",I432=""),"",IFERROR(INDEX(Catalogo_Vehiculos!$F$2:$F$1325,MATCH(TRUE(),INDEX(Catalogo_Vehiculos!$G$2:$G$1325=H432&amp;"|"&amp;I432,0),0)),"No en catálogo"))</f>
      </c>
      <c r="N432" s="20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9"/>
      <c r="Z432" s="19"/>
      <c r="AA432" s="15"/>
      <c r="AB432" s="15"/>
      <c r="AC432" s="15"/>
      <c r="AD432" s="15"/>
      <c r="AE432" s="15"/>
      <c r="AF432" s="19"/>
      <c r="AG432" s="19"/>
      <c r="AH432" s="15"/>
      <c r="AI432" s="15"/>
      <c r="AJ432" s="15"/>
      <c r="AK432" s="15"/>
      <c r="AL432" s="21"/>
      <c r="AM432" s="15"/>
      <c r="AN432" s="15"/>
      <c r="AO432" s="15"/>
      <c r="AP432" s="15"/>
      <c r="AQ432" s="15"/>
      <c r="AR432" s="15"/>
      <c r="AS432" s="15"/>
      <c r="AT432" s="19" t="str">
        <f>IF(COUNTA(A432:I432)+COUNTA(N432:X432)+COUNTA(AA432:AE432)+COUNTA(AH432:AS432)=0,"",IF(AND(A432&lt;&gt;"",E432&lt;&gt;"",OR(F432&lt;&gt;"",G432&lt;&gt;""),H432&lt;&gt;"",I432&lt;&gt;"",J432&lt;&gt;"No en catálogo",S432&lt;&gt;"",T432&lt;&gt;"",U432&lt;&gt;"",V432&lt;&gt;"",OR(AR432&lt;&gt;"",AND(W432&lt;&gt;"",X432&lt;&gt;"",AA432&lt;&gt;"",AB432&lt;&gt;"")),OR(AS432&lt;&gt;"",AND(AD432&lt;&gt;"",AE432&lt;&gt;"",AH432&lt;&gt;"",AI432&lt;&gt;"")),AK432&lt;&gt;"",OR(AK432&lt;&gt;"programado",AL432&lt;&gt;""),OR(AM432&lt;&gt;"específica",AN432&lt;&gt;""),OR(AO432&lt;&gt;"específica",AP432&lt;&gt;"")),"OK","Revisar"))</f>
        <v/>
      </c>
    </row>
    <row r="433" ht="15" customHeight="1" spans="1:46" x14ac:dyDescent="0.25">
      <c r="A433" s="15"/>
      <c r="B433" s="15"/>
      <c r="C433" s="15"/>
      <c r="D433" s="15"/>
      <c r="E433" s="15"/>
      <c r="F433" s="15"/>
      <c r="G433" s="15"/>
      <c r="H433" s="15"/>
      <c r="I433" s="15"/>
      <c r="J433" s="19">
        <f>IF(OR(H433="",I433=""),"",IFERROR(INDEX(Catalogo_Vehiculos!$C$2:$C$1325,MATCH(TRUE(),INDEX(Catalogo_Vehiculos!$G$2:$G$1325=H433&amp;"|"&amp;I433,0),0)),"No en catálogo"))</f>
      </c>
      <c r="K433" s="19">
        <f>IF(OR(H433="",I433=""),"",IFERROR(INDEX(Catalogo_Vehiculos!$D$2:$D$1325,MATCH(TRUE(),INDEX(Catalogo_Vehiculos!$G$2:$G$1325=H433&amp;"|"&amp;I433,0),0)),"No en catálogo"))</f>
      </c>
      <c r="L433" s="19">
        <f>IF(OR(H433="",I433=""),"",IFERROR(INDEX(Catalogo_Vehiculos!$E$2:$E$1325,MATCH(TRUE(),INDEX(Catalogo_Vehiculos!$G$2:$G$1325=H433&amp;"|"&amp;I433,0),0)),"No en catálogo"))</f>
      </c>
      <c r="M433" s="19">
        <f>IF(OR(H433="",I433=""),"",IFERROR(INDEX(Catalogo_Vehiculos!$F$2:$F$1325,MATCH(TRUE(),INDEX(Catalogo_Vehiculos!$G$2:$G$1325=H433&amp;"|"&amp;I433,0),0)),"No en catálogo"))</f>
      </c>
      <c r="N433" s="20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9"/>
      <c r="Z433" s="19"/>
      <c r="AA433" s="15"/>
      <c r="AB433" s="15"/>
      <c r="AC433" s="15"/>
      <c r="AD433" s="15"/>
      <c r="AE433" s="15"/>
      <c r="AF433" s="19"/>
      <c r="AG433" s="19"/>
      <c r="AH433" s="15"/>
      <c r="AI433" s="15"/>
      <c r="AJ433" s="15"/>
      <c r="AK433" s="15"/>
      <c r="AL433" s="21"/>
      <c r="AM433" s="15"/>
      <c r="AN433" s="15"/>
      <c r="AO433" s="15"/>
      <c r="AP433" s="15"/>
      <c r="AQ433" s="15"/>
      <c r="AR433" s="15"/>
      <c r="AS433" s="15"/>
      <c r="AT433" s="19" t="str">
        <f>IF(COUNTA(A433:I433)+COUNTA(N433:X433)+COUNTA(AA433:AE433)+COUNTA(AH433:AS433)=0,"",IF(AND(A433&lt;&gt;"",E433&lt;&gt;"",OR(F433&lt;&gt;"",G433&lt;&gt;""),H433&lt;&gt;"",I433&lt;&gt;"",J433&lt;&gt;"No en catálogo",S433&lt;&gt;"",T433&lt;&gt;"",U433&lt;&gt;"",V433&lt;&gt;"",OR(AR433&lt;&gt;"",AND(W433&lt;&gt;"",X433&lt;&gt;"",AA433&lt;&gt;"",AB433&lt;&gt;"")),OR(AS433&lt;&gt;"",AND(AD433&lt;&gt;"",AE433&lt;&gt;"",AH433&lt;&gt;"",AI433&lt;&gt;"")),AK433&lt;&gt;"",OR(AK433&lt;&gt;"programado",AL433&lt;&gt;""),OR(AM433&lt;&gt;"específica",AN433&lt;&gt;""),OR(AO433&lt;&gt;"específica",AP433&lt;&gt;"")),"OK","Revisar"))</f>
        <v/>
      </c>
    </row>
    <row r="434" ht="15" customHeight="1" spans="1:46" x14ac:dyDescent="0.25">
      <c r="A434" s="15"/>
      <c r="B434" s="15"/>
      <c r="C434" s="15"/>
      <c r="D434" s="15"/>
      <c r="E434" s="15"/>
      <c r="F434" s="15"/>
      <c r="G434" s="15"/>
      <c r="H434" s="15"/>
      <c r="I434" s="15"/>
      <c r="J434" s="19">
        <f>IF(OR(H434="",I434=""),"",IFERROR(INDEX(Catalogo_Vehiculos!$C$2:$C$1325,MATCH(TRUE(),INDEX(Catalogo_Vehiculos!$G$2:$G$1325=H434&amp;"|"&amp;I434,0),0)),"No en catálogo"))</f>
      </c>
      <c r="K434" s="19">
        <f>IF(OR(H434="",I434=""),"",IFERROR(INDEX(Catalogo_Vehiculos!$D$2:$D$1325,MATCH(TRUE(),INDEX(Catalogo_Vehiculos!$G$2:$G$1325=H434&amp;"|"&amp;I434,0),0)),"No en catálogo"))</f>
      </c>
      <c r="L434" s="19">
        <f>IF(OR(H434="",I434=""),"",IFERROR(INDEX(Catalogo_Vehiculos!$E$2:$E$1325,MATCH(TRUE(),INDEX(Catalogo_Vehiculos!$G$2:$G$1325=H434&amp;"|"&amp;I434,0),0)),"No en catálogo"))</f>
      </c>
      <c r="M434" s="19">
        <f>IF(OR(H434="",I434=""),"",IFERROR(INDEX(Catalogo_Vehiculos!$F$2:$F$1325,MATCH(TRUE(),INDEX(Catalogo_Vehiculos!$G$2:$G$1325=H434&amp;"|"&amp;I434,0),0)),"No en catálogo"))</f>
      </c>
      <c r="N434" s="20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9"/>
      <c r="Z434" s="19"/>
      <c r="AA434" s="15"/>
      <c r="AB434" s="15"/>
      <c r="AC434" s="15"/>
      <c r="AD434" s="15"/>
      <c r="AE434" s="15"/>
      <c r="AF434" s="19"/>
      <c r="AG434" s="19"/>
      <c r="AH434" s="15"/>
      <c r="AI434" s="15"/>
      <c r="AJ434" s="15"/>
      <c r="AK434" s="15"/>
      <c r="AL434" s="21"/>
      <c r="AM434" s="15"/>
      <c r="AN434" s="15"/>
      <c r="AO434" s="15"/>
      <c r="AP434" s="15"/>
      <c r="AQ434" s="15"/>
      <c r="AR434" s="15"/>
      <c r="AS434" s="15"/>
      <c r="AT434" s="19" t="str">
        <f>IF(COUNTA(A434:I434)+COUNTA(N434:X434)+COUNTA(AA434:AE434)+COUNTA(AH434:AS434)=0,"",IF(AND(A434&lt;&gt;"",E434&lt;&gt;"",OR(F434&lt;&gt;"",G434&lt;&gt;""),H434&lt;&gt;"",I434&lt;&gt;"",J434&lt;&gt;"No en catálogo",S434&lt;&gt;"",T434&lt;&gt;"",U434&lt;&gt;"",V434&lt;&gt;"",OR(AR434&lt;&gt;"",AND(W434&lt;&gt;"",X434&lt;&gt;"",AA434&lt;&gt;"",AB434&lt;&gt;"")),OR(AS434&lt;&gt;"",AND(AD434&lt;&gt;"",AE434&lt;&gt;"",AH434&lt;&gt;"",AI434&lt;&gt;"")),AK434&lt;&gt;"",OR(AK434&lt;&gt;"programado",AL434&lt;&gt;""),OR(AM434&lt;&gt;"específica",AN434&lt;&gt;""),OR(AO434&lt;&gt;"específica",AP434&lt;&gt;"")),"OK","Revisar"))</f>
        <v/>
      </c>
    </row>
    <row r="435" ht="15" customHeight="1" spans="1:46" x14ac:dyDescent="0.25">
      <c r="A435" s="15"/>
      <c r="B435" s="15"/>
      <c r="C435" s="15"/>
      <c r="D435" s="15"/>
      <c r="E435" s="15"/>
      <c r="F435" s="15"/>
      <c r="G435" s="15"/>
      <c r="H435" s="15"/>
      <c r="I435" s="15"/>
      <c r="J435" s="19">
        <f>IF(OR(H435="",I435=""),"",IFERROR(INDEX(Catalogo_Vehiculos!$C$2:$C$1325,MATCH(TRUE(),INDEX(Catalogo_Vehiculos!$G$2:$G$1325=H435&amp;"|"&amp;I435,0),0)),"No en catálogo"))</f>
      </c>
      <c r="K435" s="19">
        <f>IF(OR(H435="",I435=""),"",IFERROR(INDEX(Catalogo_Vehiculos!$D$2:$D$1325,MATCH(TRUE(),INDEX(Catalogo_Vehiculos!$G$2:$G$1325=H435&amp;"|"&amp;I435,0),0)),"No en catálogo"))</f>
      </c>
      <c r="L435" s="19">
        <f>IF(OR(H435="",I435=""),"",IFERROR(INDEX(Catalogo_Vehiculos!$E$2:$E$1325,MATCH(TRUE(),INDEX(Catalogo_Vehiculos!$G$2:$G$1325=H435&amp;"|"&amp;I435,0),0)),"No en catálogo"))</f>
      </c>
      <c r="M435" s="19">
        <f>IF(OR(H435="",I435=""),"",IFERROR(INDEX(Catalogo_Vehiculos!$F$2:$F$1325,MATCH(TRUE(),INDEX(Catalogo_Vehiculos!$G$2:$G$1325=H435&amp;"|"&amp;I435,0),0)),"No en catálogo"))</f>
      </c>
      <c r="N435" s="20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9"/>
      <c r="Z435" s="19"/>
      <c r="AA435" s="15"/>
      <c r="AB435" s="15"/>
      <c r="AC435" s="15"/>
      <c r="AD435" s="15"/>
      <c r="AE435" s="15"/>
      <c r="AF435" s="19"/>
      <c r="AG435" s="19"/>
      <c r="AH435" s="15"/>
      <c r="AI435" s="15"/>
      <c r="AJ435" s="15"/>
      <c r="AK435" s="15"/>
      <c r="AL435" s="21"/>
      <c r="AM435" s="15"/>
      <c r="AN435" s="15"/>
      <c r="AO435" s="15"/>
      <c r="AP435" s="15"/>
      <c r="AQ435" s="15"/>
      <c r="AR435" s="15"/>
      <c r="AS435" s="15"/>
      <c r="AT435" s="19" t="str">
        <f>IF(COUNTA(A435:I435)+COUNTA(N435:X435)+COUNTA(AA435:AE435)+COUNTA(AH435:AS435)=0,"",IF(AND(A435&lt;&gt;"",E435&lt;&gt;"",OR(F435&lt;&gt;"",G435&lt;&gt;""),H435&lt;&gt;"",I435&lt;&gt;"",J435&lt;&gt;"No en catálogo",S435&lt;&gt;"",T435&lt;&gt;"",U435&lt;&gt;"",V435&lt;&gt;"",OR(AR435&lt;&gt;"",AND(W435&lt;&gt;"",X435&lt;&gt;"",AA435&lt;&gt;"",AB435&lt;&gt;"")),OR(AS435&lt;&gt;"",AND(AD435&lt;&gt;"",AE435&lt;&gt;"",AH435&lt;&gt;"",AI435&lt;&gt;"")),AK435&lt;&gt;"",OR(AK435&lt;&gt;"programado",AL435&lt;&gt;""),OR(AM435&lt;&gt;"específica",AN435&lt;&gt;""),OR(AO435&lt;&gt;"específica",AP435&lt;&gt;"")),"OK","Revisar"))</f>
        <v/>
      </c>
    </row>
    <row r="436" ht="15" customHeight="1" spans="1:46" x14ac:dyDescent="0.25">
      <c r="A436" s="15"/>
      <c r="B436" s="15"/>
      <c r="C436" s="15"/>
      <c r="D436" s="15"/>
      <c r="E436" s="15"/>
      <c r="F436" s="15"/>
      <c r="G436" s="15"/>
      <c r="H436" s="15"/>
      <c r="I436" s="15"/>
      <c r="J436" s="19">
        <f>IF(OR(H436="",I436=""),"",IFERROR(INDEX(Catalogo_Vehiculos!$C$2:$C$1325,MATCH(TRUE(),INDEX(Catalogo_Vehiculos!$G$2:$G$1325=H436&amp;"|"&amp;I436,0),0)),"No en catálogo"))</f>
      </c>
      <c r="K436" s="19">
        <f>IF(OR(H436="",I436=""),"",IFERROR(INDEX(Catalogo_Vehiculos!$D$2:$D$1325,MATCH(TRUE(),INDEX(Catalogo_Vehiculos!$G$2:$G$1325=H436&amp;"|"&amp;I436,0),0)),"No en catálogo"))</f>
      </c>
      <c r="L436" s="19">
        <f>IF(OR(H436="",I436=""),"",IFERROR(INDEX(Catalogo_Vehiculos!$E$2:$E$1325,MATCH(TRUE(),INDEX(Catalogo_Vehiculos!$G$2:$G$1325=H436&amp;"|"&amp;I436,0),0)),"No en catálogo"))</f>
      </c>
      <c r="M436" s="19">
        <f>IF(OR(H436="",I436=""),"",IFERROR(INDEX(Catalogo_Vehiculos!$F$2:$F$1325,MATCH(TRUE(),INDEX(Catalogo_Vehiculos!$G$2:$G$1325=H436&amp;"|"&amp;I436,0),0)),"No en catálogo"))</f>
      </c>
      <c r="N436" s="20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9"/>
      <c r="Z436" s="19"/>
      <c r="AA436" s="15"/>
      <c r="AB436" s="15"/>
      <c r="AC436" s="15"/>
      <c r="AD436" s="15"/>
      <c r="AE436" s="15"/>
      <c r="AF436" s="19"/>
      <c r="AG436" s="19"/>
      <c r="AH436" s="15"/>
      <c r="AI436" s="15"/>
      <c r="AJ436" s="15"/>
      <c r="AK436" s="15"/>
      <c r="AL436" s="21"/>
      <c r="AM436" s="15"/>
      <c r="AN436" s="15"/>
      <c r="AO436" s="15"/>
      <c r="AP436" s="15"/>
      <c r="AQ436" s="15"/>
      <c r="AR436" s="15"/>
      <c r="AS436" s="15"/>
      <c r="AT436" s="19" t="str">
        <f>IF(COUNTA(A436:I436)+COUNTA(N436:X436)+COUNTA(AA436:AE436)+COUNTA(AH436:AS436)=0,"",IF(AND(A436&lt;&gt;"",E436&lt;&gt;"",OR(F436&lt;&gt;"",G436&lt;&gt;""),H436&lt;&gt;"",I436&lt;&gt;"",J436&lt;&gt;"No en catálogo",S436&lt;&gt;"",T436&lt;&gt;"",U436&lt;&gt;"",V436&lt;&gt;"",OR(AR436&lt;&gt;"",AND(W436&lt;&gt;"",X436&lt;&gt;"",AA436&lt;&gt;"",AB436&lt;&gt;"")),OR(AS436&lt;&gt;"",AND(AD436&lt;&gt;"",AE436&lt;&gt;"",AH436&lt;&gt;"",AI436&lt;&gt;"")),AK436&lt;&gt;"",OR(AK436&lt;&gt;"programado",AL436&lt;&gt;""),OR(AM436&lt;&gt;"específica",AN436&lt;&gt;""),OR(AO436&lt;&gt;"específica",AP436&lt;&gt;"")),"OK","Revisar"))</f>
        <v/>
      </c>
    </row>
    <row r="437" ht="15" customHeight="1" spans="1:46" x14ac:dyDescent="0.25">
      <c r="A437" s="15"/>
      <c r="B437" s="15"/>
      <c r="C437" s="15"/>
      <c r="D437" s="15"/>
      <c r="E437" s="15"/>
      <c r="F437" s="15"/>
      <c r="G437" s="15"/>
      <c r="H437" s="15"/>
      <c r="I437" s="15"/>
      <c r="J437" s="19">
        <f>IF(OR(H437="",I437=""),"",IFERROR(INDEX(Catalogo_Vehiculos!$C$2:$C$1325,MATCH(TRUE(),INDEX(Catalogo_Vehiculos!$G$2:$G$1325=H437&amp;"|"&amp;I437,0),0)),"No en catálogo"))</f>
      </c>
      <c r="K437" s="19">
        <f>IF(OR(H437="",I437=""),"",IFERROR(INDEX(Catalogo_Vehiculos!$D$2:$D$1325,MATCH(TRUE(),INDEX(Catalogo_Vehiculos!$G$2:$G$1325=H437&amp;"|"&amp;I437,0),0)),"No en catálogo"))</f>
      </c>
      <c r="L437" s="19">
        <f>IF(OR(H437="",I437=""),"",IFERROR(INDEX(Catalogo_Vehiculos!$E$2:$E$1325,MATCH(TRUE(),INDEX(Catalogo_Vehiculos!$G$2:$G$1325=H437&amp;"|"&amp;I437,0),0)),"No en catálogo"))</f>
      </c>
      <c r="M437" s="19">
        <f>IF(OR(H437="",I437=""),"",IFERROR(INDEX(Catalogo_Vehiculos!$F$2:$F$1325,MATCH(TRUE(),INDEX(Catalogo_Vehiculos!$G$2:$G$1325=H437&amp;"|"&amp;I437,0),0)),"No en catálogo"))</f>
      </c>
      <c r="N437" s="20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9"/>
      <c r="Z437" s="19"/>
      <c r="AA437" s="15"/>
      <c r="AB437" s="15"/>
      <c r="AC437" s="15"/>
      <c r="AD437" s="15"/>
      <c r="AE437" s="15"/>
      <c r="AF437" s="19"/>
      <c r="AG437" s="19"/>
      <c r="AH437" s="15"/>
      <c r="AI437" s="15"/>
      <c r="AJ437" s="15"/>
      <c r="AK437" s="15"/>
      <c r="AL437" s="21"/>
      <c r="AM437" s="15"/>
      <c r="AN437" s="15"/>
      <c r="AO437" s="15"/>
      <c r="AP437" s="15"/>
      <c r="AQ437" s="15"/>
      <c r="AR437" s="15"/>
      <c r="AS437" s="15"/>
      <c r="AT437" s="19" t="str">
        <f>IF(COUNTA(A437:I437)+COUNTA(N437:X437)+COUNTA(AA437:AE437)+COUNTA(AH437:AS437)=0,"",IF(AND(A437&lt;&gt;"",E437&lt;&gt;"",OR(F437&lt;&gt;"",G437&lt;&gt;""),H437&lt;&gt;"",I437&lt;&gt;"",J437&lt;&gt;"No en catálogo",S437&lt;&gt;"",T437&lt;&gt;"",U437&lt;&gt;"",V437&lt;&gt;"",OR(AR437&lt;&gt;"",AND(W437&lt;&gt;"",X437&lt;&gt;"",AA437&lt;&gt;"",AB437&lt;&gt;"")),OR(AS437&lt;&gt;"",AND(AD437&lt;&gt;"",AE437&lt;&gt;"",AH437&lt;&gt;"",AI437&lt;&gt;"")),AK437&lt;&gt;"",OR(AK437&lt;&gt;"programado",AL437&lt;&gt;""),OR(AM437&lt;&gt;"específica",AN437&lt;&gt;""),OR(AO437&lt;&gt;"específica",AP437&lt;&gt;"")),"OK","Revisar"))</f>
        <v/>
      </c>
    </row>
    <row r="438" ht="15" customHeight="1" spans="1:46" x14ac:dyDescent="0.25">
      <c r="A438" s="15"/>
      <c r="B438" s="15"/>
      <c r="C438" s="15"/>
      <c r="D438" s="15"/>
      <c r="E438" s="15"/>
      <c r="F438" s="15"/>
      <c r="G438" s="15"/>
      <c r="H438" s="15"/>
      <c r="I438" s="15"/>
      <c r="J438" s="19">
        <f>IF(OR(H438="",I438=""),"",IFERROR(INDEX(Catalogo_Vehiculos!$C$2:$C$1325,MATCH(TRUE(),INDEX(Catalogo_Vehiculos!$G$2:$G$1325=H438&amp;"|"&amp;I438,0),0)),"No en catálogo"))</f>
      </c>
      <c r="K438" s="19">
        <f>IF(OR(H438="",I438=""),"",IFERROR(INDEX(Catalogo_Vehiculos!$D$2:$D$1325,MATCH(TRUE(),INDEX(Catalogo_Vehiculos!$G$2:$G$1325=H438&amp;"|"&amp;I438,0),0)),"No en catálogo"))</f>
      </c>
      <c r="L438" s="19">
        <f>IF(OR(H438="",I438=""),"",IFERROR(INDEX(Catalogo_Vehiculos!$E$2:$E$1325,MATCH(TRUE(),INDEX(Catalogo_Vehiculos!$G$2:$G$1325=H438&amp;"|"&amp;I438,0),0)),"No en catálogo"))</f>
      </c>
      <c r="M438" s="19">
        <f>IF(OR(H438="",I438=""),"",IFERROR(INDEX(Catalogo_Vehiculos!$F$2:$F$1325,MATCH(TRUE(),INDEX(Catalogo_Vehiculos!$G$2:$G$1325=H438&amp;"|"&amp;I438,0),0)),"No en catálogo"))</f>
      </c>
      <c r="N438" s="20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9"/>
      <c r="Z438" s="19"/>
      <c r="AA438" s="15"/>
      <c r="AB438" s="15"/>
      <c r="AC438" s="15"/>
      <c r="AD438" s="15"/>
      <c r="AE438" s="15"/>
      <c r="AF438" s="19"/>
      <c r="AG438" s="19"/>
      <c r="AH438" s="15"/>
      <c r="AI438" s="15"/>
      <c r="AJ438" s="15"/>
      <c r="AK438" s="15"/>
      <c r="AL438" s="21"/>
      <c r="AM438" s="15"/>
      <c r="AN438" s="15"/>
      <c r="AO438" s="15"/>
      <c r="AP438" s="15"/>
      <c r="AQ438" s="15"/>
      <c r="AR438" s="15"/>
      <c r="AS438" s="15"/>
      <c r="AT438" s="19" t="str">
        <f>IF(COUNTA(A438:I438)+COUNTA(N438:X438)+COUNTA(AA438:AE438)+COUNTA(AH438:AS438)=0,"",IF(AND(A438&lt;&gt;"",E438&lt;&gt;"",OR(F438&lt;&gt;"",G438&lt;&gt;""),H438&lt;&gt;"",I438&lt;&gt;"",J438&lt;&gt;"No en catálogo",S438&lt;&gt;"",T438&lt;&gt;"",U438&lt;&gt;"",V438&lt;&gt;"",OR(AR438&lt;&gt;"",AND(W438&lt;&gt;"",X438&lt;&gt;"",AA438&lt;&gt;"",AB438&lt;&gt;"")),OR(AS438&lt;&gt;"",AND(AD438&lt;&gt;"",AE438&lt;&gt;"",AH438&lt;&gt;"",AI438&lt;&gt;"")),AK438&lt;&gt;"",OR(AK438&lt;&gt;"programado",AL438&lt;&gt;""),OR(AM438&lt;&gt;"específica",AN438&lt;&gt;""),OR(AO438&lt;&gt;"específica",AP438&lt;&gt;"")),"OK","Revisar"))</f>
        <v/>
      </c>
    </row>
    <row r="439" ht="15" customHeight="1" spans="1:46" x14ac:dyDescent="0.25">
      <c r="A439" s="15"/>
      <c r="B439" s="15"/>
      <c r="C439" s="15"/>
      <c r="D439" s="15"/>
      <c r="E439" s="15"/>
      <c r="F439" s="15"/>
      <c r="G439" s="15"/>
      <c r="H439" s="15"/>
      <c r="I439" s="15"/>
      <c r="J439" s="19">
        <f>IF(OR(H439="",I439=""),"",IFERROR(INDEX(Catalogo_Vehiculos!$C$2:$C$1325,MATCH(TRUE(),INDEX(Catalogo_Vehiculos!$G$2:$G$1325=H439&amp;"|"&amp;I439,0),0)),"No en catálogo"))</f>
      </c>
      <c r="K439" s="19">
        <f>IF(OR(H439="",I439=""),"",IFERROR(INDEX(Catalogo_Vehiculos!$D$2:$D$1325,MATCH(TRUE(),INDEX(Catalogo_Vehiculos!$G$2:$G$1325=H439&amp;"|"&amp;I439,0),0)),"No en catálogo"))</f>
      </c>
      <c r="L439" s="19">
        <f>IF(OR(H439="",I439=""),"",IFERROR(INDEX(Catalogo_Vehiculos!$E$2:$E$1325,MATCH(TRUE(),INDEX(Catalogo_Vehiculos!$G$2:$G$1325=H439&amp;"|"&amp;I439,0),0)),"No en catálogo"))</f>
      </c>
      <c r="M439" s="19">
        <f>IF(OR(H439="",I439=""),"",IFERROR(INDEX(Catalogo_Vehiculos!$F$2:$F$1325,MATCH(TRUE(),INDEX(Catalogo_Vehiculos!$G$2:$G$1325=H439&amp;"|"&amp;I439,0),0)),"No en catálogo"))</f>
      </c>
      <c r="N439" s="20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9"/>
      <c r="Z439" s="19"/>
      <c r="AA439" s="15"/>
      <c r="AB439" s="15"/>
      <c r="AC439" s="15"/>
      <c r="AD439" s="15"/>
      <c r="AE439" s="15"/>
      <c r="AF439" s="19"/>
      <c r="AG439" s="19"/>
      <c r="AH439" s="15"/>
      <c r="AI439" s="15"/>
      <c r="AJ439" s="15"/>
      <c r="AK439" s="15"/>
      <c r="AL439" s="21"/>
      <c r="AM439" s="15"/>
      <c r="AN439" s="15"/>
      <c r="AO439" s="15"/>
      <c r="AP439" s="15"/>
      <c r="AQ439" s="15"/>
      <c r="AR439" s="15"/>
      <c r="AS439" s="15"/>
      <c r="AT439" s="19" t="str">
        <f>IF(COUNTA(A439:I439)+COUNTA(N439:X439)+COUNTA(AA439:AE439)+COUNTA(AH439:AS439)=0,"",IF(AND(A439&lt;&gt;"",E439&lt;&gt;"",OR(F439&lt;&gt;"",G439&lt;&gt;""),H439&lt;&gt;"",I439&lt;&gt;"",J439&lt;&gt;"No en catálogo",S439&lt;&gt;"",T439&lt;&gt;"",U439&lt;&gt;"",V439&lt;&gt;"",OR(AR439&lt;&gt;"",AND(W439&lt;&gt;"",X439&lt;&gt;"",AA439&lt;&gt;"",AB439&lt;&gt;"")),OR(AS439&lt;&gt;"",AND(AD439&lt;&gt;"",AE439&lt;&gt;"",AH439&lt;&gt;"",AI439&lt;&gt;"")),AK439&lt;&gt;"",OR(AK439&lt;&gt;"programado",AL439&lt;&gt;""),OR(AM439&lt;&gt;"específica",AN439&lt;&gt;""),OR(AO439&lt;&gt;"específica",AP439&lt;&gt;"")),"OK","Revisar"))</f>
        <v/>
      </c>
    </row>
    <row r="440" ht="15" customHeight="1" spans="1:46" x14ac:dyDescent="0.25">
      <c r="A440" s="15"/>
      <c r="B440" s="15"/>
      <c r="C440" s="15"/>
      <c r="D440" s="15"/>
      <c r="E440" s="15"/>
      <c r="F440" s="15"/>
      <c r="G440" s="15"/>
      <c r="H440" s="15"/>
      <c r="I440" s="15"/>
      <c r="J440" s="19">
        <f>IF(OR(H440="",I440=""),"",IFERROR(INDEX(Catalogo_Vehiculos!$C$2:$C$1325,MATCH(TRUE(),INDEX(Catalogo_Vehiculos!$G$2:$G$1325=H440&amp;"|"&amp;I440,0),0)),"No en catálogo"))</f>
      </c>
      <c r="K440" s="19">
        <f>IF(OR(H440="",I440=""),"",IFERROR(INDEX(Catalogo_Vehiculos!$D$2:$D$1325,MATCH(TRUE(),INDEX(Catalogo_Vehiculos!$G$2:$G$1325=H440&amp;"|"&amp;I440,0),0)),"No en catálogo"))</f>
      </c>
      <c r="L440" s="19">
        <f>IF(OR(H440="",I440=""),"",IFERROR(INDEX(Catalogo_Vehiculos!$E$2:$E$1325,MATCH(TRUE(),INDEX(Catalogo_Vehiculos!$G$2:$G$1325=H440&amp;"|"&amp;I440,0),0)),"No en catálogo"))</f>
      </c>
      <c r="M440" s="19">
        <f>IF(OR(H440="",I440=""),"",IFERROR(INDEX(Catalogo_Vehiculos!$F$2:$F$1325,MATCH(TRUE(),INDEX(Catalogo_Vehiculos!$G$2:$G$1325=H440&amp;"|"&amp;I440,0),0)),"No en catálogo"))</f>
      </c>
      <c r="N440" s="20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9"/>
      <c r="Z440" s="19"/>
      <c r="AA440" s="15"/>
      <c r="AB440" s="15"/>
      <c r="AC440" s="15"/>
      <c r="AD440" s="15"/>
      <c r="AE440" s="15"/>
      <c r="AF440" s="19"/>
      <c r="AG440" s="19"/>
      <c r="AH440" s="15"/>
      <c r="AI440" s="15"/>
      <c r="AJ440" s="15"/>
      <c r="AK440" s="15"/>
      <c r="AL440" s="21"/>
      <c r="AM440" s="15"/>
      <c r="AN440" s="15"/>
      <c r="AO440" s="15"/>
      <c r="AP440" s="15"/>
      <c r="AQ440" s="15"/>
      <c r="AR440" s="15"/>
      <c r="AS440" s="15"/>
      <c r="AT440" s="19" t="str">
        <f>IF(COUNTA(A440:I440)+COUNTA(N440:X440)+COUNTA(AA440:AE440)+COUNTA(AH440:AS440)=0,"",IF(AND(A440&lt;&gt;"",E440&lt;&gt;"",OR(F440&lt;&gt;"",G440&lt;&gt;""),H440&lt;&gt;"",I440&lt;&gt;"",J440&lt;&gt;"No en catálogo",S440&lt;&gt;"",T440&lt;&gt;"",U440&lt;&gt;"",V440&lt;&gt;"",OR(AR440&lt;&gt;"",AND(W440&lt;&gt;"",X440&lt;&gt;"",AA440&lt;&gt;"",AB440&lt;&gt;"")),OR(AS440&lt;&gt;"",AND(AD440&lt;&gt;"",AE440&lt;&gt;"",AH440&lt;&gt;"",AI440&lt;&gt;"")),AK440&lt;&gt;"",OR(AK440&lt;&gt;"programado",AL440&lt;&gt;""),OR(AM440&lt;&gt;"específica",AN440&lt;&gt;""),OR(AO440&lt;&gt;"específica",AP440&lt;&gt;"")),"OK","Revisar"))</f>
        <v/>
      </c>
    </row>
    <row r="441" ht="15" customHeight="1" spans="1:46" x14ac:dyDescent="0.25">
      <c r="A441" s="15"/>
      <c r="B441" s="15"/>
      <c r="C441" s="15"/>
      <c r="D441" s="15"/>
      <c r="E441" s="15"/>
      <c r="F441" s="15"/>
      <c r="G441" s="15"/>
      <c r="H441" s="15"/>
      <c r="I441" s="15"/>
      <c r="J441" s="19">
        <f>IF(OR(H441="",I441=""),"",IFERROR(INDEX(Catalogo_Vehiculos!$C$2:$C$1325,MATCH(TRUE(),INDEX(Catalogo_Vehiculos!$G$2:$G$1325=H441&amp;"|"&amp;I441,0),0)),"No en catálogo"))</f>
      </c>
      <c r="K441" s="19">
        <f>IF(OR(H441="",I441=""),"",IFERROR(INDEX(Catalogo_Vehiculos!$D$2:$D$1325,MATCH(TRUE(),INDEX(Catalogo_Vehiculos!$G$2:$G$1325=H441&amp;"|"&amp;I441,0),0)),"No en catálogo"))</f>
      </c>
      <c r="L441" s="19">
        <f>IF(OR(H441="",I441=""),"",IFERROR(INDEX(Catalogo_Vehiculos!$E$2:$E$1325,MATCH(TRUE(),INDEX(Catalogo_Vehiculos!$G$2:$G$1325=H441&amp;"|"&amp;I441,0),0)),"No en catálogo"))</f>
      </c>
      <c r="M441" s="19">
        <f>IF(OR(H441="",I441=""),"",IFERROR(INDEX(Catalogo_Vehiculos!$F$2:$F$1325,MATCH(TRUE(),INDEX(Catalogo_Vehiculos!$G$2:$G$1325=H441&amp;"|"&amp;I441,0),0)),"No en catálogo"))</f>
      </c>
      <c r="N441" s="20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9"/>
      <c r="Z441" s="19"/>
      <c r="AA441" s="15"/>
      <c r="AB441" s="15"/>
      <c r="AC441" s="15"/>
      <c r="AD441" s="15"/>
      <c r="AE441" s="15"/>
      <c r="AF441" s="19"/>
      <c r="AG441" s="19"/>
      <c r="AH441" s="15"/>
      <c r="AI441" s="15"/>
      <c r="AJ441" s="15"/>
      <c r="AK441" s="15"/>
      <c r="AL441" s="21"/>
      <c r="AM441" s="15"/>
      <c r="AN441" s="15"/>
      <c r="AO441" s="15"/>
      <c r="AP441" s="15"/>
      <c r="AQ441" s="15"/>
      <c r="AR441" s="15"/>
      <c r="AS441" s="15"/>
      <c r="AT441" s="19" t="str">
        <f>IF(COUNTA(A441:I441)+COUNTA(N441:X441)+COUNTA(AA441:AE441)+COUNTA(AH441:AS441)=0,"",IF(AND(A441&lt;&gt;"",E441&lt;&gt;"",OR(F441&lt;&gt;"",G441&lt;&gt;""),H441&lt;&gt;"",I441&lt;&gt;"",J441&lt;&gt;"No en catálogo",S441&lt;&gt;"",T441&lt;&gt;"",U441&lt;&gt;"",V441&lt;&gt;"",OR(AR441&lt;&gt;"",AND(W441&lt;&gt;"",X441&lt;&gt;"",AA441&lt;&gt;"",AB441&lt;&gt;"")),OR(AS441&lt;&gt;"",AND(AD441&lt;&gt;"",AE441&lt;&gt;"",AH441&lt;&gt;"",AI441&lt;&gt;"")),AK441&lt;&gt;"",OR(AK441&lt;&gt;"programado",AL441&lt;&gt;""),OR(AM441&lt;&gt;"específica",AN441&lt;&gt;""),OR(AO441&lt;&gt;"específica",AP441&lt;&gt;"")),"OK","Revisar"))</f>
        <v/>
      </c>
    </row>
    <row r="442" ht="15" customHeight="1" spans="1:46" x14ac:dyDescent="0.25">
      <c r="A442" s="15"/>
      <c r="B442" s="15"/>
      <c r="C442" s="15"/>
      <c r="D442" s="15"/>
      <c r="E442" s="15"/>
      <c r="F442" s="15"/>
      <c r="G442" s="15"/>
      <c r="H442" s="15"/>
      <c r="I442" s="15"/>
      <c r="J442" s="19">
        <f>IF(OR(H442="",I442=""),"",IFERROR(INDEX(Catalogo_Vehiculos!$C$2:$C$1325,MATCH(TRUE(),INDEX(Catalogo_Vehiculos!$G$2:$G$1325=H442&amp;"|"&amp;I442,0),0)),"No en catálogo"))</f>
      </c>
      <c r="K442" s="19">
        <f>IF(OR(H442="",I442=""),"",IFERROR(INDEX(Catalogo_Vehiculos!$D$2:$D$1325,MATCH(TRUE(),INDEX(Catalogo_Vehiculos!$G$2:$G$1325=H442&amp;"|"&amp;I442,0),0)),"No en catálogo"))</f>
      </c>
      <c r="L442" s="19">
        <f>IF(OR(H442="",I442=""),"",IFERROR(INDEX(Catalogo_Vehiculos!$E$2:$E$1325,MATCH(TRUE(),INDEX(Catalogo_Vehiculos!$G$2:$G$1325=H442&amp;"|"&amp;I442,0),0)),"No en catálogo"))</f>
      </c>
      <c r="M442" s="19">
        <f>IF(OR(H442="",I442=""),"",IFERROR(INDEX(Catalogo_Vehiculos!$F$2:$F$1325,MATCH(TRUE(),INDEX(Catalogo_Vehiculos!$G$2:$G$1325=H442&amp;"|"&amp;I442,0),0)),"No en catálogo"))</f>
      </c>
      <c r="N442" s="20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9"/>
      <c r="Z442" s="19"/>
      <c r="AA442" s="15"/>
      <c r="AB442" s="15"/>
      <c r="AC442" s="15"/>
      <c r="AD442" s="15"/>
      <c r="AE442" s="15"/>
      <c r="AF442" s="19"/>
      <c r="AG442" s="19"/>
      <c r="AH442" s="15"/>
      <c r="AI442" s="15"/>
      <c r="AJ442" s="15"/>
      <c r="AK442" s="15"/>
      <c r="AL442" s="21"/>
      <c r="AM442" s="15"/>
      <c r="AN442" s="15"/>
      <c r="AO442" s="15"/>
      <c r="AP442" s="15"/>
      <c r="AQ442" s="15"/>
      <c r="AR442" s="15"/>
      <c r="AS442" s="15"/>
      <c r="AT442" s="19" t="str">
        <f>IF(COUNTA(A442:I442)+COUNTA(N442:X442)+COUNTA(AA442:AE442)+COUNTA(AH442:AS442)=0,"",IF(AND(A442&lt;&gt;"",E442&lt;&gt;"",OR(F442&lt;&gt;"",G442&lt;&gt;""),H442&lt;&gt;"",I442&lt;&gt;"",J442&lt;&gt;"No en catálogo",S442&lt;&gt;"",T442&lt;&gt;"",U442&lt;&gt;"",V442&lt;&gt;"",OR(AR442&lt;&gt;"",AND(W442&lt;&gt;"",X442&lt;&gt;"",AA442&lt;&gt;"",AB442&lt;&gt;"")),OR(AS442&lt;&gt;"",AND(AD442&lt;&gt;"",AE442&lt;&gt;"",AH442&lt;&gt;"",AI442&lt;&gt;"")),AK442&lt;&gt;"",OR(AK442&lt;&gt;"programado",AL442&lt;&gt;""),OR(AM442&lt;&gt;"específica",AN442&lt;&gt;""),OR(AO442&lt;&gt;"específica",AP442&lt;&gt;"")),"OK","Revisar"))</f>
        <v/>
      </c>
    </row>
    <row r="443" ht="15" customHeight="1" spans="1:46" x14ac:dyDescent="0.25">
      <c r="A443" s="15"/>
      <c r="B443" s="15"/>
      <c r="C443" s="15"/>
      <c r="D443" s="15"/>
      <c r="E443" s="15"/>
      <c r="F443" s="15"/>
      <c r="G443" s="15"/>
      <c r="H443" s="15"/>
      <c r="I443" s="15"/>
      <c r="J443" s="19">
        <f>IF(OR(H443="",I443=""),"",IFERROR(INDEX(Catalogo_Vehiculos!$C$2:$C$1325,MATCH(TRUE(),INDEX(Catalogo_Vehiculos!$G$2:$G$1325=H443&amp;"|"&amp;I443,0),0)),"No en catálogo"))</f>
      </c>
      <c r="K443" s="19">
        <f>IF(OR(H443="",I443=""),"",IFERROR(INDEX(Catalogo_Vehiculos!$D$2:$D$1325,MATCH(TRUE(),INDEX(Catalogo_Vehiculos!$G$2:$G$1325=H443&amp;"|"&amp;I443,0),0)),"No en catálogo"))</f>
      </c>
      <c r="L443" s="19">
        <f>IF(OR(H443="",I443=""),"",IFERROR(INDEX(Catalogo_Vehiculos!$E$2:$E$1325,MATCH(TRUE(),INDEX(Catalogo_Vehiculos!$G$2:$G$1325=H443&amp;"|"&amp;I443,0),0)),"No en catálogo"))</f>
      </c>
      <c r="M443" s="19">
        <f>IF(OR(H443="",I443=""),"",IFERROR(INDEX(Catalogo_Vehiculos!$F$2:$F$1325,MATCH(TRUE(),INDEX(Catalogo_Vehiculos!$G$2:$G$1325=H443&amp;"|"&amp;I443,0),0)),"No en catálogo"))</f>
      </c>
      <c r="N443" s="20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9"/>
      <c r="Z443" s="19"/>
      <c r="AA443" s="15"/>
      <c r="AB443" s="15"/>
      <c r="AC443" s="15"/>
      <c r="AD443" s="15"/>
      <c r="AE443" s="15"/>
      <c r="AF443" s="19"/>
      <c r="AG443" s="19"/>
      <c r="AH443" s="15"/>
      <c r="AI443" s="15"/>
      <c r="AJ443" s="15"/>
      <c r="AK443" s="15"/>
      <c r="AL443" s="21"/>
      <c r="AM443" s="15"/>
      <c r="AN443" s="15"/>
      <c r="AO443" s="15"/>
      <c r="AP443" s="15"/>
      <c r="AQ443" s="15"/>
      <c r="AR443" s="15"/>
      <c r="AS443" s="15"/>
      <c r="AT443" s="19" t="str">
        <f>IF(COUNTA(A443:I443)+COUNTA(N443:X443)+COUNTA(AA443:AE443)+COUNTA(AH443:AS443)=0,"",IF(AND(A443&lt;&gt;"",E443&lt;&gt;"",OR(F443&lt;&gt;"",G443&lt;&gt;""),H443&lt;&gt;"",I443&lt;&gt;"",J443&lt;&gt;"No en catálogo",S443&lt;&gt;"",T443&lt;&gt;"",U443&lt;&gt;"",V443&lt;&gt;"",OR(AR443&lt;&gt;"",AND(W443&lt;&gt;"",X443&lt;&gt;"",AA443&lt;&gt;"",AB443&lt;&gt;"")),OR(AS443&lt;&gt;"",AND(AD443&lt;&gt;"",AE443&lt;&gt;"",AH443&lt;&gt;"",AI443&lt;&gt;"")),AK443&lt;&gt;"",OR(AK443&lt;&gt;"programado",AL443&lt;&gt;""),OR(AM443&lt;&gt;"específica",AN443&lt;&gt;""),OR(AO443&lt;&gt;"específica",AP443&lt;&gt;"")),"OK","Revisar"))</f>
        <v/>
      </c>
    </row>
    <row r="444" ht="15" customHeight="1" spans="1:46" x14ac:dyDescent="0.25">
      <c r="A444" s="15"/>
      <c r="B444" s="15"/>
      <c r="C444" s="15"/>
      <c r="D444" s="15"/>
      <c r="E444" s="15"/>
      <c r="F444" s="15"/>
      <c r="G444" s="15"/>
      <c r="H444" s="15"/>
      <c r="I444" s="15"/>
      <c r="J444" s="19">
        <f>IF(OR(H444="",I444=""),"",IFERROR(INDEX(Catalogo_Vehiculos!$C$2:$C$1325,MATCH(TRUE(),INDEX(Catalogo_Vehiculos!$G$2:$G$1325=H444&amp;"|"&amp;I444,0),0)),"No en catálogo"))</f>
      </c>
      <c r="K444" s="19">
        <f>IF(OR(H444="",I444=""),"",IFERROR(INDEX(Catalogo_Vehiculos!$D$2:$D$1325,MATCH(TRUE(),INDEX(Catalogo_Vehiculos!$G$2:$G$1325=H444&amp;"|"&amp;I444,0),0)),"No en catálogo"))</f>
      </c>
      <c r="L444" s="19">
        <f>IF(OR(H444="",I444=""),"",IFERROR(INDEX(Catalogo_Vehiculos!$E$2:$E$1325,MATCH(TRUE(),INDEX(Catalogo_Vehiculos!$G$2:$G$1325=H444&amp;"|"&amp;I444,0),0)),"No en catálogo"))</f>
      </c>
      <c r="M444" s="19">
        <f>IF(OR(H444="",I444=""),"",IFERROR(INDEX(Catalogo_Vehiculos!$F$2:$F$1325,MATCH(TRUE(),INDEX(Catalogo_Vehiculos!$G$2:$G$1325=H444&amp;"|"&amp;I444,0),0)),"No en catálogo"))</f>
      </c>
      <c r="N444" s="20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9"/>
      <c r="Z444" s="19"/>
      <c r="AA444" s="15"/>
      <c r="AB444" s="15"/>
      <c r="AC444" s="15"/>
      <c r="AD444" s="15"/>
      <c r="AE444" s="15"/>
      <c r="AF444" s="19"/>
      <c r="AG444" s="19"/>
      <c r="AH444" s="15"/>
      <c r="AI444" s="15"/>
      <c r="AJ444" s="15"/>
      <c r="AK444" s="15"/>
      <c r="AL444" s="21"/>
      <c r="AM444" s="15"/>
      <c r="AN444" s="15"/>
      <c r="AO444" s="15"/>
      <c r="AP444" s="15"/>
      <c r="AQ444" s="15"/>
      <c r="AR444" s="15"/>
      <c r="AS444" s="15"/>
      <c r="AT444" s="19" t="str">
        <f>IF(COUNTA(A444:I444)+COUNTA(N444:X444)+COUNTA(AA444:AE444)+COUNTA(AH444:AS444)=0,"",IF(AND(A444&lt;&gt;"",E444&lt;&gt;"",OR(F444&lt;&gt;"",G444&lt;&gt;""),H444&lt;&gt;"",I444&lt;&gt;"",J444&lt;&gt;"No en catálogo",S444&lt;&gt;"",T444&lt;&gt;"",U444&lt;&gt;"",V444&lt;&gt;"",OR(AR444&lt;&gt;"",AND(W444&lt;&gt;"",X444&lt;&gt;"",AA444&lt;&gt;"",AB444&lt;&gt;"")),OR(AS444&lt;&gt;"",AND(AD444&lt;&gt;"",AE444&lt;&gt;"",AH444&lt;&gt;"",AI444&lt;&gt;"")),AK444&lt;&gt;"",OR(AK444&lt;&gt;"programado",AL444&lt;&gt;""),OR(AM444&lt;&gt;"específica",AN444&lt;&gt;""),OR(AO444&lt;&gt;"específica",AP444&lt;&gt;"")),"OK","Revisar"))</f>
        <v/>
      </c>
    </row>
    <row r="445" ht="15" customHeight="1" spans="1:46" x14ac:dyDescent="0.25">
      <c r="A445" s="15"/>
      <c r="B445" s="15"/>
      <c r="C445" s="15"/>
      <c r="D445" s="15"/>
      <c r="E445" s="15"/>
      <c r="F445" s="15"/>
      <c r="G445" s="15"/>
      <c r="H445" s="15"/>
      <c r="I445" s="15"/>
      <c r="J445" s="19">
        <f>IF(OR(H445="",I445=""),"",IFERROR(INDEX(Catalogo_Vehiculos!$C$2:$C$1325,MATCH(TRUE(),INDEX(Catalogo_Vehiculos!$G$2:$G$1325=H445&amp;"|"&amp;I445,0),0)),"No en catálogo"))</f>
      </c>
      <c r="K445" s="19">
        <f>IF(OR(H445="",I445=""),"",IFERROR(INDEX(Catalogo_Vehiculos!$D$2:$D$1325,MATCH(TRUE(),INDEX(Catalogo_Vehiculos!$G$2:$G$1325=H445&amp;"|"&amp;I445,0),0)),"No en catálogo"))</f>
      </c>
      <c r="L445" s="19">
        <f>IF(OR(H445="",I445=""),"",IFERROR(INDEX(Catalogo_Vehiculos!$E$2:$E$1325,MATCH(TRUE(),INDEX(Catalogo_Vehiculos!$G$2:$G$1325=H445&amp;"|"&amp;I445,0),0)),"No en catálogo"))</f>
      </c>
      <c r="M445" s="19">
        <f>IF(OR(H445="",I445=""),"",IFERROR(INDEX(Catalogo_Vehiculos!$F$2:$F$1325,MATCH(TRUE(),INDEX(Catalogo_Vehiculos!$G$2:$G$1325=H445&amp;"|"&amp;I445,0),0)),"No en catálogo"))</f>
      </c>
      <c r="N445" s="20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9"/>
      <c r="Z445" s="19"/>
      <c r="AA445" s="15"/>
      <c r="AB445" s="15"/>
      <c r="AC445" s="15"/>
      <c r="AD445" s="15"/>
      <c r="AE445" s="15"/>
      <c r="AF445" s="19"/>
      <c r="AG445" s="19"/>
      <c r="AH445" s="15"/>
      <c r="AI445" s="15"/>
      <c r="AJ445" s="15"/>
      <c r="AK445" s="15"/>
      <c r="AL445" s="21"/>
      <c r="AM445" s="15"/>
      <c r="AN445" s="15"/>
      <c r="AO445" s="15"/>
      <c r="AP445" s="15"/>
      <c r="AQ445" s="15"/>
      <c r="AR445" s="15"/>
      <c r="AS445" s="15"/>
      <c r="AT445" s="19" t="str">
        <f>IF(COUNTA(A445:I445)+COUNTA(N445:X445)+COUNTA(AA445:AE445)+COUNTA(AH445:AS445)=0,"",IF(AND(A445&lt;&gt;"",E445&lt;&gt;"",OR(F445&lt;&gt;"",G445&lt;&gt;""),H445&lt;&gt;"",I445&lt;&gt;"",J445&lt;&gt;"No en catálogo",S445&lt;&gt;"",T445&lt;&gt;"",U445&lt;&gt;"",V445&lt;&gt;"",OR(AR445&lt;&gt;"",AND(W445&lt;&gt;"",X445&lt;&gt;"",AA445&lt;&gt;"",AB445&lt;&gt;"")),OR(AS445&lt;&gt;"",AND(AD445&lt;&gt;"",AE445&lt;&gt;"",AH445&lt;&gt;"",AI445&lt;&gt;"")),AK445&lt;&gt;"",OR(AK445&lt;&gt;"programado",AL445&lt;&gt;""),OR(AM445&lt;&gt;"específica",AN445&lt;&gt;""),OR(AO445&lt;&gt;"específica",AP445&lt;&gt;"")),"OK","Revisar"))</f>
        <v/>
      </c>
    </row>
    <row r="446" ht="15" customHeight="1" spans="1:46" x14ac:dyDescent="0.25">
      <c r="A446" s="15"/>
      <c r="B446" s="15"/>
      <c r="C446" s="15"/>
      <c r="D446" s="15"/>
      <c r="E446" s="15"/>
      <c r="F446" s="15"/>
      <c r="G446" s="15"/>
      <c r="H446" s="15"/>
      <c r="I446" s="15"/>
      <c r="J446" s="19">
        <f>IF(OR(H446="",I446=""),"",IFERROR(INDEX(Catalogo_Vehiculos!$C$2:$C$1325,MATCH(TRUE(),INDEX(Catalogo_Vehiculos!$G$2:$G$1325=H446&amp;"|"&amp;I446,0),0)),"No en catálogo"))</f>
      </c>
      <c r="K446" s="19">
        <f>IF(OR(H446="",I446=""),"",IFERROR(INDEX(Catalogo_Vehiculos!$D$2:$D$1325,MATCH(TRUE(),INDEX(Catalogo_Vehiculos!$G$2:$G$1325=H446&amp;"|"&amp;I446,0),0)),"No en catálogo"))</f>
      </c>
      <c r="L446" s="19">
        <f>IF(OR(H446="",I446=""),"",IFERROR(INDEX(Catalogo_Vehiculos!$E$2:$E$1325,MATCH(TRUE(),INDEX(Catalogo_Vehiculos!$G$2:$G$1325=H446&amp;"|"&amp;I446,0),0)),"No en catálogo"))</f>
      </c>
      <c r="M446" s="19">
        <f>IF(OR(H446="",I446=""),"",IFERROR(INDEX(Catalogo_Vehiculos!$F$2:$F$1325,MATCH(TRUE(),INDEX(Catalogo_Vehiculos!$G$2:$G$1325=H446&amp;"|"&amp;I446,0),0)),"No en catálogo"))</f>
      </c>
      <c r="N446" s="20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9"/>
      <c r="Z446" s="19"/>
      <c r="AA446" s="15"/>
      <c r="AB446" s="15"/>
      <c r="AC446" s="15"/>
      <c r="AD446" s="15"/>
      <c r="AE446" s="15"/>
      <c r="AF446" s="19"/>
      <c r="AG446" s="19"/>
      <c r="AH446" s="15"/>
      <c r="AI446" s="15"/>
      <c r="AJ446" s="15"/>
      <c r="AK446" s="15"/>
      <c r="AL446" s="21"/>
      <c r="AM446" s="15"/>
      <c r="AN446" s="15"/>
      <c r="AO446" s="15"/>
      <c r="AP446" s="15"/>
      <c r="AQ446" s="15"/>
      <c r="AR446" s="15"/>
      <c r="AS446" s="15"/>
      <c r="AT446" s="19" t="str">
        <f>IF(COUNTA(A446:I446)+COUNTA(N446:X446)+COUNTA(AA446:AE446)+COUNTA(AH446:AS446)=0,"",IF(AND(A446&lt;&gt;"",E446&lt;&gt;"",OR(F446&lt;&gt;"",G446&lt;&gt;""),H446&lt;&gt;"",I446&lt;&gt;"",J446&lt;&gt;"No en catálogo",S446&lt;&gt;"",T446&lt;&gt;"",U446&lt;&gt;"",V446&lt;&gt;"",OR(AR446&lt;&gt;"",AND(W446&lt;&gt;"",X446&lt;&gt;"",AA446&lt;&gt;"",AB446&lt;&gt;"")),OR(AS446&lt;&gt;"",AND(AD446&lt;&gt;"",AE446&lt;&gt;"",AH446&lt;&gt;"",AI446&lt;&gt;"")),AK446&lt;&gt;"",OR(AK446&lt;&gt;"programado",AL446&lt;&gt;""),OR(AM446&lt;&gt;"específica",AN446&lt;&gt;""),OR(AO446&lt;&gt;"específica",AP446&lt;&gt;"")),"OK","Revisar"))</f>
        <v/>
      </c>
    </row>
    <row r="447" ht="15" customHeight="1" spans="1:46" x14ac:dyDescent="0.25">
      <c r="A447" s="15"/>
      <c r="B447" s="15"/>
      <c r="C447" s="15"/>
      <c r="D447" s="15"/>
      <c r="E447" s="15"/>
      <c r="F447" s="15"/>
      <c r="G447" s="15"/>
      <c r="H447" s="15"/>
      <c r="I447" s="15"/>
      <c r="J447" s="19">
        <f>IF(OR(H447="",I447=""),"",IFERROR(INDEX(Catalogo_Vehiculos!$C$2:$C$1325,MATCH(TRUE(),INDEX(Catalogo_Vehiculos!$G$2:$G$1325=H447&amp;"|"&amp;I447,0),0)),"No en catálogo"))</f>
      </c>
      <c r="K447" s="19">
        <f>IF(OR(H447="",I447=""),"",IFERROR(INDEX(Catalogo_Vehiculos!$D$2:$D$1325,MATCH(TRUE(),INDEX(Catalogo_Vehiculos!$G$2:$G$1325=H447&amp;"|"&amp;I447,0),0)),"No en catálogo"))</f>
      </c>
      <c r="L447" s="19">
        <f>IF(OR(H447="",I447=""),"",IFERROR(INDEX(Catalogo_Vehiculos!$E$2:$E$1325,MATCH(TRUE(),INDEX(Catalogo_Vehiculos!$G$2:$G$1325=H447&amp;"|"&amp;I447,0),0)),"No en catálogo"))</f>
      </c>
      <c r="M447" s="19">
        <f>IF(OR(H447="",I447=""),"",IFERROR(INDEX(Catalogo_Vehiculos!$F$2:$F$1325,MATCH(TRUE(),INDEX(Catalogo_Vehiculos!$G$2:$G$1325=H447&amp;"|"&amp;I447,0),0)),"No en catálogo"))</f>
      </c>
      <c r="N447" s="20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9"/>
      <c r="Z447" s="19"/>
      <c r="AA447" s="15"/>
      <c r="AB447" s="15"/>
      <c r="AC447" s="15"/>
      <c r="AD447" s="15"/>
      <c r="AE447" s="15"/>
      <c r="AF447" s="19"/>
      <c r="AG447" s="19"/>
      <c r="AH447" s="15"/>
      <c r="AI447" s="15"/>
      <c r="AJ447" s="15"/>
      <c r="AK447" s="15"/>
      <c r="AL447" s="21"/>
      <c r="AM447" s="15"/>
      <c r="AN447" s="15"/>
      <c r="AO447" s="15"/>
      <c r="AP447" s="15"/>
      <c r="AQ447" s="15"/>
      <c r="AR447" s="15"/>
      <c r="AS447" s="15"/>
      <c r="AT447" s="19" t="str">
        <f>IF(COUNTA(A447:I447)+COUNTA(N447:X447)+COUNTA(AA447:AE447)+COUNTA(AH447:AS447)=0,"",IF(AND(A447&lt;&gt;"",E447&lt;&gt;"",OR(F447&lt;&gt;"",G447&lt;&gt;""),H447&lt;&gt;"",I447&lt;&gt;"",J447&lt;&gt;"No en catálogo",S447&lt;&gt;"",T447&lt;&gt;"",U447&lt;&gt;"",V447&lt;&gt;"",OR(AR447&lt;&gt;"",AND(W447&lt;&gt;"",X447&lt;&gt;"",AA447&lt;&gt;"",AB447&lt;&gt;"")),OR(AS447&lt;&gt;"",AND(AD447&lt;&gt;"",AE447&lt;&gt;"",AH447&lt;&gt;"",AI447&lt;&gt;"")),AK447&lt;&gt;"",OR(AK447&lt;&gt;"programado",AL447&lt;&gt;""),OR(AM447&lt;&gt;"específica",AN447&lt;&gt;""),OR(AO447&lt;&gt;"específica",AP447&lt;&gt;"")),"OK","Revisar"))</f>
        <v/>
      </c>
    </row>
    <row r="448" ht="15" customHeight="1" spans="1:46" x14ac:dyDescent="0.25">
      <c r="A448" s="15"/>
      <c r="B448" s="15"/>
      <c r="C448" s="15"/>
      <c r="D448" s="15"/>
      <c r="E448" s="15"/>
      <c r="F448" s="15"/>
      <c r="G448" s="15"/>
      <c r="H448" s="15"/>
      <c r="I448" s="15"/>
      <c r="J448" s="19">
        <f>IF(OR(H448="",I448=""),"",IFERROR(INDEX(Catalogo_Vehiculos!$C$2:$C$1325,MATCH(TRUE(),INDEX(Catalogo_Vehiculos!$G$2:$G$1325=H448&amp;"|"&amp;I448,0),0)),"No en catálogo"))</f>
      </c>
      <c r="K448" s="19">
        <f>IF(OR(H448="",I448=""),"",IFERROR(INDEX(Catalogo_Vehiculos!$D$2:$D$1325,MATCH(TRUE(),INDEX(Catalogo_Vehiculos!$G$2:$G$1325=H448&amp;"|"&amp;I448,0),0)),"No en catálogo"))</f>
      </c>
      <c r="L448" s="19">
        <f>IF(OR(H448="",I448=""),"",IFERROR(INDEX(Catalogo_Vehiculos!$E$2:$E$1325,MATCH(TRUE(),INDEX(Catalogo_Vehiculos!$G$2:$G$1325=H448&amp;"|"&amp;I448,0),0)),"No en catálogo"))</f>
      </c>
      <c r="M448" s="19">
        <f>IF(OR(H448="",I448=""),"",IFERROR(INDEX(Catalogo_Vehiculos!$F$2:$F$1325,MATCH(TRUE(),INDEX(Catalogo_Vehiculos!$G$2:$G$1325=H448&amp;"|"&amp;I448,0),0)),"No en catálogo"))</f>
      </c>
      <c r="N448" s="20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9"/>
      <c r="Z448" s="19"/>
      <c r="AA448" s="15"/>
      <c r="AB448" s="15"/>
      <c r="AC448" s="15"/>
      <c r="AD448" s="15"/>
      <c r="AE448" s="15"/>
      <c r="AF448" s="19"/>
      <c r="AG448" s="19"/>
      <c r="AH448" s="15"/>
      <c r="AI448" s="15"/>
      <c r="AJ448" s="15"/>
      <c r="AK448" s="15"/>
      <c r="AL448" s="21"/>
      <c r="AM448" s="15"/>
      <c r="AN448" s="15"/>
      <c r="AO448" s="15"/>
      <c r="AP448" s="15"/>
      <c r="AQ448" s="15"/>
      <c r="AR448" s="15"/>
      <c r="AS448" s="15"/>
      <c r="AT448" s="19" t="str">
        <f>IF(COUNTA(A448:I448)+COUNTA(N448:X448)+COUNTA(AA448:AE448)+COUNTA(AH448:AS448)=0,"",IF(AND(A448&lt;&gt;"",E448&lt;&gt;"",OR(F448&lt;&gt;"",G448&lt;&gt;""),H448&lt;&gt;"",I448&lt;&gt;"",J448&lt;&gt;"No en catálogo",S448&lt;&gt;"",T448&lt;&gt;"",U448&lt;&gt;"",V448&lt;&gt;"",OR(AR448&lt;&gt;"",AND(W448&lt;&gt;"",X448&lt;&gt;"",AA448&lt;&gt;"",AB448&lt;&gt;"")),OR(AS448&lt;&gt;"",AND(AD448&lt;&gt;"",AE448&lt;&gt;"",AH448&lt;&gt;"",AI448&lt;&gt;"")),AK448&lt;&gt;"",OR(AK448&lt;&gt;"programado",AL448&lt;&gt;""),OR(AM448&lt;&gt;"específica",AN448&lt;&gt;""),OR(AO448&lt;&gt;"específica",AP448&lt;&gt;"")),"OK","Revisar"))</f>
        <v/>
      </c>
    </row>
    <row r="449" ht="15" customHeight="1" spans="1:46" x14ac:dyDescent="0.25">
      <c r="A449" s="15"/>
      <c r="B449" s="15"/>
      <c r="C449" s="15"/>
      <c r="D449" s="15"/>
      <c r="E449" s="15"/>
      <c r="F449" s="15"/>
      <c r="G449" s="15"/>
      <c r="H449" s="15"/>
      <c r="I449" s="15"/>
      <c r="J449" s="19">
        <f>IF(OR(H449="",I449=""),"",IFERROR(INDEX(Catalogo_Vehiculos!$C$2:$C$1325,MATCH(TRUE(),INDEX(Catalogo_Vehiculos!$G$2:$G$1325=H449&amp;"|"&amp;I449,0),0)),"No en catálogo"))</f>
      </c>
      <c r="K449" s="19">
        <f>IF(OR(H449="",I449=""),"",IFERROR(INDEX(Catalogo_Vehiculos!$D$2:$D$1325,MATCH(TRUE(),INDEX(Catalogo_Vehiculos!$G$2:$G$1325=H449&amp;"|"&amp;I449,0),0)),"No en catálogo"))</f>
      </c>
      <c r="L449" s="19">
        <f>IF(OR(H449="",I449=""),"",IFERROR(INDEX(Catalogo_Vehiculos!$E$2:$E$1325,MATCH(TRUE(),INDEX(Catalogo_Vehiculos!$G$2:$G$1325=H449&amp;"|"&amp;I449,0),0)),"No en catálogo"))</f>
      </c>
      <c r="M449" s="19">
        <f>IF(OR(H449="",I449=""),"",IFERROR(INDEX(Catalogo_Vehiculos!$F$2:$F$1325,MATCH(TRUE(),INDEX(Catalogo_Vehiculos!$G$2:$G$1325=H449&amp;"|"&amp;I449,0),0)),"No en catálogo"))</f>
      </c>
      <c r="N449" s="20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9"/>
      <c r="Z449" s="19"/>
      <c r="AA449" s="15"/>
      <c r="AB449" s="15"/>
      <c r="AC449" s="15"/>
      <c r="AD449" s="15"/>
      <c r="AE449" s="15"/>
      <c r="AF449" s="19"/>
      <c r="AG449" s="19"/>
      <c r="AH449" s="15"/>
      <c r="AI449" s="15"/>
      <c r="AJ449" s="15"/>
      <c r="AK449" s="15"/>
      <c r="AL449" s="21"/>
      <c r="AM449" s="15"/>
      <c r="AN449" s="15"/>
      <c r="AO449" s="15"/>
      <c r="AP449" s="15"/>
      <c r="AQ449" s="15"/>
      <c r="AR449" s="15"/>
      <c r="AS449" s="15"/>
      <c r="AT449" s="19" t="str">
        <f>IF(COUNTA(A449:I449)+COUNTA(N449:X449)+COUNTA(AA449:AE449)+COUNTA(AH449:AS449)=0,"",IF(AND(A449&lt;&gt;"",E449&lt;&gt;"",OR(F449&lt;&gt;"",G449&lt;&gt;""),H449&lt;&gt;"",I449&lt;&gt;"",J449&lt;&gt;"No en catálogo",S449&lt;&gt;"",T449&lt;&gt;"",U449&lt;&gt;"",V449&lt;&gt;"",OR(AR449&lt;&gt;"",AND(W449&lt;&gt;"",X449&lt;&gt;"",AA449&lt;&gt;"",AB449&lt;&gt;"")),OR(AS449&lt;&gt;"",AND(AD449&lt;&gt;"",AE449&lt;&gt;"",AH449&lt;&gt;"",AI449&lt;&gt;"")),AK449&lt;&gt;"",OR(AK449&lt;&gt;"programado",AL449&lt;&gt;""),OR(AM449&lt;&gt;"específica",AN449&lt;&gt;""),OR(AO449&lt;&gt;"específica",AP449&lt;&gt;"")),"OK","Revisar"))</f>
        <v/>
      </c>
    </row>
    <row r="450" ht="15" customHeight="1" spans="1:46" x14ac:dyDescent="0.25">
      <c r="A450" s="15"/>
      <c r="B450" s="15"/>
      <c r="C450" s="15"/>
      <c r="D450" s="15"/>
      <c r="E450" s="15"/>
      <c r="F450" s="15"/>
      <c r="G450" s="15"/>
      <c r="H450" s="15"/>
      <c r="I450" s="15"/>
      <c r="J450" s="19">
        <f>IF(OR(H450="",I450=""),"",IFERROR(INDEX(Catalogo_Vehiculos!$C$2:$C$1325,MATCH(TRUE(),INDEX(Catalogo_Vehiculos!$G$2:$G$1325=H450&amp;"|"&amp;I450,0),0)),"No en catálogo"))</f>
      </c>
      <c r="K450" s="19">
        <f>IF(OR(H450="",I450=""),"",IFERROR(INDEX(Catalogo_Vehiculos!$D$2:$D$1325,MATCH(TRUE(),INDEX(Catalogo_Vehiculos!$G$2:$G$1325=H450&amp;"|"&amp;I450,0),0)),"No en catálogo"))</f>
      </c>
      <c r="L450" s="19">
        <f>IF(OR(H450="",I450=""),"",IFERROR(INDEX(Catalogo_Vehiculos!$E$2:$E$1325,MATCH(TRUE(),INDEX(Catalogo_Vehiculos!$G$2:$G$1325=H450&amp;"|"&amp;I450,0),0)),"No en catálogo"))</f>
      </c>
      <c r="M450" s="19">
        <f>IF(OR(H450="",I450=""),"",IFERROR(INDEX(Catalogo_Vehiculos!$F$2:$F$1325,MATCH(TRUE(),INDEX(Catalogo_Vehiculos!$G$2:$G$1325=H450&amp;"|"&amp;I450,0),0)),"No en catálogo"))</f>
      </c>
      <c r="N450" s="20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9"/>
      <c r="Z450" s="19"/>
      <c r="AA450" s="15"/>
      <c r="AB450" s="15"/>
      <c r="AC450" s="15"/>
      <c r="AD450" s="15"/>
      <c r="AE450" s="15"/>
      <c r="AF450" s="19"/>
      <c r="AG450" s="19"/>
      <c r="AH450" s="15"/>
      <c r="AI450" s="15"/>
      <c r="AJ450" s="15"/>
      <c r="AK450" s="15"/>
      <c r="AL450" s="21"/>
      <c r="AM450" s="15"/>
      <c r="AN450" s="15"/>
      <c r="AO450" s="15"/>
      <c r="AP450" s="15"/>
      <c r="AQ450" s="15"/>
      <c r="AR450" s="15"/>
      <c r="AS450" s="15"/>
      <c r="AT450" s="19" t="str">
        <f>IF(COUNTA(A450:I450)+COUNTA(N450:X450)+COUNTA(AA450:AE450)+COUNTA(AH450:AS450)=0,"",IF(AND(A450&lt;&gt;"",E450&lt;&gt;"",OR(F450&lt;&gt;"",G450&lt;&gt;""),H450&lt;&gt;"",I450&lt;&gt;"",J450&lt;&gt;"No en catálogo",S450&lt;&gt;"",T450&lt;&gt;"",U450&lt;&gt;"",V450&lt;&gt;"",OR(AR450&lt;&gt;"",AND(W450&lt;&gt;"",X450&lt;&gt;"",AA450&lt;&gt;"",AB450&lt;&gt;"")),OR(AS450&lt;&gt;"",AND(AD450&lt;&gt;"",AE450&lt;&gt;"",AH450&lt;&gt;"",AI450&lt;&gt;"")),AK450&lt;&gt;"",OR(AK450&lt;&gt;"programado",AL450&lt;&gt;""),OR(AM450&lt;&gt;"específica",AN450&lt;&gt;""),OR(AO450&lt;&gt;"específica",AP450&lt;&gt;"")),"OK","Revisar"))</f>
        <v/>
      </c>
    </row>
    <row r="451" ht="15" customHeight="1" spans="1:46" x14ac:dyDescent="0.25">
      <c r="A451" s="15"/>
      <c r="B451" s="15"/>
      <c r="C451" s="15"/>
      <c r="D451" s="15"/>
      <c r="E451" s="15"/>
      <c r="F451" s="15"/>
      <c r="G451" s="15"/>
      <c r="H451" s="15"/>
      <c r="I451" s="15"/>
      <c r="J451" s="19">
        <f>IF(OR(H451="",I451=""),"",IFERROR(INDEX(Catalogo_Vehiculos!$C$2:$C$1325,MATCH(TRUE(),INDEX(Catalogo_Vehiculos!$G$2:$G$1325=H451&amp;"|"&amp;I451,0),0)),"No en catálogo"))</f>
      </c>
      <c r="K451" s="19">
        <f>IF(OR(H451="",I451=""),"",IFERROR(INDEX(Catalogo_Vehiculos!$D$2:$D$1325,MATCH(TRUE(),INDEX(Catalogo_Vehiculos!$G$2:$G$1325=H451&amp;"|"&amp;I451,0),0)),"No en catálogo"))</f>
      </c>
      <c r="L451" s="19">
        <f>IF(OR(H451="",I451=""),"",IFERROR(INDEX(Catalogo_Vehiculos!$E$2:$E$1325,MATCH(TRUE(),INDEX(Catalogo_Vehiculos!$G$2:$G$1325=H451&amp;"|"&amp;I451,0),0)),"No en catálogo"))</f>
      </c>
      <c r="M451" s="19">
        <f>IF(OR(H451="",I451=""),"",IFERROR(INDEX(Catalogo_Vehiculos!$F$2:$F$1325,MATCH(TRUE(),INDEX(Catalogo_Vehiculos!$G$2:$G$1325=H451&amp;"|"&amp;I451,0),0)),"No en catálogo"))</f>
      </c>
      <c r="N451" s="20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9"/>
      <c r="Z451" s="19"/>
      <c r="AA451" s="15"/>
      <c r="AB451" s="15"/>
      <c r="AC451" s="15"/>
      <c r="AD451" s="15"/>
      <c r="AE451" s="15"/>
      <c r="AF451" s="19"/>
      <c r="AG451" s="19"/>
      <c r="AH451" s="15"/>
      <c r="AI451" s="15"/>
      <c r="AJ451" s="15"/>
      <c r="AK451" s="15"/>
      <c r="AL451" s="21"/>
      <c r="AM451" s="15"/>
      <c r="AN451" s="15"/>
      <c r="AO451" s="15"/>
      <c r="AP451" s="15"/>
      <c r="AQ451" s="15"/>
      <c r="AR451" s="15"/>
      <c r="AS451" s="15"/>
      <c r="AT451" s="19" t="str">
        <f>IF(COUNTA(A451:I451)+COUNTA(N451:X451)+COUNTA(AA451:AE451)+COUNTA(AH451:AS451)=0,"",IF(AND(A451&lt;&gt;"",E451&lt;&gt;"",OR(F451&lt;&gt;"",G451&lt;&gt;""),H451&lt;&gt;"",I451&lt;&gt;"",J451&lt;&gt;"No en catálogo",S451&lt;&gt;"",T451&lt;&gt;"",U451&lt;&gt;"",V451&lt;&gt;"",OR(AR451&lt;&gt;"",AND(W451&lt;&gt;"",X451&lt;&gt;"",AA451&lt;&gt;"",AB451&lt;&gt;"")),OR(AS451&lt;&gt;"",AND(AD451&lt;&gt;"",AE451&lt;&gt;"",AH451&lt;&gt;"",AI451&lt;&gt;"")),AK451&lt;&gt;"",OR(AK451&lt;&gt;"programado",AL451&lt;&gt;""),OR(AM451&lt;&gt;"específica",AN451&lt;&gt;""),OR(AO451&lt;&gt;"específica",AP451&lt;&gt;"")),"OK","Revisar"))</f>
        <v/>
      </c>
    </row>
    <row r="452" ht="15" customHeight="1" spans="1:46" x14ac:dyDescent="0.25">
      <c r="A452" s="15"/>
      <c r="B452" s="15"/>
      <c r="C452" s="15"/>
      <c r="D452" s="15"/>
      <c r="E452" s="15"/>
      <c r="F452" s="15"/>
      <c r="G452" s="15"/>
      <c r="H452" s="15"/>
      <c r="I452" s="15"/>
      <c r="J452" s="19">
        <f>IF(OR(H452="",I452=""),"",IFERROR(INDEX(Catalogo_Vehiculos!$C$2:$C$1325,MATCH(TRUE(),INDEX(Catalogo_Vehiculos!$G$2:$G$1325=H452&amp;"|"&amp;I452,0),0)),"No en catálogo"))</f>
      </c>
      <c r="K452" s="19">
        <f>IF(OR(H452="",I452=""),"",IFERROR(INDEX(Catalogo_Vehiculos!$D$2:$D$1325,MATCH(TRUE(),INDEX(Catalogo_Vehiculos!$G$2:$G$1325=H452&amp;"|"&amp;I452,0),0)),"No en catálogo"))</f>
      </c>
      <c r="L452" s="19">
        <f>IF(OR(H452="",I452=""),"",IFERROR(INDEX(Catalogo_Vehiculos!$E$2:$E$1325,MATCH(TRUE(),INDEX(Catalogo_Vehiculos!$G$2:$G$1325=H452&amp;"|"&amp;I452,0),0)),"No en catálogo"))</f>
      </c>
      <c r="M452" s="19">
        <f>IF(OR(H452="",I452=""),"",IFERROR(INDEX(Catalogo_Vehiculos!$F$2:$F$1325,MATCH(TRUE(),INDEX(Catalogo_Vehiculos!$G$2:$G$1325=H452&amp;"|"&amp;I452,0),0)),"No en catálogo"))</f>
      </c>
      <c r="N452" s="20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9"/>
      <c r="Z452" s="19"/>
      <c r="AA452" s="15"/>
      <c r="AB452" s="15"/>
      <c r="AC452" s="15"/>
      <c r="AD452" s="15"/>
      <c r="AE452" s="15"/>
      <c r="AF452" s="19"/>
      <c r="AG452" s="19"/>
      <c r="AH452" s="15"/>
      <c r="AI452" s="15"/>
      <c r="AJ452" s="15"/>
      <c r="AK452" s="15"/>
      <c r="AL452" s="21"/>
      <c r="AM452" s="15"/>
      <c r="AN452" s="15"/>
      <c r="AO452" s="15"/>
      <c r="AP452" s="15"/>
      <c r="AQ452" s="15"/>
      <c r="AR452" s="15"/>
      <c r="AS452" s="15"/>
      <c r="AT452" s="19" t="str">
        <f>IF(COUNTA(A452:I452)+COUNTA(N452:X452)+COUNTA(AA452:AE452)+COUNTA(AH452:AS452)=0,"",IF(AND(A452&lt;&gt;"",E452&lt;&gt;"",OR(F452&lt;&gt;"",G452&lt;&gt;""),H452&lt;&gt;"",I452&lt;&gt;"",J452&lt;&gt;"No en catálogo",S452&lt;&gt;"",T452&lt;&gt;"",U452&lt;&gt;"",V452&lt;&gt;"",OR(AR452&lt;&gt;"",AND(W452&lt;&gt;"",X452&lt;&gt;"",AA452&lt;&gt;"",AB452&lt;&gt;"")),OR(AS452&lt;&gt;"",AND(AD452&lt;&gt;"",AE452&lt;&gt;"",AH452&lt;&gt;"",AI452&lt;&gt;"")),AK452&lt;&gt;"",OR(AK452&lt;&gt;"programado",AL452&lt;&gt;""),OR(AM452&lt;&gt;"específica",AN452&lt;&gt;""),OR(AO452&lt;&gt;"específica",AP452&lt;&gt;"")),"OK","Revisar"))</f>
        <v/>
      </c>
    </row>
    <row r="453" ht="15" customHeight="1" spans="1:46" x14ac:dyDescent="0.25">
      <c r="A453" s="15"/>
      <c r="B453" s="15"/>
      <c r="C453" s="15"/>
      <c r="D453" s="15"/>
      <c r="E453" s="15"/>
      <c r="F453" s="15"/>
      <c r="G453" s="15"/>
      <c r="H453" s="15"/>
      <c r="I453" s="15"/>
      <c r="J453" s="19">
        <f>IF(OR(H453="",I453=""),"",IFERROR(INDEX(Catalogo_Vehiculos!$C$2:$C$1325,MATCH(TRUE(),INDEX(Catalogo_Vehiculos!$G$2:$G$1325=H453&amp;"|"&amp;I453,0),0)),"No en catálogo"))</f>
      </c>
      <c r="K453" s="19">
        <f>IF(OR(H453="",I453=""),"",IFERROR(INDEX(Catalogo_Vehiculos!$D$2:$D$1325,MATCH(TRUE(),INDEX(Catalogo_Vehiculos!$G$2:$G$1325=H453&amp;"|"&amp;I453,0),0)),"No en catálogo"))</f>
      </c>
      <c r="L453" s="19">
        <f>IF(OR(H453="",I453=""),"",IFERROR(INDEX(Catalogo_Vehiculos!$E$2:$E$1325,MATCH(TRUE(),INDEX(Catalogo_Vehiculos!$G$2:$G$1325=H453&amp;"|"&amp;I453,0),0)),"No en catálogo"))</f>
      </c>
      <c r="M453" s="19">
        <f>IF(OR(H453="",I453=""),"",IFERROR(INDEX(Catalogo_Vehiculos!$F$2:$F$1325,MATCH(TRUE(),INDEX(Catalogo_Vehiculos!$G$2:$G$1325=H453&amp;"|"&amp;I453,0),0)),"No en catálogo"))</f>
      </c>
      <c r="N453" s="20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9"/>
      <c r="Z453" s="19"/>
      <c r="AA453" s="15"/>
      <c r="AB453" s="15"/>
      <c r="AC453" s="15"/>
      <c r="AD453" s="15"/>
      <c r="AE453" s="15"/>
      <c r="AF453" s="19"/>
      <c r="AG453" s="19"/>
      <c r="AH453" s="15"/>
      <c r="AI453" s="15"/>
      <c r="AJ453" s="15"/>
      <c r="AK453" s="15"/>
      <c r="AL453" s="21"/>
      <c r="AM453" s="15"/>
      <c r="AN453" s="15"/>
      <c r="AO453" s="15"/>
      <c r="AP453" s="15"/>
      <c r="AQ453" s="15"/>
      <c r="AR453" s="15"/>
      <c r="AS453" s="15"/>
      <c r="AT453" s="19" t="str">
        <f>IF(COUNTA(A453:I453)+COUNTA(N453:X453)+COUNTA(AA453:AE453)+COUNTA(AH453:AS453)=0,"",IF(AND(A453&lt;&gt;"",E453&lt;&gt;"",OR(F453&lt;&gt;"",G453&lt;&gt;""),H453&lt;&gt;"",I453&lt;&gt;"",J453&lt;&gt;"No en catálogo",S453&lt;&gt;"",T453&lt;&gt;"",U453&lt;&gt;"",V453&lt;&gt;"",OR(AR453&lt;&gt;"",AND(W453&lt;&gt;"",X453&lt;&gt;"",AA453&lt;&gt;"",AB453&lt;&gt;"")),OR(AS453&lt;&gt;"",AND(AD453&lt;&gt;"",AE453&lt;&gt;"",AH453&lt;&gt;"",AI453&lt;&gt;"")),AK453&lt;&gt;"",OR(AK453&lt;&gt;"programado",AL453&lt;&gt;""),OR(AM453&lt;&gt;"específica",AN453&lt;&gt;""),OR(AO453&lt;&gt;"específica",AP453&lt;&gt;"")),"OK","Revisar"))</f>
        <v/>
      </c>
    </row>
    <row r="454" ht="15" customHeight="1" spans="1:46" x14ac:dyDescent="0.25">
      <c r="A454" s="15"/>
      <c r="B454" s="15"/>
      <c r="C454" s="15"/>
      <c r="D454" s="15"/>
      <c r="E454" s="15"/>
      <c r="F454" s="15"/>
      <c r="G454" s="15"/>
      <c r="H454" s="15"/>
      <c r="I454" s="15"/>
      <c r="J454" s="19">
        <f>IF(OR(H454="",I454=""),"",IFERROR(INDEX(Catalogo_Vehiculos!$C$2:$C$1325,MATCH(TRUE(),INDEX(Catalogo_Vehiculos!$G$2:$G$1325=H454&amp;"|"&amp;I454,0),0)),"No en catálogo"))</f>
      </c>
      <c r="K454" s="19">
        <f>IF(OR(H454="",I454=""),"",IFERROR(INDEX(Catalogo_Vehiculos!$D$2:$D$1325,MATCH(TRUE(),INDEX(Catalogo_Vehiculos!$G$2:$G$1325=H454&amp;"|"&amp;I454,0),0)),"No en catálogo"))</f>
      </c>
      <c r="L454" s="19">
        <f>IF(OR(H454="",I454=""),"",IFERROR(INDEX(Catalogo_Vehiculos!$E$2:$E$1325,MATCH(TRUE(),INDEX(Catalogo_Vehiculos!$G$2:$G$1325=H454&amp;"|"&amp;I454,0),0)),"No en catálogo"))</f>
      </c>
      <c r="M454" s="19">
        <f>IF(OR(H454="",I454=""),"",IFERROR(INDEX(Catalogo_Vehiculos!$F$2:$F$1325,MATCH(TRUE(),INDEX(Catalogo_Vehiculos!$G$2:$G$1325=H454&amp;"|"&amp;I454,0),0)),"No en catálogo"))</f>
      </c>
      <c r="N454" s="20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9"/>
      <c r="Z454" s="19"/>
      <c r="AA454" s="15"/>
      <c r="AB454" s="15"/>
      <c r="AC454" s="15"/>
      <c r="AD454" s="15"/>
      <c r="AE454" s="15"/>
      <c r="AF454" s="19"/>
      <c r="AG454" s="19"/>
      <c r="AH454" s="15"/>
      <c r="AI454" s="15"/>
      <c r="AJ454" s="15"/>
      <c r="AK454" s="15"/>
      <c r="AL454" s="21"/>
      <c r="AM454" s="15"/>
      <c r="AN454" s="15"/>
      <c r="AO454" s="15"/>
      <c r="AP454" s="15"/>
      <c r="AQ454" s="15"/>
      <c r="AR454" s="15"/>
      <c r="AS454" s="15"/>
      <c r="AT454" s="19" t="str">
        <f>IF(COUNTA(A454:I454)+COUNTA(N454:X454)+COUNTA(AA454:AE454)+COUNTA(AH454:AS454)=0,"",IF(AND(A454&lt;&gt;"",E454&lt;&gt;"",OR(F454&lt;&gt;"",G454&lt;&gt;""),H454&lt;&gt;"",I454&lt;&gt;"",J454&lt;&gt;"No en catálogo",S454&lt;&gt;"",T454&lt;&gt;"",U454&lt;&gt;"",V454&lt;&gt;"",OR(AR454&lt;&gt;"",AND(W454&lt;&gt;"",X454&lt;&gt;"",AA454&lt;&gt;"",AB454&lt;&gt;"")),OR(AS454&lt;&gt;"",AND(AD454&lt;&gt;"",AE454&lt;&gt;"",AH454&lt;&gt;"",AI454&lt;&gt;"")),AK454&lt;&gt;"",OR(AK454&lt;&gt;"programado",AL454&lt;&gt;""),OR(AM454&lt;&gt;"específica",AN454&lt;&gt;""),OR(AO454&lt;&gt;"específica",AP454&lt;&gt;"")),"OK","Revisar"))</f>
        <v/>
      </c>
    </row>
    <row r="455" ht="15" customHeight="1" spans="1:46" x14ac:dyDescent="0.25">
      <c r="A455" s="15"/>
      <c r="B455" s="15"/>
      <c r="C455" s="15"/>
      <c r="D455" s="15"/>
      <c r="E455" s="15"/>
      <c r="F455" s="15"/>
      <c r="G455" s="15"/>
      <c r="H455" s="15"/>
      <c r="I455" s="15"/>
      <c r="J455" s="19">
        <f>IF(OR(H455="",I455=""),"",IFERROR(INDEX(Catalogo_Vehiculos!$C$2:$C$1325,MATCH(TRUE(),INDEX(Catalogo_Vehiculos!$G$2:$G$1325=H455&amp;"|"&amp;I455,0),0)),"No en catálogo"))</f>
      </c>
      <c r="K455" s="19">
        <f>IF(OR(H455="",I455=""),"",IFERROR(INDEX(Catalogo_Vehiculos!$D$2:$D$1325,MATCH(TRUE(),INDEX(Catalogo_Vehiculos!$G$2:$G$1325=H455&amp;"|"&amp;I455,0),0)),"No en catálogo"))</f>
      </c>
      <c r="L455" s="19">
        <f>IF(OR(H455="",I455=""),"",IFERROR(INDEX(Catalogo_Vehiculos!$E$2:$E$1325,MATCH(TRUE(),INDEX(Catalogo_Vehiculos!$G$2:$G$1325=H455&amp;"|"&amp;I455,0),0)),"No en catálogo"))</f>
      </c>
      <c r="M455" s="19">
        <f>IF(OR(H455="",I455=""),"",IFERROR(INDEX(Catalogo_Vehiculos!$F$2:$F$1325,MATCH(TRUE(),INDEX(Catalogo_Vehiculos!$G$2:$G$1325=H455&amp;"|"&amp;I455,0),0)),"No en catálogo"))</f>
      </c>
      <c r="N455" s="20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9"/>
      <c r="Z455" s="19"/>
      <c r="AA455" s="15"/>
      <c r="AB455" s="15"/>
      <c r="AC455" s="15"/>
      <c r="AD455" s="15"/>
      <c r="AE455" s="15"/>
      <c r="AF455" s="19"/>
      <c r="AG455" s="19"/>
      <c r="AH455" s="15"/>
      <c r="AI455" s="15"/>
      <c r="AJ455" s="15"/>
      <c r="AK455" s="15"/>
      <c r="AL455" s="21"/>
      <c r="AM455" s="15"/>
      <c r="AN455" s="15"/>
      <c r="AO455" s="15"/>
      <c r="AP455" s="15"/>
      <c r="AQ455" s="15"/>
      <c r="AR455" s="15"/>
      <c r="AS455" s="15"/>
      <c r="AT455" s="19" t="str">
        <f>IF(COUNTA(A455:I455)+COUNTA(N455:X455)+COUNTA(AA455:AE455)+COUNTA(AH455:AS455)=0,"",IF(AND(A455&lt;&gt;"",E455&lt;&gt;"",OR(F455&lt;&gt;"",G455&lt;&gt;""),H455&lt;&gt;"",I455&lt;&gt;"",J455&lt;&gt;"No en catálogo",S455&lt;&gt;"",T455&lt;&gt;"",U455&lt;&gt;"",V455&lt;&gt;"",OR(AR455&lt;&gt;"",AND(W455&lt;&gt;"",X455&lt;&gt;"",AA455&lt;&gt;"",AB455&lt;&gt;"")),OR(AS455&lt;&gt;"",AND(AD455&lt;&gt;"",AE455&lt;&gt;"",AH455&lt;&gt;"",AI455&lt;&gt;"")),AK455&lt;&gt;"",OR(AK455&lt;&gt;"programado",AL455&lt;&gt;""),OR(AM455&lt;&gt;"específica",AN455&lt;&gt;""),OR(AO455&lt;&gt;"específica",AP455&lt;&gt;"")),"OK","Revisar"))</f>
        <v/>
      </c>
    </row>
    <row r="456" ht="15" customHeight="1" spans="1:46" x14ac:dyDescent="0.25">
      <c r="A456" s="15"/>
      <c r="B456" s="15"/>
      <c r="C456" s="15"/>
      <c r="D456" s="15"/>
      <c r="E456" s="15"/>
      <c r="F456" s="15"/>
      <c r="G456" s="15"/>
      <c r="H456" s="15"/>
      <c r="I456" s="15"/>
      <c r="J456" s="19">
        <f>IF(OR(H456="",I456=""),"",IFERROR(INDEX(Catalogo_Vehiculos!$C$2:$C$1325,MATCH(TRUE(),INDEX(Catalogo_Vehiculos!$G$2:$G$1325=H456&amp;"|"&amp;I456,0),0)),"No en catálogo"))</f>
      </c>
      <c r="K456" s="19">
        <f>IF(OR(H456="",I456=""),"",IFERROR(INDEX(Catalogo_Vehiculos!$D$2:$D$1325,MATCH(TRUE(),INDEX(Catalogo_Vehiculos!$G$2:$G$1325=H456&amp;"|"&amp;I456,0),0)),"No en catálogo"))</f>
      </c>
      <c r="L456" s="19">
        <f>IF(OR(H456="",I456=""),"",IFERROR(INDEX(Catalogo_Vehiculos!$E$2:$E$1325,MATCH(TRUE(),INDEX(Catalogo_Vehiculos!$G$2:$G$1325=H456&amp;"|"&amp;I456,0),0)),"No en catálogo"))</f>
      </c>
      <c r="M456" s="19">
        <f>IF(OR(H456="",I456=""),"",IFERROR(INDEX(Catalogo_Vehiculos!$F$2:$F$1325,MATCH(TRUE(),INDEX(Catalogo_Vehiculos!$G$2:$G$1325=H456&amp;"|"&amp;I456,0),0)),"No en catálogo"))</f>
      </c>
      <c r="N456" s="20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9"/>
      <c r="Z456" s="19"/>
      <c r="AA456" s="15"/>
      <c r="AB456" s="15"/>
      <c r="AC456" s="15"/>
      <c r="AD456" s="15"/>
      <c r="AE456" s="15"/>
      <c r="AF456" s="19"/>
      <c r="AG456" s="19"/>
      <c r="AH456" s="15"/>
      <c r="AI456" s="15"/>
      <c r="AJ456" s="15"/>
      <c r="AK456" s="15"/>
      <c r="AL456" s="21"/>
      <c r="AM456" s="15"/>
      <c r="AN456" s="15"/>
      <c r="AO456" s="15"/>
      <c r="AP456" s="15"/>
      <c r="AQ456" s="15"/>
      <c r="AR456" s="15"/>
      <c r="AS456" s="15"/>
      <c r="AT456" s="19" t="str">
        <f>IF(COUNTA(A456:I456)+COUNTA(N456:X456)+COUNTA(AA456:AE456)+COUNTA(AH456:AS456)=0,"",IF(AND(A456&lt;&gt;"",E456&lt;&gt;"",OR(F456&lt;&gt;"",G456&lt;&gt;""),H456&lt;&gt;"",I456&lt;&gt;"",J456&lt;&gt;"No en catálogo",S456&lt;&gt;"",T456&lt;&gt;"",U456&lt;&gt;"",V456&lt;&gt;"",OR(AR456&lt;&gt;"",AND(W456&lt;&gt;"",X456&lt;&gt;"",AA456&lt;&gt;"",AB456&lt;&gt;"")),OR(AS456&lt;&gt;"",AND(AD456&lt;&gt;"",AE456&lt;&gt;"",AH456&lt;&gt;"",AI456&lt;&gt;"")),AK456&lt;&gt;"",OR(AK456&lt;&gt;"programado",AL456&lt;&gt;""),OR(AM456&lt;&gt;"específica",AN456&lt;&gt;""),OR(AO456&lt;&gt;"específica",AP456&lt;&gt;"")),"OK","Revisar"))</f>
        <v/>
      </c>
    </row>
    <row r="457" ht="15" customHeight="1" spans="1:46" x14ac:dyDescent="0.25">
      <c r="A457" s="15"/>
      <c r="B457" s="15"/>
      <c r="C457" s="15"/>
      <c r="D457" s="15"/>
      <c r="E457" s="15"/>
      <c r="F457" s="15"/>
      <c r="G457" s="15"/>
      <c r="H457" s="15"/>
      <c r="I457" s="15"/>
      <c r="J457" s="19">
        <f>IF(OR(H457="",I457=""),"",IFERROR(INDEX(Catalogo_Vehiculos!$C$2:$C$1325,MATCH(TRUE(),INDEX(Catalogo_Vehiculos!$G$2:$G$1325=H457&amp;"|"&amp;I457,0),0)),"No en catálogo"))</f>
      </c>
      <c r="K457" s="19">
        <f>IF(OR(H457="",I457=""),"",IFERROR(INDEX(Catalogo_Vehiculos!$D$2:$D$1325,MATCH(TRUE(),INDEX(Catalogo_Vehiculos!$G$2:$G$1325=H457&amp;"|"&amp;I457,0),0)),"No en catálogo"))</f>
      </c>
      <c r="L457" s="19">
        <f>IF(OR(H457="",I457=""),"",IFERROR(INDEX(Catalogo_Vehiculos!$E$2:$E$1325,MATCH(TRUE(),INDEX(Catalogo_Vehiculos!$G$2:$G$1325=H457&amp;"|"&amp;I457,0),0)),"No en catálogo"))</f>
      </c>
      <c r="M457" s="19">
        <f>IF(OR(H457="",I457=""),"",IFERROR(INDEX(Catalogo_Vehiculos!$F$2:$F$1325,MATCH(TRUE(),INDEX(Catalogo_Vehiculos!$G$2:$G$1325=H457&amp;"|"&amp;I457,0),0)),"No en catálogo"))</f>
      </c>
      <c r="N457" s="20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9"/>
      <c r="Z457" s="19"/>
      <c r="AA457" s="15"/>
      <c r="AB457" s="15"/>
      <c r="AC457" s="15"/>
      <c r="AD457" s="15"/>
      <c r="AE457" s="15"/>
      <c r="AF457" s="19"/>
      <c r="AG457" s="19"/>
      <c r="AH457" s="15"/>
      <c r="AI457" s="15"/>
      <c r="AJ457" s="15"/>
      <c r="AK457" s="15"/>
      <c r="AL457" s="21"/>
      <c r="AM457" s="15"/>
      <c r="AN457" s="15"/>
      <c r="AO457" s="15"/>
      <c r="AP457" s="15"/>
      <c r="AQ457" s="15"/>
      <c r="AR457" s="15"/>
      <c r="AS457" s="15"/>
      <c r="AT457" s="19" t="str">
        <f>IF(COUNTA(A457:I457)+COUNTA(N457:X457)+COUNTA(AA457:AE457)+COUNTA(AH457:AS457)=0,"",IF(AND(A457&lt;&gt;"",E457&lt;&gt;"",OR(F457&lt;&gt;"",G457&lt;&gt;""),H457&lt;&gt;"",I457&lt;&gt;"",J457&lt;&gt;"No en catálogo",S457&lt;&gt;"",T457&lt;&gt;"",U457&lt;&gt;"",V457&lt;&gt;"",OR(AR457&lt;&gt;"",AND(W457&lt;&gt;"",X457&lt;&gt;"",AA457&lt;&gt;"",AB457&lt;&gt;"")),OR(AS457&lt;&gt;"",AND(AD457&lt;&gt;"",AE457&lt;&gt;"",AH457&lt;&gt;"",AI457&lt;&gt;"")),AK457&lt;&gt;"",OR(AK457&lt;&gt;"programado",AL457&lt;&gt;""),OR(AM457&lt;&gt;"específica",AN457&lt;&gt;""),OR(AO457&lt;&gt;"específica",AP457&lt;&gt;"")),"OK","Revisar"))</f>
        <v/>
      </c>
    </row>
    <row r="458" ht="15" customHeight="1" spans="1:46" x14ac:dyDescent="0.25">
      <c r="A458" s="15"/>
      <c r="B458" s="15"/>
      <c r="C458" s="15"/>
      <c r="D458" s="15"/>
      <c r="E458" s="15"/>
      <c r="F458" s="15"/>
      <c r="G458" s="15"/>
      <c r="H458" s="15"/>
      <c r="I458" s="15"/>
      <c r="J458" s="19">
        <f>IF(OR(H458="",I458=""),"",IFERROR(INDEX(Catalogo_Vehiculos!$C$2:$C$1325,MATCH(TRUE(),INDEX(Catalogo_Vehiculos!$G$2:$G$1325=H458&amp;"|"&amp;I458,0),0)),"No en catálogo"))</f>
      </c>
      <c r="K458" s="19">
        <f>IF(OR(H458="",I458=""),"",IFERROR(INDEX(Catalogo_Vehiculos!$D$2:$D$1325,MATCH(TRUE(),INDEX(Catalogo_Vehiculos!$G$2:$G$1325=H458&amp;"|"&amp;I458,0),0)),"No en catálogo"))</f>
      </c>
      <c r="L458" s="19">
        <f>IF(OR(H458="",I458=""),"",IFERROR(INDEX(Catalogo_Vehiculos!$E$2:$E$1325,MATCH(TRUE(),INDEX(Catalogo_Vehiculos!$G$2:$G$1325=H458&amp;"|"&amp;I458,0),0)),"No en catálogo"))</f>
      </c>
      <c r="M458" s="19">
        <f>IF(OR(H458="",I458=""),"",IFERROR(INDEX(Catalogo_Vehiculos!$F$2:$F$1325,MATCH(TRUE(),INDEX(Catalogo_Vehiculos!$G$2:$G$1325=H458&amp;"|"&amp;I458,0),0)),"No en catálogo"))</f>
      </c>
      <c r="N458" s="20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9"/>
      <c r="Z458" s="19"/>
      <c r="AA458" s="15"/>
      <c r="AB458" s="15"/>
      <c r="AC458" s="15"/>
      <c r="AD458" s="15"/>
      <c r="AE458" s="15"/>
      <c r="AF458" s="19"/>
      <c r="AG458" s="19"/>
      <c r="AH458" s="15"/>
      <c r="AI458" s="15"/>
      <c r="AJ458" s="15"/>
      <c r="AK458" s="15"/>
      <c r="AL458" s="21"/>
      <c r="AM458" s="15"/>
      <c r="AN458" s="15"/>
      <c r="AO458" s="15"/>
      <c r="AP458" s="15"/>
      <c r="AQ458" s="15"/>
      <c r="AR458" s="15"/>
      <c r="AS458" s="15"/>
      <c r="AT458" s="19" t="str">
        <f>IF(COUNTA(A458:I458)+COUNTA(N458:X458)+COUNTA(AA458:AE458)+COUNTA(AH458:AS458)=0,"",IF(AND(A458&lt;&gt;"",E458&lt;&gt;"",OR(F458&lt;&gt;"",G458&lt;&gt;""),H458&lt;&gt;"",I458&lt;&gt;"",J458&lt;&gt;"No en catálogo",S458&lt;&gt;"",T458&lt;&gt;"",U458&lt;&gt;"",V458&lt;&gt;"",OR(AR458&lt;&gt;"",AND(W458&lt;&gt;"",X458&lt;&gt;"",AA458&lt;&gt;"",AB458&lt;&gt;"")),OR(AS458&lt;&gt;"",AND(AD458&lt;&gt;"",AE458&lt;&gt;"",AH458&lt;&gt;"",AI458&lt;&gt;"")),AK458&lt;&gt;"",OR(AK458&lt;&gt;"programado",AL458&lt;&gt;""),OR(AM458&lt;&gt;"específica",AN458&lt;&gt;""),OR(AO458&lt;&gt;"específica",AP458&lt;&gt;"")),"OK","Revisar"))</f>
        <v/>
      </c>
    </row>
    <row r="459" ht="15" customHeight="1" spans="1:46" x14ac:dyDescent="0.25">
      <c r="A459" s="15"/>
      <c r="B459" s="15"/>
      <c r="C459" s="15"/>
      <c r="D459" s="15"/>
      <c r="E459" s="15"/>
      <c r="F459" s="15"/>
      <c r="G459" s="15"/>
      <c r="H459" s="15"/>
      <c r="I459" s="15"/>
      <c r="J459" s="19">
        <f>IF(OR(H459="",I459=""),"",IFERROR(INDEX(Catalogo_Vehiculos!$C$2:$C$1325,MATCH(TRUE(),INDEX(Catalogo_Vehiculos!$G$2:$G$1325=H459&amp;"|"&amp;I459,0),0)),"No en catálogo"))</f>
      </c>
      <c r="K459" s="19">
        <f>IF(OR(H459="",I459=""),"",IFERROR(INDEX(Catalogo_Vehiculos!$D$2:$D$1325,MATCH(TRUE(),INDEX(Catalogo_Vehiculos!$G$2:$G$1325=H459&amp;"|"&amp;I459,0),0)),"No en catálogo"))</f>
      </c>
      <c r="L459" s="19">
        <f>IF(OR(H459="",I459=""),"",IFERROR(INDEX(Catalogo_Vehiculos!$E$2:$E$1325,MATCH(TRUE(),INDEX(Catalogo_Vehiculos!$G$2:$G$1325=H459&amp;"|"&amp;I459,0),0)),"No en catálogo"))</f>
      </c>
      <c r="M459" s="19">
        <f>IF(OR(H459="",I459=""),"",IFERROR(INDEX(Catalogo_Vehiculos!$F$2:$F$1325,MATCH(TRUE(),INDEX(Catalogo_Vehiculos!$G$2:$G$1325=H459&amp;"|"&amp;I459,0),0)),"No en catálogo"))</f>
      </c>
      <c r="N459" s="20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9"/>
      <c r="Z459" s="19"/>
      <c r="AA459" s="15"/>
      <c r="AB459" s="15"/>
      <c r="AC459" s="15"/>
      <c r="AD459" s="15"/>
      <c r="AE459" s="15"/>
      <c r="AF459" s="19"/>
      <c r="AG459" s="19"/>
      <c r="AH459" s="15"/>
      <c r="AI459" s="15"/>
      <c r="AJ459" s="15"/>
      <c r="AK459" s="15"/>
      <c r="AL459" s="21"/>
      <c r="AM459" s="15"/>
      <c r="AN459" s="15"/>
      <c r="AO459" s="15"/>
      <c r="AP459" s="15"/>
      <c r="AQ459" s="15"/>
      <c r="AR459" s="15"/>
      <c r="AS459" s="15"/>
      <c r="AT459" s="19" t="str">
        <f>IF(COUNTA(A459:I459)+COUNTA(N459:X459)+COUNTA(AA459:AE459)+COUNTA(AH459:AS459)=0,"",IF(AND(A459&lt;&gt;"",E459&lt;&gt;"",OR(F459&lt;&gt;"",G459&lt;&gt;""),H459&lt;&gt;"",I459&lt;&gt;"",J459&lt;&gt;"No en catálogo",S459&lt;&gt;"",T459&lt;&gt;"",U459&lt;&gt;"",V459&lt;&gt;"",OR(AR459&lt;&gt;"",AND(W459&lt;&gt;"",X459&lt;&gt;"",AA459&lt;&gt;"",AB459&lt;&gt;"")),OR(AS459&lt;&gt;"",AND(AD459&lt;&gt;"",AE459&lt;&gt;"",AH459&lt;&gt;"",AI459&lt;&gt;"")),AK459&lt;&gt;"",OR(AK459&lt;&gt;"programado",AL459&lt;&gt;""),OR(AM459&lt;&gt;"específica",AN459&lt;&gt;""),OR(AO459&lt;&gt;"específica",AP459&lt;&gt;"")),"OK","Revisar"))</f>
        <v/>
      </c>
    </row>
    <row r="460" ht="15" customHeight="1" spans="1:46" x14ac:dyDescent="0.25">
      <c r="A460" s="15"/>
      <c r="B460" s="15"/>
      <c r="C460" s="15"/>
      <c r="D460" s="15"/>
      <c r="E460" s="15"/>
      <c r="F460" s="15"/>
      <c r="G460" s="15"/>
      <c r="H460" s="15"/>
      <c r="I460" s="15"/>
      <c r="J460" s="19">
        <f>IF(OR(H460="",I460=""),"",IFERROR(INDEX(Catalogo_Vehiculos!$C$2:$C$1325,MATCH(TRUE(),INDEX(Catalogo_Vehiculos!$G$2:$G$1325=H460&amp;"|"&amp;I460,0),0)),"No en catálogo"))</f>
      </c>
      <c r="K460" s="19">
        <f>IF(OR(H460="",I460=""),"",IFERROR(INDEX(Catalogo_Vehiculos!$D$2:$D$1325,MATCH(TRUE(),INDEX(Catalogo_Vehiculos!$G$2:$G$1325=H460&amp;"|"&amp;I460,0),0)),"No en catálogo"))</f>
      </c>
      <c r="L460" s="19">
        <f>IF(OR(H460="",I460=""),"",IFERROR(INDEX(Catalogo_Vehiculos!$E$2:$E$1325,MATCH(TRUE(),INDEX(Catalogo_Vehiculos!$G$2:$G$1325=H460&amp;"|"&amp;I460,0),0)),"No en catálogo"))</f>
      </c>
      <c r="M460" s="19">
        <f>IF(OR(H460="",I460=""),"",IFERROR(INDEX(Catalogo_Vehiculos!$F$2:$F$1325,MATCH(TRUE(),INDEX(Catalogo_Vehiculos!$G$2:$G$1325=H460&amp;"|"&amp;I460,0),0)),"No en catálogo"))</f>
      </c>
      <c r="N460" s="20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9"/>
      <c r="Z460" s="19"/>
      <c r="AA460" s="15"/>
      <c r="AB460" s="15"/>
      <c r="AC460" s="15"/>
      <c r="AD460" s="15"/>
      <c r="AE460" s="15"/>
      <c r="AF460" s="19"/>
      <c r="AG460" s="19"/>
      <c r="AH460" s="15"/>
      <c r="AI460" s="15"/>
      <c r="AJ460" s="15"/>
      <c r="AK460" s="15"/>
      <c r="AL460" s="21"/>
      <c r="AM460" s="15"/>
      <c r="AN460" s="15"/>
      <c r="AO460" s="15"/>
      <c r="AP460" s="15"/>
      <c r="AQ460" s="15"/>
      <c r="AR460" s="15"/>
      <c r="AS460" s="15"/>
      <c r="AT460" s="19" t="str">
        <f>IF(COUNTA(A460:I460)+COUNTA(N460:X460)+COUNTA(AA460:AE460)+COUNTA(AH460:AS460)=0,"",IF(AND(A460&lt;&gt;"",E460&lt;&gt;"",OR(F460&lt;&gt;"",G460&lt;&gt;""),H460&lt;&gt;"",I460&lt;&gt;"",J460&lt;&gt;"No en catálogo",S460&lt;&gt;"",T460&lt;&gt;"",U460&lt;&gt;"",V460&lt;&gt;"",OR(AR460&lt;&gt;"",AND(W460&lt;&gt;"",X460&lt;&gt;"",AA460&lt;&gt;"",AB460&lt;&gt;"")),OR(AS460&lt;&gt;"",AND(AD460&lt;&gt;"",AE460&lt;&gt;"",AH460&lt;&gt;"",AI460&lt;&gt;"")),AK460&lt;&gt;"",OR(AK460&lt;&gt;"programado",AL460&lt;&gt;""),OR(AM460&lt;&gt;"específica",AN460&lt;&gt;""),OR(AO460&lt;&gt;"específica",AP460&lt;&gt;"")),"OK","Revisar"))</f>
        <v/>
      </c>
    </row>
    <row r="461" ht="15" customHeight="1" spans="1:46" x14ac:dyDescent="0.25">
      <c r="A461" s="15"/>
      <c r="B461" s="15"/>
      <c r="C461" s="15"/>
      <c r="D461" s="15"/>
      <c r="E461" s="15"/>
      <c r="F461" s="15"/>
      <c r="G461" s="15"/>
      <c r="H461" s="15"/>
      <c r="I461" s="15"/>
      <c r="J461" s="19">
        <f>IF(OR(H461="",I461=""),"",IFERROR(INDEX(Catalogo_Vehiculos!$C$2:$C$1325,MATCH(TRUE(),INDEX(Catalogo_Vehiculos!$G$2:$G$1325=H461&amp;"|"&amp;I461,0),0)),"No en catálogo"))</f>
      </c>
      <c r="K461" s="19">
        <f>IF(OR(H461="",I461=""),"",IFERROR(INDEX(Catalogo_Vehiculos!$D$2:$D$1325,MATCH(TRUE(),INDEX(Catalogo_Vehiculos!$G$2:$G$1325=H461&amp;"|"&amp;I461,0),0)),"No en catálogo"))</f>
      </c>
      <c r="L461" s="19">
        <f>IF(OR(H461="",I461=""),"",IFERROR(INDEX(Catalogo_Vehiculos!$E$2:$E$1325,MATCH(TRUE(),INDEX(Catalogo_Vehiculos!$G$2:$G$1325=H461&amp;"|"&amp;I461,0),0)),"No en catálogo"))</f>
      </c>
      <c r="M461" s="19">
        <f>IF(OR(H461="",I461=""),"",IFERROR(INDEX(Catalogo_Vehiculos!$F$2:$F$1325,MATCH(TRUE(),INDEX(Catalogo_Vehiculos!$G$2:$G$1325=H461&amp;"|"&amp;I461,0),0)),"No en catálogo"))</f>
      </c>
      <c r="N461" s="20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9"/>
      <c r="Z461" s="19"/>
      <c r="AA461" s="15"/>
      <c r="AB461" s="15"/>
      <c r="AC461" s="15"/>
      <c r="AD461" s="15"/>
      <c r="AE461" s="15"/>
      <c r="AF461" s="19"/>
      <c r="AG461" s="19"/>
      <c r="AH461" s="15"/>
      <c r="AI461" s="15"/>
      <c r="AJ461" s="15"/>
      <c r="AK461" s="15"/>
      <c r="AL461" s="21"/>
      <c r="AM461" s="15"/>
      <c r="AN461" s="15"/>
      <c r="AO461" s="15"/>
      <c r="AP461" s="15"/>
      <c r="AQ461" s="15"/>
      <c r="AR461" s="15"/>
      <c r="AS461" s="15"/>
      <c r="AT461" s="19" t="str">
        <f>IF(COUNTA(A461:I461)+COUNTA(N461:X461)+COUNTA(AA461:AE461)+COUNTA(AH461:AS461)=0,"",IF(AND(A461&lt;&gt;"",E461&lt;&gt;"",OR(F461&lt;&gt;"",G461&lt;&gt;""),H461&lt;&gt;"",I461&lt;&gt;"",J461&lt;&gt;"No en catálogo",S461&lt;&gt;"",T461&lt;&gt;"",U461&lt;&gt;"",V461&lt;&gt;"",OR(AR461&lt;&gt;"",AND(W461&lt;&gt;"",X461&lt;&gt;"",AA461&lt;&gt;"",AB461&lt;&gt;"")),OR(AS461&lt;&gt;"",AND(AD461&lt;&gt;"",AE461&lt;&gt;"",AH461&lt;&gt;"",AI461&lt;&gt;"")),AK461&lt;&gt;"",OR(AK461&lt;&gt;"programado",AL461&lt;&gt;""),OR(AM461&lt;&gt;"específica",AN461&lt;&gt;""),OR(AO461&lt;&gt;"específica",AP461&lt;&gt;"")),"OK","Revisar"))</f>
        <v/>
      </c>
    </row>
    <row r="462" ht="15" customHeight="1" spans="1:46" x14ac:dyDescent="0.25">
      <c r="A462" s="15"/>
      <c r="B462" s="15"/>
      <c r="C462" s="15"/>
      <c r="D462" s="15"/>
      <c r="E462" s="15"/>
      <c r="F462" s="15"/>
      <c r="G462" s="15"/>
      <c r="H462" s="15"/>
      <c r="I462" s="15"/>
      <c r="J462" s="19">
        <f>IF(OR(H462="",I462=""),"",IFERROR(INDEX(Catalogo_Vehiculos!$C$2:$C$1325,MATCH(TRUE(),INDEX(Catalogo_Vehiculos!$G$2:$G$1325=H462&amp;"|"&amp;I462,0),0)),"No en catálogo"))</f>
      </c>
      <c r="K462" s="19">
        <f>IF(OR(H462="",I462=""),"",IFERROR(INDEX(Catalogo_Vehiculos!$D$2:$D$1325,MATCH(TRUE(),INDEX(Catalogo_Vehiculos!$G$2:$G$1325=H462&amp;"|"&amp;I462,0),0)),"No en catálogo"))</f>
      </c>
      <c r="L462" s="19">
        <f>IF(OR(H462="",I462=""),"",IFERROR(INDEX(Catalogo_Vehiculos!$E$2:$E$1325,MATCH(TRUE(),INDEX(Catalogo_Vehiculos!$G$2:$G$1325=H462&amp;"|"&amp;I462,0),0)),"No en catálogo"))</f>
      </c>
      <c r="M462" s="19">
        <f>IF(OR(H462="",I462=""),"",IFERROR(INDEX(Catalogo_Vehiculos!$F$2:$F$1325,MATCH(TRUE(),INDEX(Catalogo_Vehiculos!$G$2:$G$1325=H462&amp;"|"&amp;I462,0),0)),"No en catálogo"))</f>
      </c>
      <c r="N462" s="20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9"/>
      <c r="Z462" s="19"/>
      <c r="AA462" s="15"/>
      <c r="AB462" s="15"/>
      <c r="AC462" s="15"/>
      <c r="AD462" s="15"/>
      <c r="AE462" s="15"/>
      <c r="AF462" s="19"/>
      <c r="AG462" s="19"/>
      <c r="AH462" s="15"/>
      <c r="AI462" s="15"/>
      <c r="AJ462" s="15"/>
      <c r="AK462" s="15"/>
      <c r="AL462" s="21"/>
      <c r="AM462" s="15"/>
      <c r="AN462" s="15"/>
      <c r="AO462" s="15"/>
      <c r="AP462" s="15"/>
      <c r="AQ462" s="15"/>
      <c r="AR462" s="15"/>
      <c r="AS462" s="15"/>
      <c r="AT462" s="19" t="str">
        <f>IF(COUNTA(A462:I462)+COUNTA(N462:X462)+COUNTA(AA462:AE462)+COUNTA(AH462:AS462)=0,"",IF(AND(A462&lt;&gt;"",E462&lt;&gt;"",OR(F462&lt;&gt;"",G462&lt;&gt;""),H462&lt;&gt;"",I462&lt;&gt;"",J462&lt;&gt;"No en catálogo",S462&lt;&gt;"",T462&lt;&gt;"",U462&lt;&gt;"",V462&lt;&gt;"",OR(AR462&lt;&gt;"",AND(W462&lt;&gt;"",X462&lt;&gt;"",AA462&lt;&gt;"",AB462&lt;&gt;"")),OR(AS462&lt;&gt;"",AND(AD462&lt;&gt;"",AE462&lt;&gt;"",AH462&lt;&gt;"",AI462&lt;&gt;"")),AK462&lt;&gt;"",OR(AK462&lt;&gt;"programado",AL462&lt;&gt;""),OR(AM462&lt;&gt;"específica",AN462&lt;&gt;""),OR(AO462&lt;&gt;"específica",AP462&lt;&gt;"")),"OK","Revisar"))</f>
        <v/>
      </c>
    </row>
    <row r="463" ht="15" customHeight="1" spans="1:46" x14ac:dyDescent="0.25">
      <c r="A463" s="15"/>
      <c r="B463" s="15"/>
      <c r="C463" s="15"/>
      <c r="D463" s="15"/>
      <c r="E463" s="15"/>
      <c r="F463" s="15"/>
      <c r="G463" s="15"/>
      <c r="H463" s="15"/>
      <c r="I463" s="15"/>
      <c r="J463" s="19">
        <f>IF(OR(H463="",I463=""),"",IFERROR(INDEX(Catalogo_Vehiculos!$C$2:$C$1325,MATCH(TRUE(),INDEX(Catalogo_Vehiculos!$G$2:$G$1325=H463&amp;"|"&amp;I463,0),0)),"No en catálogo"))</f>
      </c>
      <c r="K463" s="19">
        <f>IF(OR(H463="",I463=""),"",IFERROR(INDEX(Catalogo_Vehiculos!$D$2:$D$1325,MATCH(TRUE(),INDEX(Catalogo_Vehiculos!$G$2:$G$1325=H463&amp;"|"&amp;I463,0),0)),"No en catálogo"))</f>
      </c>
      <c r="L463" s="19">
        <f>IF(OR(H463="",I463=""),"",IFERROR(INDEX(Catalogo_Vehiculos!$E$2:$E$1325,MATCH(TRUE(),INDEX(Catalogo_Vehiculos!$G$2:$G$1325=H463&amp;"|"&amp;I463,0),0)),"No en catálogo"))</f>
      </c>
      <c r="M463" s="19">
        <f>IF(OR(H463="",I463=""),"",IFERROR(INDEX(Catalogo_Vehiculos!$F$2:$F$1325,MATCH(TRUE(),INDEX(Catalogo_Vehiculos!$G$2:$G$1325=H463&amp;"|"&amp;I463,0),0)),"No en catálogo"))</f>
      </c>
      <c r="N463" s="20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9"/>
      <c r="Z463" s="19"/>
      <c r="AA463" s="15"/>
      <c r="AB463" s="15"/>
      <c r="AC463" s="15"/>
      <c r="AD463" s="15"/>
      <c r="AE463" s="15"/>
      <c r="AF463" s="19"/>
      <c r="AG463" s="19"/>
      <c r="AH463" s="15"/>
      <c r="AI463" s="15"/>
      <c r="AJ463" s="15"/>
      <c r="AK463" s="15"/>
      <c r="AL463" s="21"/>
      <c r="AM463" s="15"/>
      <c r="AN463" s="15"/>
      <c r="AO463" s="15"/>
      <c r="AP463" s="15"/>
      <c r="AQ463" s="15"/>
      <c r="AR463" s="15"/>
      <c r="AS463" s="15"/>
      <c r="AT463" s="19" t="str">
        <f>IF(COUNTA(A463:I463)+COUNTA(N463:X463)+COUNTA(AA463:AE463)+COUNTA(AH463:AS463)=0,"",IF(AND(A463&lt;&gt;"",E463&lt;&gt;"",OR(F463&lt;&gt;"",G463&lt;&gt;""),H463&lt;&gt;"",I463&lt;&gt;"",J463&lt;&gt;"No en catálogo",S463&lt;&gt;"",T463&lt;&gt;"",U463&lt;&gt;"",V463&lt;&gt;"",OR(AR463&lt;&gt;"",AND(W463&lt;&gt;"",X463&lt;&gt;"",AA463&lt;&gt;"",AB463&lt;&gt;"")),OR(AS463&lt;&gt;"",AND(AD463&lt;&gt;"",AE463&lt;&gt;"",AH463&lt;&gt;"",AI463&lt;&gt;"")),AK463&lt;&gt;"",OR(AK463&lt;&gt;"programado",AL463&lt;&gt;""),OR(AM463&lt;&gt;"específica",AN463&lt;&gt;""),OR(AO463&lt;&gt;"específica",AP463&lt;&gt;"")),"OK","Revisar"))</f>
        <v/>
      </c>
    </row>
    <row r="464" ht="15" customHeight="1" spans="1:46" x14ac:dyDescent="0.25">
      <c r="A464" s="15"/>
      <c r="B464" s="15"/>
      <c r="C464" s="15"/>
      <c r="D464" s="15"/>
      <c r="E464" s="15"/>
      <c r="F464" s="15"/>
      <c r="G464" s="15"/>
      <c r="H464" s="15"/>
      <c r="I464" s="15"/>
      <c r="J464" s="19">
        <f>IF(OR(H464="",I464=""),"",IFERROR(INDEX(Catalogo_Vehiculos!$C$2:$C$1325,MATCH(TRUE(),INDEX(Catalogo_Vehiculos!$G$2:$G$1325=H464&amp;"|"&amp;I464,0),0)),"No en catálogo"))</f>
      </c>
      <c r="K464" s="19">
        <f>IF(OR(H464="",I464=""),"",IFERROR(INDEX(Catalogo_Vehiculos!$D$2:$D$1325,MATCH(TRUE(),INDEX(Catalogo_Vehiculos!$G$2:$G$1325=H464&amp;"|"&amp;I464,0),0)),"No en catálogo"))</f>
      </c>
      <c r="L464" s="19">
        <f>IF(OR(H464="",I464=""),"",IFERROR(INDEX(Catalogo_Vehiculos!$E$2:$E$1325,MATCH(TRUE(),INDEX(Catalogo_Vehiculos!$G$2:$G$1325=H464&amp;"|"&amp;I464,0),0)),"No en catálogo"))</f>
      </c>
      <c r="M464" s="19">
        <f>IF(OR(H464="",I464=""),"",IFERROR(INDEX(Catalogo_Vehiculos!$F$2:$F$1325,MATCH(TRUE(),INDEX(Catalogo_Vehiculos!$G$2:$G$1325=H464&amp;"|"&amp;I464,0),0)),"No en catálogo"))</f>
      </c>
      <c r="N464" s="20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9"/>
      <c r="Z464" s="19"/>
      <c r="AA464" s="15"/>
      <c r="AB464" s="15"/>
      <c r="AC464" s="15"/>
      <c r="AD464" s="15"/>
      <c r="AE464" s="15"/>
      <c r="AF464" s="19"/>
      <c r="AG464" s="19"/>
      <c r="AH464" s="15"/>
      <c r="AI464" s="15"/>
      <c r="AJ464" s="15"/>
      <c r="AK464" s="15"/>
      <c r="AL464" s="21"/>
      <c r="AM464" s="15"/>
      <c r="AN464" s="15"/>
      <c r="AO464" s="15"/>
      <c r="AP464" s="15"/>
      <c r="AQ464" s="15"/>
      <c r="AR464" s="15"/>
      <c r="AS464" s="15"/>
      <c r="AT464" s="19" t="str">
        <f>IF(COUNTA(A464:I464)+COUNTA(N464:X464)+COUNTA(AA464:AE464)+COUNTA(AH464:AS464)=0,"",IF(AND(A464&lt;&gt;"",E464&lt;&gt;"",OR(F464&lt;&gt;"",G464&lt;&gt;""),H464&lt;&gt;"",I464&lt;&gt;"",J464&lt;&gt;"No en catálogo",S464&lt;&gt;"",T464&lt;&gt;"",U464&lt;&gt;"",V464&lt;&gt;"",OR(AR464&lt;&gt;"",AND(W464&lt;&gt;"",X464&lt;&gt;"",AA464&lt;&gt;"",AB464&lt;&gt;"")),OR(AS464&lt;&gt;"",AND(AD464&lt;&gt;"",AE464&lt;&gt;"",AH464&lt;&gt;"",AI464&lt;&gt;"")),AK464&lt;&gt;"",OR(AK464&lt;&gt;"programado",AL464&lt;&gt;""),OR(AM464&lt;&gt;"específica",AN464&lt;&gt;""),OR(AO464&lt;&gt;"específica",AP464&lt;&gt;"")),"OK","Revisar"))</f>
        <v/>
      </c>
    </row>
    <row r="465" ht="15" customHeight="1" spans="1:46" x14ac:dyDescent="0.25">
      <c r="A465" s="15"/>
      <c r="B465" s="15"/>
      <c r="C465" s="15"/>
      <c r="D465" s="15"/>
      <c r="E465" s="15"/>
      <c r="F465" s="15"/>
      <c r="G465" s="15"/>
      <c r="H465" s="15"/>
      <c r="I465" s="15"/>
      <c r="J465" s="19">
        <f>IF(OR(H465="",I465=""),"",IFERROR(INDEX(Catalogo_Vehiculos!$C$2:$C$1325,MATCH(TRUE(),INDEX(Catalogo_Vehiculos!$G$2:$G$1325=H465&amp;"|"&amp;I465,0),0)),"No en catálogo"))</f>
      </c>
      <c r="K465" s="19">
        <f>IF(OR(H465="",I465=""),"",IFERROR(INDEX(Catalogo_Vehiculos!$D$2:$D$1325,MATCH(TRUE(),INDEX(Catalogo_Vehiculos!$G$2:$G$1325=H465&amp;"|"&amp;I465,0),0)),"No en catálogo"))</f>
      </c>
      <c r="L465" s="19">
        <f>IF(OR(H465="",I465=""),"",IFERROR(INDEX(Catalogo_Vehiculos!$E$2:$E$1325,MATCH(TRUE(),INDEX(Catalogo_Vehiculos!$G$2:$G$1325=H465&amp;"|"&amp;I465,0),0)),"No en catálogo"))</f>
      </c>
      <c r="M465" s="19">
        <f>IF(OR(H465="",I465=""),"",IFERROR(INDEX(Catalogo_Vehiculos!$F$2:$F$1325,MATCH(TRUE(),INDEX(Catalogo_Vehiculos!$G$2:$G$1325=H465&amp;"|"&amp;I465,0),0)),"No en catálogo"))</f>
      </c>
      <c r="N465" s="20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9"/>
      <c r="Z465" s="19"/>
      <c r="AA465" s="15"/>
      <c r="AB465" s="15"/>
      <c r="AC465" s="15"/>
      <c r="AD465" s="15"/>
      <c r="AE465" s="15"/>
      <c r="AF465" s="19"/>
      <c r="AG465" s="19"/>
      <c r="AH465" s="15"/>
      <c r="AI465" s="15"/>
      <c r="AJ465" s="15"/>
      <c r="AK465" s="15"/>
      <c r="AL465" s="21"/>
      <c r="AM465" s="15"/>
      <c r="AN465" s="15"/>
      <c r="AO465" s="15"/>
      <c r="AP465" s="15"/>
      <c r="AQ465" s="15"/>
      <c r="AR465" s="15"/>
      <c r="AS465" s="15"/>
      <c r="AT465" s="19" t="str">
        <f>IF(COUNTA(A465:I465)+COUNTA(N465:X465)+COUNTA(AA465:AE465)+COUNTA(AH465:AS465)=0,"",IF(AND(A465&lt;&gt;"",E465&lt;&gt;"",OR(F465&lt;&gt;"",G465&lt;&gt;""),H465&lt;&gt;"",I465&lt;&gt;"",J465&lt;&gt;"No en catálogo",S465&lt;&gt;"",T465&lt;&gt;"",U465&lt;&gt;"",V465&lt;&gt;"",OR(AR465&lt;&gt;"",AND(W465&lt;&gt;"",X465&lt;&gt;"",AA465&lt;&gt;"",AB465&lt;&gt;"")),OR(AS465&lt;&gt;"",AND(AD465&lt;&gt;"",AE465&lt;&gt;"",AH465&lt;&gt;"",AI465&lt;&gt;"")),AK465&lt;&gt;"",OR(AK465&lt;&gt;"programado",AL465&lt;&gt;""),OR(AM465&lt;&gt;"específica",AN465&lt;&gt;""),OR(AO465&lt;&gt;"específica",AP465&lt;&gt;"")),"OK","Revisar"))</f>
        <v/>
      </c>
    </row>
    <row r="466" ht="15" customHeight="1" spans="1:46" x14ac:dyDescent="0.25">
      <c r="A466" s="15"/>
      <c r="B466" s="15"/>
      <c r="C466" s="15"/>
      <c r="D466" s="15"/>
      <c r="E466" s="15"/>
      <c r="F466" s="15"/>
      <c r="G466" s="15"/>
      <c r="H466" s="15"/>
      <c r="I466" s="15"/>
      <c r="J466" s="19">
        <f>IF(OR(H466="",I466=""),"",IFERROR(INDEX(Catalogo_Vehiculos!$C$2:$C$1325,MATCH(TRUE(),INDEX(Catalogo_Vehiculos!$G$2:$G$1325=H466&amp;"|"&amp;I466,0),0)),"No en catálogo"))</f>
      </c>
      <c r="K466" s="19">
        <f>IF(OR(H466="",I466=""),"",IFERROR(INDEX(Catalogo_Vehiculos!$D$2:$D$1325,MATCH(TRUE(),INDEX(Catalogo_Vehiculos!$G$2:$G$1325=H466&amp;"|"&amp;I466,0),0)),"No en catálogo"))</f>
      </c>
      <c r="L466" s="19">
        <f>IF(OR(H466="",I466=""),"",IFERROR(INDEX(Catalogo_Vehiculos!$E$2:$E$1325,MATCH(TRUE(),INDEX(Catalogo_Vehiculos!$G$2:$G$1325=H466&amp;"|"&amp;I466,0),0)),"No en catálogo"))</f>
      </c>
      <c r="M466" s="19">
        <f>IF(OR(H466="",I466=""),"",IFERROR(INDEX(Catalogo_Vehiculos!$F$2:$F$1325,MATCH(TRUE(),INDEX(Catalogo_Vehiculos!$G$2:$G$1325=H466&amp;"|"&amp;I466,0),0)),"No en catálogo"))</f>
      </c>
      <c r="N466" s="20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9"/>
      <c r="Z466" s="19"/>
      <c r="AA466" s="15"/>
      <c r="AB466" s="15"/>
      <c r="AC466" s="15"/>
      <c r="AD466" s="15"/>
      <c r="AE466" s="15"/>
      <c r="AF466" s="19"/>
      <c r="AG466" s="19"/>
      <c r="AH466" s="15"/>
      <c r="AI466" s="15"/>
      <c r="AJ466" s="15"/>
      <c r="AK466" s="15"/>
      <c r="AL466" s="21"/>
      <c r="AM466" s="15"/>
      <c r="AN466" s="15"/>
      <c r="AO466" s="15"/>
      <c r="AP466" s="15"/>
      <c r="AQ466" s="15"/>
      <c r="AR466" s="15"/>
      <c r="AS466" s="15"/>
      <c r="AT466" s="19" t="str">
        <f>IF(COUNTA(A466:I466)+COUNTA(N466:X466)+COUNTA(AA466:AE466)+COUNTA(AH466:AS466)=0,"",IF(AND(A466&lt;&gt;"",E466&lt;&gt;"",OR(F466&lt;&gt;"",G466&lt;&gt;""),H466&lt;&gt;"",I466&lt;&gt;"",J466&lt;&gt;"No en catálogo",S466&lt;&gt;"",T466&lt;&gt;"",U466&lt;&gt;"",V466&lt;&gt;"",OR(AR466&lt;&gt;"",AND(W466&lt;&gt;"",X466&lt;&gt;"",AA466&lt;&gt;"",AB466&lt;&gt;"")),OR(AS466&lt;&gt;"",AND(AD466&lt;&gt;"",AE466&lt;&gt;"",AH466&lt;&gt;"",AI466&lt;&gt;"")),AK466&lt;&gt;"",OR(AK466&lt;&gt;"programado",AL466&lt;&gt;""),OR(AM466&lt;&gt;"específica",AN466&lt;&gt;""),OR(AO466&lt;&gt;"específica",AP466&lt;&gt;"")),"OK","Revisar"))</f>
        <v/>
      </c>
    </row>
    <row r="467" ht="15" customHeight="1" spans="1:46" x14ac:dyDescent="0.25">
      <c r="A467" s="15"/>
      <c r="B467" s="15"/>
      <c r="C467" s="15"/>
      <c r="D467" s="15"/>
      <c r="E467" s="15"/>
      <c r="F467" s="15"/>
      <c r="G467" s="15"/>
      <c r="H467" s="15"/>
      <c r="I467" s="15"/>
      <c r="J467" s="19">
        <f>IF(OR(H467="",I467=""),"",IFERROR(INDEX(Catalogo_Vehiculos!$C$2:$C$1325,MATCH(TRUE(),INDEX(Catalogo_Vehiculos!$G$2:$G$1325=H467&amp;"|"&amp;I467,0),0)),"No en catálogo"))</f>
      </c>
      <c r="K467" s="19">
        <f>IF(OR(H467="",I467=""),"",IFERROR(INDEX(Catalogo_Vehiculos!$D$2:$D$1325,MATCH(TRUE(),INDEX(Catalogo_Vehiculos!$G$2:$G$1325=H467&amp;"|"&amp;I467,0),0)),"No en catálogo"))</f>
      </c>
      <c r="L467" s="19">
        <f>IF(OR(H467="",I467=""),"",IFERROR(INDEX(Catalogo_Vehiculos!$E$2:$E$1325,MATCH(TRUE(),INDEX(Catalogo_Vehiculos!$G$2:$G$1325=H467&amp;"|"&amp;I467,0),0)),"No en catálogo"))</f>
      </c>
      <c r="M467" s="19">
        <f>IF(OR(H467="",I467=""),"",IFERROR(INDEX(Catalogo_Vehiculos!$F$2:$F$1325,MATCH(TRUE(),INDEX(Catalogo_Vehiculos!$G$2:$G$1325=H467&amp;"|"&amp;I467,0),0)),"No en catálogo"))</f>
      </c>
      <c r="N467" s="20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9"/>
      <c r="Z467" s="19"/>
      <c r="AA467" s="15"/>
      <c r="AB467" s="15"/>
      <c r="AC467" s="15"/>
      <c r="AD467" s="15"/>
      <c r="AE467" s="15"/>
      <c r="AF467" s="19"/>
      <c r="AG467" s="19"/>
      <c r="AH467" s="15"/>
      <c r="AI467" s="15"/>
      <c r="AJ467" s="15"/>
      <c r="AK467" s="15"/>
      <c r="AL467" s="21"/>
      <c r="AM467" s="15"/>
      <c r="AN467" s="15"/>
      <c r="AO467" s="15"/>
      <c r="AP467" s="15"/>
      <c r="AQ467" s="15"/>
      <c r="AR467" s="15"/>
      <c r="AS467" s="15"/>
      <c r="AT467" s="19" t="str">
        <f>IF(COUNTA(A467:I467)+COUNTA(N467:X467)+COUNTA(AA467:AE467)+COUNTA(AH467:AS467)=0,"",IF(AND(A467&lt;&gt;"",E467&lt;&gt;"",OR(F467&lt;&gt;"",G467&lt;&gt;""),H467&lt;&gt;"",I467&lt;&gt;"",J467&lt;&gt;"No en catálogo",S467&lt;&gt;"",T467&lt;&gt;"",U467&lt;&gt;"",V467&lt;&gt;"",OR(AR467&lt;&gt;"",AND(W467&lt;&gt;"",X467&lt;&gt;"",AA467&lt;&gt;"",AB467&lt;&gt;"")),OR(AS467&lt;&gt;"",AND(AD467&lt;&gt;"",AE467&lt;&gt;"",AH467&lt;&gt;"",AI467&lt;&gt;"")),AK467&lt;&gt;"",OR(AK467&lt;&gt;"programado",AL467&lt;&gt;""),OR(AM467&lt;&gt;"específica",AN467&lt;&gt;""),OR(AO467&lt;&gt;"específica",AP467&lt;&gt;"")),"OK","Revisar"))</f>
        <v/>
      </c>
    </row>
    <row r="468" ht="15" customHeight="1" spans="1:46" x14ac:dyDescent="0.25">
      <c r="A468" s="15"/>
      <c r="B468" s="15"/>
      <c r="C468" s="15"/>
      <c r="D468" s="15"/>
      <c r="E468" s="15"/>
      <c r="F468" s="15"/>
      <c r="G468" s="15"/>
      <c r="H468" s="15"/>
      <c r="I468" s="15"/>
      <c r="J468" s="19">
        <f>IF(OR(H468="",I468=""),"",IFERROR(INDEX(Catalogo_Vehiculos!$C$2:$C$1325,MATCH(TRUE(),INDEX(Catalogo_Vehiculos!$G$2:$G$1325=H468&amp;"|"&amp;I468,0),0)),"No en catálogo"))</f>
      </c>
      <c r="K468" s="19">
        <f>IF(OR(H468="",I468=""),"",IFERROR(INDEX(Catalogo_Vehiculos!$D$2:$D$1325,MATCH(TRUE(),INDEX(Catalogo_Vehiculos!$G$2:$G$1325=H468&amp;"|"&amp;I468,0),0)),"No en catálogo"))</f>
      </c>
      <c r="L468" s="19">
        <f>IF(OR(H468="",I468=""),"",IFERROR(INDEX(Catalogo_Vehiculos!$E$2:$E$1325,MATCH(TRUE(),INDEX(Catalogo_Vehiculos!$G$2:$G$1325=H468&amp;"|"&amp;I468,0),0)),"No en catálogo"))</f>
      </c>
      <c r="M468" s="19">
        <f>IF(OR(H468="",I468=""),"",IFERROR(INDEX(Catalogo_Vehiculos!$F$2:$F$1325,MATCH(TRUE(),INDEX(Catalogo_Vehiculos!$G$2:$G$1325=H468&amp;"|"&amp;I468,0),0)),"No en catálogo"))</f>
      </c>
      <c r="N468" s="20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9"/>
      <c r="Z468" s="19"/>
      <c r="AA468" s="15"/>
      <c r="AB468" s="15"/>
      <c r="AC468" s="15"/>
      <c r="AD468" s="15"/>
      <c r="AE468" s="15"/>
      <c r="AF468" s="19"/>
      <c r="AG468" s="19"/>
      <c r="AH468" s="15"/>
      <c r="AI468" s="15"/>
      <c r="AJ468" s="15"/>
      <c r="AK468" s="15"/>
      <c r="AL468" s="21"/>
      <c r="AM468" s="15"/>
      <c r="AN468" s="15"/>
      <c r="AO468" s="15"/>
      <c r="AP468" s="15"/>
      <c r="AQ468" s="15"/>
      <c r="AR468" s="15"/>
      <c r="AS468" s="15"/>
      <c r="AT468" s="19" t="str">
        <f>IF(COUNTA(A468:I468)+COUNTA(N468:X468)+COUNTA(AA468:AE468)+COUNTA(AH468:AS468)=0,"",IF(AND(A468&lt;&gt;"",E468&lt;&gt;"",OR(F468&lt;&gt;"",G468&lt;&gt;""),H468&lt;&gt;"",I468&lt;&gt;"",J468&lt;&gt;"No en catálogo",S468&lt;&gt;"",T468&lt;&gt;"",U468&lt;&gt;"",V468&lt;&gt;"",OR(AR468&lt;&gt;"",AND(W468&lt;&gt;"",X468&lt;&gt;"",AA468&lt;&gt;"",AB468&lt;&gt;"")),OR(AS468&lt;&gt;"",AND(AD468&lt;&gt;"",AE468&lt;&gt;"",AH468&lt;&gt;"",AI468&lt;&gt;"")),AK468&lt;&gt;"",OR(AK468&lt;&gt;"programado",AL468&lt;&gt;""),OR(AM468&lt;&gt;"específica",AN468&lt;&gt;""),OR(AO468&lt;&gt;"específica",AP468&lt;&gt;"")),"OK","Revisar"))</f>
        <v/>
      </c>
    </row>
    <row r="469" ht="15" customHeight="1" spans="1:46" x14ac:dyDescent="0.25">
      <c r="A469" s="15"/>
      <c r="B469" s="15"/>
      <c r="C469" s="15"/>
      <c r="D469" s="15"/>
      <c r="E469" s="15"/>
      <c r="F469" s="15"/>
      <c r="G469" s="15"/>
      <c r="H469" s="15"/>
      <c r="I469" s="15"/>
      <c r="J469" s="19">
        <f>IF(OR(H469="",I469=""),"",IFERROR(INDEX(Catalogo_Vehiculos!$C$2:$C$1325,MATCH(TRUE(),INDEX(Catalogo_Vehiculos!$G$2:$G$1325=H469&amp;"|"&amp;I469,0),0)),"No en catálogo"))</f>
      </c>
      <c r="K469" s="19">
        <f>IF(OR(H469="",I469=""),"",IFERROR(INDEX(Catalogo_Vehiculos!$D$2:$D$1325,MATCH(TRUE(),INDEX(Catalogo_Vehiculos!$G$2:$G$1325=H469&amp;"|"&amp;I469,0),0)),"No en catálogo"))</f>
      </c>
      <c r="L469" s="19">
        <f>IF(OR(H469="",I469=""),"",IFERROR(INDEX(Catalogo_Vehiculos!$E$2:$E$1325,MATCH(TRUE(),INDEX(Catalogo_Vehiculos!$G$2:$G$1325=H469&amp;"|"&amp;I469,0),0)),"No en catálogo"))</f>
      </c>
      <c r="M469" s="19">
        <f>IF(OR(H469="",I469=""),"",IFERROR(INDEX(Catalogo_Vehiculos!$F$2:$F$1325,MATCH(TRUE(),INDEX(Catalogo_Vehiculos!$G$2:$G$1325=H469&amp;"|"&amp;I469,0),0)),"No en catálogo"))</f>
      </c>
      <c r="N469" s="20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9"/>
      <c r="Z469" s="19"/>
      <c r="AA469" s="15"/>
      <c r="AB469" s="15"/>
      <c r="AC469" s="15"/>
      <c r="AD469" s="15"/>
      <c r="AE469" s="15"/>
      <c r="AF469" s="19"/>
      <c r="AG469" s="19"/>
      <c r="AH469" s="15"/>
      <c r="AI469" s="15"/>
      <c r="AJ469" s="15"/>
      <c r="AK469" s="15"/>
      <c r="AL469" s="21"/>
      <c r="AM469" s="15"/>
      <c r="AN469" s="15"/>
      <c r="AO469" s="15"/>
      <c r="AP469" s="15"/>
      <c r="AQ469" s="15"/>
      <c r="AR469" s="15"/>
      <c r="AS469" s="15"/>
      <c r="AT469" s="19" t="str">
        <f>IF(COUNTA(A469:I469)+COUNTA(N469:X469)+COUNTA(AA469:AE469)+COUNTA(AH469:AS469)=0,"",IF(AND(A469&lt;&gt;"",E469&lt;&gt;"",OR(F469&lt;&gt;"",G469&lt;&gt;""),H469&lt;&gt;"",I469&lt;&gt;"",J469&lt;&gt;"No en catálogo",S469&lt;&gt;"",T469&lt;&gt;"",U469&lt;&gt;"",V469&lt;&gt;"",OR(AR469&lt;&gt;"",AND(W469&lt;&gt;"",X469&lt;&gt;"",AA469&lt;&gt;"",AB469&lt;&gt;"")),OR(AS469&lt;&gt;"",AND(AD469&lt;&gt;"",AE469&lt;&gt;"",AH469&lt;&gt;"",AI469&lt;&gt;"")),AK469&lt;&gt;"",OR(AK469&lt;&gt;"programado",AL469&lt;&gt;""),OR(AM469&lt;&gt;"específica",AN469&lt;&gt;""),OR(AO469&lt;&gt;"específica",AP469&lt;&gt;"")),"OK","Revisar"))</f>
        <v/>
      </c>
    </row>
    <row r="470" ht="15" customHeight="1" spans="1:46" x14ac:dyDescent="0.25">
      <c r="A470" s="15"/>
      <c r="B470" s="15"/>
      <c r="C470" s="15"/>
      <c r="D470" s="15"/>
      <c r="E470" s="15"/>
      <c r="F470" s="15"/>
      <c r="G470" s="15"/>
      <c r="H470" s="15"/>
      <c r="I470" s="15"/>
      <c r="J470" s="19">
        <f>IF(OR(H470="",I470=""),"",IFERROR(INDEX(Catalogo_Vehiculos!$C$2:$C$1325,MATCH(TRUE(),INDEX(Catalogo_Vehiculos!$G$2:$G$1325=H470&amp;"|"&amp;I470,0),0)),"No en catálogo"))</f>
      </c>
      <c r="K470" s="19">
        <f>IF(OR(H470="",I470=""),"",IFERROR(INDEX(Catalogo_Vehiculos!$D$2:$D$1325,MATCH(TRUE(),INDEX(Catalogo_Vehiculos!$G$2:$G$1325=H470&amp;"|"&amp;I470,0),0)),"No en catálogo"))</f>
      </c>
      <c r="L470" s="19">
        <f>IF(OR(H470="",I470=""),"",IFERROR(INDEX(Catalogo_Vehiculos!$E$2:$E$1325,MATCH(TRUE(),INDEX(Catalogo_Vehiculos!$G$2:$G$1325=H470&amp;"|"&amp;I470,0),0)),"No en catálogo"))</f>
      </c>
      <c r="M470" s="19">
        <f>IF(OR(H470="",I470=""),"",IFERROR(INDEX(Catalogo_Vehiculos!$F$2:$F$1325,MATCH(TRUE(),INDEX(Catalogo_Vehiculos!$G$2:$G$1325=H470&amp;"|"&amp;I470,0),0)),"No en catálogo"))</f>
      </c>
      <c r="N470" s="20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9"/>
      <c r="Z470" s="19"/>
      <c r="AA470" s="15"/>
      <c r="AB470" s="15"/>
      <c r="AC470" s="15"/>
      <c r="AD470" s="15"/>
      <c r="AE470" s="15"/>
      <c r="AF470" s="19"/>
      <c r="AG470" s="19"/>
      <c r="AH470" s="15"/>
      <c r="AI470" s="15"/>
      <c r="AJ470" s="15"/>
      <c r="AK470" s="15"/>
      <c r="AL470" s="21"/>
      <c r="AM470" s="15"/>
      <c r="AN470" s="15"/>
      <c r="AO470" s="15"/>
      <c r="AP470" s="15"/>
      <c r="AQ470" s="15"/>
      <c r="AR470" s="15"/>
      <c r="AS470" s="15"/>
      <c r="AT470" s="19" t="str">
        <f>IF(COUNTA(A470:I470)+COUNTA(N470:X470)+COUNTA(AA470:AE470)+COUNTA(AH470:AS470)=0,"",IF(AND(A470&lt;&gt;"",E470&lt;&gt;"",OR(F470&lt;&gt;"",G470&lt;&gt;""),H470&lt;&gt;"",I470&lt;&gt;"",J470&lt;&gt;"No en catálogo",S470&lt;&gt;"",T470&lt;&gt;"",U470&lt;&gt;"",V470&lt;&gt;"",OR(AR470&lt;&gt;"",AND(W470&lt;&gt;"",X470&lt;&gt;"",AA470&lt;&gt;"",AB470&lt;&gt;"")),OR(AS470&lt;&gt;"",AND(AD470&lt;&gt;"",AE470&lt;&gt;"",AH470&lt;&gt;"",AI470&lt;&gt;"")),AK470&lt;&gt;"",OR(AK470&lt;&gt;"programado",AL470&lt;&gt;""),OR(AM470&lt;&gt;"específica",AN470&lt;&gt;""),OR(AO470&lt;&gt;"específica",AP470&lt;&gt;"")),"OK","Revisar"))</f>
        <v/>
      </c>
    </row>
    <row r="471" ht="15" customHeight="1" spans="1:46" x14ac:dyDescent="0.25">
      <c r="A471" s="15"/>
      <c r="B471" s="15"/>
      <c r="C471" s="15"/>
      <c r="D471" s="15"/>
      <c r="E471" s="15"/>
      <c r="F471" s="15"/>
      <c r="G471" s="15"/>
      <c r="H471" s="15"/>
      <c r="I471" s="15"/>
      <c r="J471" s="19">
        <f>IF(OR(H471="",I471=""),"",IFERROR(INDEX(Catalogo_Vehiculos!$C$2:$C$1325,MATCH(TRUE(),INDEX(Catalogo_Vehiculos!$G$2:$G$1325=H471&amp;"|"&amp;I471,0),0)),"No en catálogo"))</f>
      </c>
      <c r="K471" s="19">
        <f>IF(OR(H471="",I471=""),"",IFERROR(INDEX(Catalogo_Vehiculos!$D$2:$D$1325,MATCH(TRUE(),INDEX(Catalogo_Vehiculos!$G$2:$G$1325=H471&amp;"|"&amp;I471,0),0)),"No en catálogo"))</f>
      </c>
      <c r="L471" s="19">
        <f>IF(OR(H471="",I471=""),"",IFERROR(INDEX(Catalogo_Vehiculos!$E$2:$E$1325,MATCH(TRUE(),INDEX(Catalogo_Vehiculos!$G$2:$G$1325=H471&amp;"|"&amp;I471,0),0)),"No en catálogo"))</f>
      </c>
      <c r="M471" s="19">
        <f>IF(OR(H471="",I471=""),"",IFERROR(INDEX(Catalogo_Vehiculos!$F$2:$F$1325,MATCH(TRUE(),INDEX(Catalogo_Vehiculos!$G$2:$G$1325=H471&amp;"|"&amp;I471,0),0)),"No en catálogo"))</f>
      </c>
      <c r="N471" s="20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9"/>
      <c r="Z471" s="19"/>
      <c r="AA471" s="15"/>
      <c r="AB471" s="15"/>
      <c r="AC471" s="15"/>
      <c r="AD471" s="15"/>
      <c r="AE471" s="15"/>
      <c r="AF471" s="19"/>
      <c r="AG471" s="19"/>
      <c r="AH471" s="15"/>
      <c r="AI471" s="15"/>
      <c r="AJ471" s="15"/>
      <c r="AK471" s="15"/>
      <c r="AL471" s="21"/>
      <c r="AM471" s="15"/>
      <c r="AN471" s="15"/>
      <c r="AO471" s="15"/>
      <c r="AP471" s="15"/>
      <c r="AQ471" s="15"/>
      <c r="AR471" s="15"/>
      <c r="AS471" s="15"/>
      <c r="AT471" s="19" t="str">
        <f>IF(COUNTA(A471:I471)+COUNTA(N471:X471)+COUNTA(AA471:AE471)+COUNTA(AH471:AS471)=0,"",IF(AND(A471&lt;&gt;"",E471&lt;&gt;"",OR(F471&lt;&gt;"",G471&lt;&gt;""),H471&lt;&gt;"",I471&lt;&gt;"",J471&lt;&gt;"No en catálogo",S471&lt;&gt;"",T471&lt;&gt;"",U471&lt;&gt;"",V471&lt;&gt;"",OR(AR471&lt;&gt;"",AND(W471&lt;&gt;"",X471&lt;&gt;"",AA471&lt;&gt;"",AB471&lt;&gt;"")),OR(AS471&lt;&gt;"",AND(AD471&lt;&gt;"",AE471&lt;&gt;"",AH471&lt;&gt;"",AI471&lt;&gt;"")),AK471&lt;&gt;"",OR(AK471&lt;&gt;"programado",AL471&lt;&gt;""),OR(AM471&lt;&gt;"específica",AN471&lt;&gt;""),OR(AO471&lt;&gt;"específica",AP471&lt;&gt;"")),"OK","Revisar"))</f>
        <v/>
      </c>
    </row>
    <row r="472" ht="15" customHeight="1" spans="1:46" x14ac:dyDescent="0.25">
      <c r="A472" s="15"/>
      <c r="B472" s="15"/>
      <c r="C472" s="15"/>
      <c r="D472" s="15"/>
      <c r="E472" s="15"/>
      <c r="F472" s="15"/>
      <c r="G472" s="15"/>
      <c r="H472" s="15"/>
      <c r="I472" s="15"/>
      <c r="J472" s="19">
        <f>IF(OR(H472="",I472=""),"",IFERROR(INDEX(Catalogo_Vehiculos!$C$2:$C$1325,MATCH(TRUE(),INDEX(Catalogo_Vehiculos!$G$2:$G$1325=H472&amp;"|"&amp;I472,0),0)),"No en catálogo"))</f>
      </c>
      <c r="K472" s="19">
        <f>IF(OR(H472="",I472=""),"",IFERROR(INDEX(Catalogo_Vehiculos!$D$2:$D$1325,MATCH(TRUE(),INDEX(Catalogo_Vehiculos!$G$2:$G$1325=H472&amp;"|"&amp;I472,0),0)),"No en catálogo"))</f>
      </c>
      <c r="L472" s="19">
        <f>IF(OR(H472="",I472=""),"",IFERROR(INDEX(Catalogo_Vehiculos!$E$2:$E$1325,MATCH(TRUE(),INDEX(Catalogo_Vehiculos!$G$2:$G$1325=H472&amp;"|"&amp;I472,0),0)),"No en catálogo"))</f>
      </c>
      <c r="M472" s="19">
        <f>IF(OR(H472="",I472=""),"",IFERROR(INDEX(Catalogo_Vehiculos!$F$2:$F$1325,MATCH(TRUE(),INDEX(Catalogo_Vehiculos!$G$2:$G$1325=H472&amp;"|"&amp;I472,0),0)),"No en catálogo"))</f>
      </c>
      <c r="N472" s="20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9"/>
      <c r="Z472" s="19"/>
      <c r="AA472" s="15"/>
      <c r="AB472" s="15"/>
      <c r="AC472" s="15"/>
      <c r="AD472" s="15"/>
      <c r="AE472" s="15"/>
      <c r="AF472" s="19"/>
      <c r="AG472" s="19"/>
      <c r="AH472" s="15"/>
      <c r="AI472" s="15"/>
      <c r="AJ472" s="15"/>
      <c r="AK472" s="15"/>
      <c r="AL472" s="21"/>
      <c r="AM472" s="15"/>
      <c r="AN472" s="15"/>
      <c r="AO472" s="15"/>
      <c r="AP472" s="15"/>
      <c r="AQ472" s="15"/>
      <c r="AR472" s="15"/>
      <c r="AS472" s="15"/>
      <c r="AT472" s="19" t="str">
        <f>IF(COUNTA(A472:I472)+COUNTA(N472:X472)+COUNTA(AA472:AE472)+COUNTA(AH472:AS472)=0,"",IF(AND(A472&lt;&gt;"",E472&lt;&gt;"",OR(F472&lt;&gt;"",G472&lt;&gt;""),H472&lt;&gt;"",I472&lt;&gt;"",J472&lt;&gt;"No en catálogo",S472&lt;&gt;"",T472&lt;&gt;"",U472&lt;&gt;"",V472&lt;&gt;"",OR(AR472&lt;&gt;"",AND(W472&lt;&gt;"",X472&lt;&gt;"",AA472&lt;&gt;"",AB472&lt;&gt;"")),OR(AS472&lt;&gt;"",AND(AD472&lt;&gt;"",AE472&lt;&gt;"",AH472&lt;&gt;"",AI472&lt;&gt;"")),AK472&lt;&gt;"",OR(AK472&lt;&gt;"programado",AL472&lt;&gt;""),OR(AM472&lt;&gt;"específica",AN472&lt;&gt;""),OR(AO472&lt;&gt;"específica",AP472&lt;&gt;"")),"OK","Revisar"))</f>
        <v/>
      </c>
    </row>
    <row r="473" ht="15" customHeight="1" spans="1:46" x14ac:dyDescent="0.25">
      <c r="A473" s="15"/>
      <c r="B473" s="15"/>
      <c r="C473" s="15"/>
      <c r="D473" s="15"/>
      <c r="E473" s="15"/>
      <c r="F473" s="15"/>
      <c r="G473" s="15"/>
      <c r="H473" s="15"/>
      <c r="I473" s="15"/>
      <c r="J473" s="19">
        <f>IF(OR(H473="",I473=""),"",IFERROR(INDEX(Catalogo_Vehiculos!$C$2:$C$1325,MATCH(TRUE(),INDEX(Catalogo_Vehiculos!$G$2:$G$1325=H473&amp;"|"&amp;I473,0),0)),"No en catálogo"))</f>
      </c>
      <c r="K473" s="19">
        <f>IF(OR(H473="",I473=""),"",IFERROR(INDEX(Catalogo_Vehiculos!$D$2:$D$1325,MATCH(TRUE(),INDEX(Catalogo_Vehiculos!$G$2:$G$1325=H473&amp;"|"&amp;I473,0),0)),"No en catálogo"))</f>
      </c>
      <c r="L473" s="19">
        <f>IF(OR(H473="",I473=""),"",IFERROR(INDEX(Catalogo_Vehiculos!$E$2:$E$1325,MATCH(TRUE(),INDEX(Catalogo_Vehiculos!$G$2:$G$1325=H473&amp;"|"&amp;I473,0),0)),"No en catálogo"))</f>
      </c>
      <c r="M473" s="19">
        <f>IF(OR(H473="",I473=""),"",IFERROR(INDEX(Catalogo_Vehiculos!$F$2:$F$1325,MATCH(TRUE(),INDEX(Catalogo_Vehiculos!$G$2:$G$1325=H473&amp;"|"&amp;I473,0),0)),"No en catálogo"))</f>
      </c>
      <c r="N473" s="20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9"/>
      <c r="Z473" s="19"/>
      <c r="AA473" s="15"/>
      <c r="AB473" s="15"/>
      <c r="AC473" s="15"/>
      <c r="AD473" s="15"/>
      <c r="AE473" s="15"/>
      <c r="AF473" s="19"/>
      <c r="AG473" s="19"/>
      <c r="AH473" s="15"/>
      <c r="AI473" s="15"/>
      <c r="AJ473" s="15"/>
      <c r="AK473" s="15"/>
      <c r="AL473" s="21"/>
      <c r="AM473" s="15"/>
      <c r="AN473" s="15"/>
      <c r="AO473" s="15"/>
      <c r="AP473" s="15"/>
      <c r="AQ473" s="15"/>
      <c r="AR473" s="15"/>
      <c r="AS473" s="15"/>
      <c r="AT473" s="19" t="str">
        <f>IF(COUNTA(A473:I473)+COUNTA(N473:X473)+COUNTA(AA473:AE473)+COUNTA(AH473:AS473)=0,"",IF(AND(A473&lt;&gt;"",E473&lt;&gt;"",OR(F473&lt;&gt;"",G473&lt;&gt;""),H473&lt;&gt;"",I473&lt;&gt;"",J473&lt;&gt;"No en catálogo",S473&lt;&gt;"",T473&lt;&gt;"",U473&lt;&gt;"",V473&lt;&gt;"",OR(AR473&lt;&gt;"",AND(W473&lt;&gt;"",X473&lt;&gt;"",AA473&lt;&gt;"",AB473&lt;&gt;"")),OR(AS473&lt;&gt;"",AND(AD473&lt;&gt;"",AE473&lt;&gt;"",AH473&lt;&gt;"",AI473&lt;&gt;"")),AK473&lt;&gt;"",OR(AK473&lt;&gt;"programado",AL473&lt;&gt;""),OR(AM473&lt;&gt;"específica",AN473&lt;&gt;""),OR(AO473&lt;&gt;"específica",AP473&lt;&gt;"")),"OK","Revisar"))</f>
        <v/>
      </c>
    </row>
    <row r="474" ht="15" customHeight="1" spans="1:46" x14ac:dyDescent="0.25">
      <c r="A474" s="15"/>
      <c r="B474" s="15"/>
      <c r="C474" s="15"/>
      <c r="D474" s="15"/>
      <c r="E474" s="15"/>
      <c r="F474" s="15"/>
      <c r="G474" s="15"/>
      <c r="H474" s="15"/>
      <c r="I474" s="15"/>
      <c r="J474" s="19">
        <f>IF(OR(H474="",I474=""),"",IFERROR(INDEX(Catalogo_Vehiculos!$C$2:$C$1325,MATCH(TRUE(),INDEX(Catalogo_Vehiculos!$G$2:$G$1325=H474&amp;"|"&amp;I474,0),0)),"No en catálogo"))</f>
      </c>
      <c r="K474" s="19">
        <f>IF(OR(H474="",I474=""),"",IFERROR(INDEX(Catalogo_Vehiculos!$D$2:$D$1325,MATCH(TRUE(),INDEX(Catalogo_Vehiculos!$G$2:$G$1325=H474&amp;"|"&amp;I474,0),0)),"No en catálogo"))</f>
      </c>
      <c r="L474" s="19">
        <f>IF(OR(H474="",I474=""),"",IFERROR(INDEX(Catalogo_Vehiculos!$E$2:$E$1325,MATCH(TRUE(),INDEX(Catalogo_Vehiculos!$G$2:$G$1325=H474&amp;"|"&amp;I474,0),0)),"No en catálogo"))</f>
      </c>
      <c r="M474" s="19">
        <f>IF(OR(H474="",I474=""),"",IFERROR(INDEX(Catalogo_Vehiculos!$F$2:$F$1325,MATCH(TRUE(),INDEX(Catalogo_Vehiculos!$G$2:$G$1325=H474&amp;"|"&amp;I474,0),0)),"No en catálogo"))</f>
      </c>
      <c r="N474" s="20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9"/>
      <c r="Z474" s="19"/>
      <c r="AA474" s="15"/>
      <c r="AB474" s="15"/>
      <c r="AC474" s="15"/>
      <c r="AD474" s="15"/>
      <c r="AE474" s="15"/>
      <c r="AF474" s="19"/>
      <c r="AG474" s="19"/>
      <c r="AH474" s="15"/>
      <c r="AI474" s="15"/>
      <c r="AJ474" s="15"/>
      <c r="AK474" s="15"/>
      <c r="AL474" s="21"/>
      <c r="AM474" s="15"/>
      <c r="AN474" s="15"/>
      <c r="AO474" s="15"/>
      <c r="AP474" s="15"/>
      <c r="AQ474" s="15"/>
      <c r="AR474" s="15"/>
      <c r="AS474" s="15"/>
      <c r="AT474" s="19" t="str">
        <f>IF(COUNTA(A474:I474)+COUNTA(N474:X474)+COUNTA(AA474:AE474)+COUNTA(AH474:AS474)=0,"",IF(AND(A474&lt;&gt;"",E474&lt;&gt;"",OR(F474&lt;&gt;"",G474&lt;&gt;""),H474&lt;&gt;"",I474&lt;&gt;"",J474&lt;&gt;"No en catálogo",S474&lt;&gt;"",T474&lt;&gt;"",U474&lt;&gt;"",V474&lt;&gt;"",OR(AR474&lt;&gt;"",AND(W474&lt;&gt;"",X474&lt;&gt;"",AA474&lt;&gt;"",AB474&lt;&gt;"")),OR(AS474&lt;&gt;"",AND(AD474&lt;&gt;"",AE474&lt;&gt;"",AH474&lt;&gt;"",AI474&lt;&gt;"")),AK474&lt;&gt;"",OR(AK474&lt;&gt;"programado",AL474&lt;&gt;""),OR(AM474&lt;&gt;"específica",AN474&lt;&gt;""),OR(AO474&lt;&gt;"específica",AP474&lt;&gt;"")),"OK","Revisar"))</f>
        <v/>
      </c>
    </row>
    <row r="475" ht="15" customHeight="1" spans="1:46" x14ac:dyDescent="0.25">
      <c r="A475" s="15"/>
      <c r="B475" s="15"/>
      <c r="C475" s="15"/>
      <c r="D475" s="15"/>
      <c r="E475" s="15"/>
      <c r="F475" s="15"/>
      <c r="G475" s="15"/>
      <c r="H475" s="15"/>
      <c r="I475" s="15"/>
      <c r="J475" s="19">
        <f>IF(OR(H475="",I475=""),"",IFERROR(INDEX(Catalogo_Vehiculos!$C$2:$C$1325,MATCH(TRUE(),INDEX(Catalogo_Vehiculos!$G$2:$G$1325=H475&amp;"|"&amp;I475,0),0)),"No en catálogo"))</f>
      </c>
      <c r="K475" s="19">
        <f>IF(OR(H475="",I475=""),"",IFERROR(INDEX(Catalogo_Vehiculos!$D$2:$D$1325,MATCH(TRUE(),INDEX(Catalogo_Vehiculos!$G$2:$G$1325=H475&amp;"|"&amp;I475,0),0)),"No en catálogo"))</f>
      </c>
      <c r="L475" s="19">
        <f>IF(OR(H475="",I475=""),"",IFERROR(INDEX(Catalogo_Vehiculos!$E$2:$E$1325,MATCH(TRUE(),INDEX(Catalogo_Vehiculos!$G$2:$G$1325=H475&amp;"|"&amp;I475,0),0)),"No en catálogo"))</f>
      </c>
      <c r="M475" s="19">
        <f>IF(OR(H475="",I475=""),"",IFERROR(INDEX(Catalogo_Vehiculos!$F$2:$F$1325,MATCH(TRUE(),INDEX(Catalogo_Vehiculos!$G$2:$G$1325=H475&amp;"|"&amp;I475,0),0)),"No en catálogo"))</f>
      </c>
      <c r="N475" s="20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9"/>
      <c r="Z475" s="19"/>
      <c r="AA475" s="15"/>
      <c r="AB475" s="15"/>
      <c r="AC475" s="15"/>
      <c r="AD475" s="15"/>
      <c r="AE475" s="15"/>
      <c r="AF475" s="19"/>
      <c r="AG475" s="19"/>
      <c r="AH475" s="15"/>
      <c r="AI475" s="15"/>
      <c r="AJ475" s="15"/>
      <c r="AK475" s="15"/>
      <c r="AL475" s="21"/>
      <c r="AM475" s="15"/>
      <c r="AN475" s="15"/>
      <c r="AO475" s="15"/>
      <c r="AP475" s="15"/>
      <c r="AQ475" s="15"/>
      <c r="AR475" s="15"/>
      <c r="AS475" s="15"/>
      <c r="AT475" s="19" t="str">
        <f>IF(COUNTA(A475:I475)+COUNTA(N475:X475)+COUNTA(AA475:AE475)+COUNTA(AH475:AS475)=0,"",IF(AND(A475&lt;&gt;"",E475&lt;&gt;"",OR(F475&lt;&gt;"",G475&lt;&gt;""),H475&lt;&gt;"",I475&lt;&gt;"",J475&lt;&gt;"No en catálogo",S475&lt;&gt;"",T475&lt;&gt;"",U475&lt;&gt;"",V475&lt;&gt;"",OR(AR475&lt;&gt;"",AND(W475&lt;&gt;"",X475&lt;&gt;"",AA475&lt;&gt;"",AB475&lt;&gt;"")),OR(AS475&lt;&gt;"",AND(AD475&lt;&gt;"",AE475&lt;&gt;"",AH475&lt;&gt;"",AI475&lt;&gt;"")),AK475&lt;&gt;"",OR(AK475&lt;&gt;"programado",AL475&lt;&gt;""),OR(AM475&lt;&gt;"específica",AN475&lt;&gt;""),OR(AO475&lt;&gt;"específica",AP475&lt;&gt;"")),"OK","Revisar"))</f>
        <v/>
      </c>
    </row>
    <row r="476" ht="15" customHeight="1" spans="1:46" x14ac:dyDescent="0.25">
      <c r="A476" s="15"/>
      <c r="B476" s="15"/>
      <c r="C476" s="15"/>
      <c r="D476" s="15"/>
      <c r="E476" s="15"/>
      <c r="F476" s="15"/>
      <c r="G476" s="15"/>
      <c r="H476" s="15"/>
      <c r="I476" s="15"/>
      <c r="J476" s="19">
        <f>IF(OR(H476="",I476=""),"",IFERROR(INDEX(Catalogo_Vehiculos!$C$2:$C$1325,MATCH(TRUE(),INDEX(Catalogo_Vehiculos!$G$2:$G$1325=H476&amp;"|"&amp;I476,0),0)),"No en catálogo"))</f>
      </c>
      <c r="K476" s="19">
        <f>IF(OR(H476="",I476=""),"",IFERROR(INDEX(Catalogo_Vehiculos!$D$2:$D$1325,MATCH(TRUE(),INDEX(Catalogo_Vehiculos!$G$2:$G$1325=H476&amp;"|"&amp;I476,0),0)),"No en catálogo"))</f>
      </c>
      <c r="L476" s="19">
        <f>IF(OR(H476="",I476=""),"",IFERROR(INDEX(Catalogo_Vehiculos!$E$2:$E$1325,MATCH(TRUE(),INDEX(Catalogo_Vehiculos!$G$2:$G$1325=H476&amp;"|"&amp;I476,0),0)),"No en catálogo"))</f>
      </c>
      <c r="M476" s="19">
        <f>IF(OR(H476="",I476=""),"",IFERROR(INDEX(Catalogo_Vehiculos!$F$2:$F$1325,MATCH(TRUE(),INDEX(Catalogo_Vehiculos!$G$2:$G$1325=H476&amp;"|"&amp;I476,0),0)),"No en catálogo"))</f>
      </c>
      <c r="N476" s="20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9"/>
      <c r="Z476" s="19"/>
      <c r="AA476" s="15"/>
      <c r="AB476" s="15"/>
      <c r="AC476" s="15"/>
      <c r="AD476" s="15"/>
      <c r="AE476" s="15"/>
      <c r="AF476" s="19"/>
      <c r="AG476" s="19"/>
      <c r="AH476" s="15"/>
      <c r="AI476" s="15"/>
      <c r="AJ476" s="15"/>
      <c r="AK476" s="15"/>
      <c r="AL476" s="21"/>
      <c r="AM476" s="15"/>
      <c r="AN476" s="15"/>
      <c r="AO476" s="15"/>
      <c r="AP476" s="15"/>
      <c r="AQ476" s="15"/>
      <c r="AR476" s="15"/>
      <c r="AS476" s="15"/>
      <c r="AT476" s="19" t="str">
        <f>IF(COUNTA(A476:I476)+COUNTA(N476:X476)+COUNTA(AA476:AE476)+COUNTA(AH476:AS476)=0,"",IF(AND(A476&lt;&gt;"",E476&lt;&gt;"",OR(F476&lt;&gt;"",G476&lt;&gt;""),H476&lt;&gt;"",I476&lt;&gt;"",J476&lt;&gt;"No en catálogo",S476&lt;&gt;"",T476&lt;&gt;"",U476&lt;&gt;"",V476&lt;&gt;"",OR(AR476&lt;&gt;"",AND(W476&lt;&gt;"",X476&lt;&gt;"",AA476&lt;&gt;"",AB476&lt;&gt;"")),OR(AS476&lt;&gt;"",AND(AD476&lt;&gt;"",AE476&lt;&gt;"",AH476&lt;&gt;"",AI476&lt;&gt;"")),AK476&lt;&gt;"",OR(AK476&lt;&gt;"programado",AL476&lt;&gt;""),OR(AM476&lt;&gt;"específica",AN476&lt;&gt;""),OR(AO476&lt;&gt;"específica",AP476&lt;&gt;"")),"OK","Revisar"))</f>
        <v/>
      </c>
    </row>
    <row r="477" ht="15" customHeight="1" spans="1:46" x14ac:dyDescent="0.25">
      <c r="A477" s="15"/>
      <c r="B477" s="15"/>
      <c r="C477" s="15"/>
      <c r="D477" s="15"/>
      <c r="E477" s="15"/>
      <c r="F477" s="15"/>
      <c r="G477" s="15"/>
      <c r="H477" s="15"/>
      <c r="I477" s="15"/>
      <c r="J477" s="19">
        <f>IF(OR(H477="",I477=""),"",IFERROR(INDEX(Catalogo_Vehiculos!$C$2:$C$1325,MATCH(TRUE(),INDEX(Catalogo_Vehiculos!$G$2:$G$1325=H477&amp;"|"&amp;I477,0),0)),"No en catálogo"))</f>
      </c>
      <c r="K477" s="19">
        <f>IF(OR(H477="",I477=""),"",IFERROR(INDEX(Catalogo_Vehiculos!$D$2:$D$1325,MATCH(TRUE(),INDEX(Catalogo_Vehiculos!$G$2:$G$1325=H477&amp;"|"&amp;I477,0),0)),"No en catálogo"))</f>
      </c>
      <c r="L477" s="19">
        <f>IF(OR(H477="",I477=""),"",IFERROR(INDEX(Catalogo_Vehiculos!$E$2:$E$1325,MATCH(TRUE(),INDEX(Catalogo_Vehiculos!$G$2:$G$1325=H477&amp;"|"&amp;I477,0),0)),"No en catálogo"))</f>
      </c>
      <c r="M477" s="19">
        <f>IF(OR(H477="",I477=""),"",IFERROR(INDEX(Catalogo_Vehiculos!$F$2:$F$1325,MATCH(TRUE(),INDEX(Catalogo_Vehiculos!$G$2:$G$1325=H477&amp;"|"&amp;I477,0),0)),"No en catálogo"))</f>
      </c>
      <c r="N477" s="20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9"/>
      <c r="Z477" s="19"/>
      <c r="AA477" s="15"/>
      <c r="AB477" s="15"/>
      <c r="AC477" s="15"/>
      <c r="AD477" s="15"/>
      <c r="AE477" s="15"/>
      <c r="AF477" s="19"/>
      <c r="AG477" s="19"/>
      <c r="AH477" s="15"/>
      <c r="AI477" s="15"/>
      <c r="AJ477" s="15"/>
      <c r="AK477" s="15"/>
      <c r="AL477" s="21"/>
      <c r="AM477" s="15"/>
      <c r="AN477" s="15"/>
      <c r="AO477" s="15"/>
      <c r="AP477" s="15"/>
      <c r="AQ477" s="15"/>
      <c r="AR477" s="15"/>
      <c r="AS477" s="15"/>
      <c r="AT477" s="19" t="str">
        <f>IF(COUNTA(A477:I477)+COUNTA(N477:X477)+COUNTA(AA477:AE477)+COUNTA(AH477:AS477)=0,"",IF(AND(A477&lt;&gt;"",E477&lt;&gt;"",OR(F477&lt;&gt;"",G477&lt;&gt;""),H477&lt;&gt;"",I477&lt;&gt;"",J477&lt;&gt;"No en catálogo",S477&lt;&gt;"",T477&lt;&gt;"",U477&lt;&gt;"",V477&lt;&gt;"",OR(AR477&lt;&gt;"",AND(W477&lt;&gt;"",X477&lt;&gt;"",AA477&lt;&gt;"",AB477&lt;&gt;"")),OR(AS477&lt;&gt;"",AND(AD477&lt;&gt;"",AE477&lt;&gt;"",AH477&lt;&gt;"",AI477&lt;&gt;"")),AK477&lt;&gt;"",OR(AK477&lt;&gt;"programado",AL477&lt;&gt;""),OR(AM477&lt;&gt;"específica",AN477&lt;&gt;""),OR(AO477&lt;&gt;"específica",AP477&lt;&gt;"")),"OK","Revisar"))</f>
        <v/>
      </c>
    </row>
    <row r="478" ht="15" customHeight="1" spans="1:46" x14ac:dyDescent="0.25">
      <c r="A478" s="15"/>
      <c r="B478" s="15"/>
      <c r="C478" s="15"/>
      <c r="D478" s="15"/>
      <c r="E478" s="15"/>
      <c r="F478" s="15"/>
      <c r="G478" s="15"/>
      <c r="H478" s="15"/>
      <c r="I478" s="15"/>
      <c r="J478" s="19">
        <f>IF(OR(H478="",I478=""),"",IFERROR(INDEX(Catalogo_Vehiculos!$C$2:$C$1325,MATCH(TRUE(),INDEX(Catalogo_Vehiculos!$G$2:$G$1325=H478&amp;"|"&amp;I478,0),0)),"No en catálogo"))</f>
      </c>
      <c r="K478" s="19">
        <f>IF(OR(H478="",I478=""),"",IFERROR(INDEX(Catalogo_Vehiculos!$D$2:$D$1325,MATCH(TRUE(),INDEX(Catalogo_Vehiculos!$G$2:$G$1325=H478&amp;"|"&amp;I478,0),0)),"No en catálogo"))</f>
      </c>
      <c r="L478" s="19">
        <f>IF(OR(H478="",I478=""),"",IFERROR(INDEX(Catalogo_Vehiculos!$E$2:$E$1325,MATCH(TRUE(),INDEX(Catalogo_Vehiculos!$G$2:$G$1325=H478&amp;"|"&amp;I478,0),0)),"No en catálogo"))</f>
      </c>
      <c r="M478" s="19">
        <f>IF(OR(H478="",I478=""),"",IFERROR(INDEX(Catalogo_Vehiculos!$F$2:$F$1325,MATCH(TRUE(),INDEX(Catalogo_Vehiculos!$G$2:$G$1325=H478&amp;"|"&amp;I478,0),0)),"No en catálogo"))</f>
      </c>
      <c r="N478" s="20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9"/>
      <c r="Z478" s="19"/>
      <c r="AA478" s="15"/>
      <c r="AB478" s="15"/>
      <c r="AC478" s="15"/>
      <c r="AD478" s="15"/>
      <c r="AE478" s="15"/>
      <c r="AF478" s="19"/>
      <c r="AG478" s="19"/>
      <c r="AH478" s="15"/>
      <c r="AI478" s="15"/>
      <c r="AJ478" s="15"/>
      <c r="AK478" s="15"/>
      <c r="AL478" s="21"/>
      <c r="AM478" s="15"/>
      <c r="AN478" s="15"/>
      <c r="AO478" s="15"/>
      <c r="AP478" s="15"/>
      <c r="AQ478" s="15"/>
      <c r="AR478" s="15"/>
      <c r="AS478" s="15"/>
      <c r="AT478" s="19" t="str">
        <f>IF(COUNTA(A478:I478)+COUNTA(N478:X478)+COUNTA(AA478:AE478)+COUNTA(AH478:AS478)=0,"",IF(AND(A478&lt;&gt;"",E478&lt;&gt;"",OR(F478&lt;&gt;"",G478&lt;&gt;""),H478&lt;&gt;"",I478&lt;&gt;"",J478&lt;&gt;"No en catálogo",S478&lt;&gt;"",T478&lt;&gt;"",U478&lt;&gt;"",V478&lt;&gt;"",OR(AR478&lt;&gt;"",AND(W478&lt;&gt;"",X478&lt;&gt;"",AA478&lt;&gt;"",AB478&lt;&gt;"")),OR(AS478&lt;&gt;"",AND(AD478&lt;&gt;"",AE478&lt;&gt;"",AH478&lt;&gt;"",AI478&lt;&gt;"")),AK478&lt;&gt;"",OR(AK478&lt;&gt;"programado",AL478&lt;&gt;""),OR(AM478&lt;&gt;"específica",AN478&lt;&gt;""),OR(AO478&lt;&gt;"específica",AP478&lt;&gt;"")),"OK","Revisar"))</f>
        <v/>
      </c>
    </row>
    <row r="479" ht="15" customHeight="1" spans="1:46" x14ac:dyDescent="0.25">
      <c r="A479" s="15"/>
      <c r="B479" s="15"/>
      <c r="C479" s="15"/>
      <c r="D479" s="15"/>
      <c r="E479" s="15"/>
      <c r="F479" s="15"/>
      <c r="G479" s="15"/>
      <c r="H479" s="15"/>
      <c r="I479" s="15"/>
      <c r="J479" s="19">
        <f>IF(OR(H479="",I479=""),"",IFERROR(INDEX(Catalogo_Vehiculos!$C$2:$C$1325,MATCH(TRUE(),INDEX(Catalogo_Vehiculos!$G$2:$G$1325=H479&amp;"|"&amp;I479,0),0)),"No en catálogo"))</f>
      </c>
      <c r="K479" s="19">
        <f>IF(OR(H479="",I479=""),"",IFERROR(INDEX(Catalogo_Vehiculos!$D$2:$D$1325,MATCH(TRUE(),INDEX(Catalogo_Vehiculos!$G$2:$G$1325=H479&amp;"|"&amp;I479,0),0)),"No en catálogo"))</f>
      </c>
      <c r="L479" s="19">
        <f>IF(OR(H479="",I479=""),"",IFERROR(INDEX(Catalogo_Vehiculos!$E$2:$E$1325,MATCH(TRUE(),INDEX(Catalogo_Vehiculos!$G$2:$G$1325=H479&amp;"|"&amp;I479,0),0)),"No en catálogo"))</f>
      </c>
      <c r="M479" s="19">
        <f>IF(OR(H479="",I479=""),"",IFERROR(INDEX(Catalogo_Vehiculos!$F$2:$F$1325,MATCH(TRUE(),INDEX(Catalogo_Vehiculos!$G$2:$G$1325=H479&amp;"|"&amp;I479,0),0)),"No en catálogo"))</f>
      </c>
      <c r="N479" s="20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9"/>
      <c r="Z479" s="19"/>
      <c r="AA479" s="15"/>
      <c r="AB479" s="15"/>
      <c r="AC479" s="15"/>
      <c r="AD479" s="15"/>
      <c r="AE479" s="15"/>
      <c r="AF479" s="19"/>
      <c r="AG479" s="19"/>
      <c r="AH479" s="15"/>
      <c r="AI479" s="15"/>
      <c r="AJ479" s="15"/>
      <c r="AK479" s="15"/>
      <c r="AL479" s="21"/>
      <c r="AM479" s="15"/>
      <c r="AN479" s="15"/>
      <c r="AO479" s="15"/>
      <c r="AP479" s="15"/>
      <c r="AQ479" s="15"/>
      <c r="AR479" s="15"/>
      <c r="AS479" s="15"/>
      <c r="AT479" s="19" t="str">
        <f>IF(COUNTA(A479:I479)+COUNTA(N479:X479)+COUNTA(AA479:AE479)+COUNTA(AH479:AS479)=0,"",IF(AND(A479&lt;&gt;"",E479&lt;&gt;"",OR(F479&lt;&gt;"",G479&lt;&gt;""),H479&lt;&gt;"",I479&lt;&gt;"",J479&lt;&gt;"No en catálogo",S479&lt;&gt;"",T479&lt;&gt;"",U479&lt;&gt;"",V479&lt;&gt;"",OR(AR479&lt;&gt;"",AND(W479&lt;&gt;"",X479&lt;&gt;"",AA479&lt;&gt;"",AB479&lt;&gt;"")),OR(AS479&lt;&gt;"",AND(AD479&lt;&gt;"",AE479&lt;&gt;"",AH479&lt;&gt;"",AI479&lt;&gt;"")),AK479&lt;&gt;"",OR(AK479&lt;&gt;"programado",AL479&lt;&gt;""),OR(AM479&lt;&gt;"específica",AN479&lt;&gt;""),OR(AO479&lt;&gt;"específica",AP479&lt;&gt;"")),"OK","Revisar"))</f>
        <v/>
      </c>
    </row>
    <row r="480" ht="15" customHeight="1" spans="1:46" x14ac:dyDescent="0.25">
      <c r="A480" s="15"/>
      <c r="B480" s="15"/>
      <c r="C480" s="15"/>
      <c r="D480" s="15"/>
      <c r="E480" s="15"/>
      <c r="F480" s="15"/>
      <c r="G480" s="15"/>
      <c r="H480" s="15"/>
      <c r="I480" s="15"/>
      <c r="J480" s="19">
        <f>IF(OR(H480="",I480=""),"",IFERROR(INDEX(Catalogo_Vehiculos!$C$2:$C$1325,MATCH(TRUE(),INDEX(Catalogo_Vehiculos!$G$2:$G$1325=H480&amp;"|"&amp;I480,0),0)),"No en catálogo"))</f>
      </c>
      <c r="K480" s="19">
        <f>IF(OR(H480="",I480=""),"",IFERROR(INDEX(Catalogo_Vehiculos!$D$2:$D$1325,MATCH(TRUE(),INDEX(Catalogo_Vehiculos!$G$2:$G$1325=H480&amp;"|"&amp;I480,0),0)),"No en catálogo"))</f>
      </c>
      <c r="L480" s="19">
        <f>IF(OR(H480="",I480=""),"",IFERROR(INDEX(Catalogo_Vehiculos!$E$2:$E$1325,MATCH(TRUE(),INDEX(Catalogo_Vehiculos!$G$2:$G$1325=H480&amp;"|"&amp;I480,0),0)),"No en catálogo"))</f>
      </c>
      <c r="M480" s="19">
        <f>IF(OR(H480="",I480=""),"",IFERROR(INDEX(Catalogo_Vehiculos!$F$2:$F$1325,MATCH(TRUE(),INDEX(Catalogo_Vehiculos!$G$2:$G$1325=H480&amp;"|"&amp;I480,0),0)),"No en catálogo"))</f>
      </c>
      <c r="N480" s="20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9"/>
      <c r="Z480" s="19"/>
      <c r="AA480" s="15"/>
      <c r="AB480" s="15"/>
      <c r="AC480" s="15"/>
      <c r="AD480" s="15"/>
      <c r="AE480" s="15"/>
      <c r="AF480" s="19"/>
      <c r="AG480" s="19"/>
      <c r="AH480" s="15"/>
      <c r="AI480" s="15"/>
      <c r="AJ480" s="15"/>
      <c r="AK480" s="15"/>
      <c r="AL480" s="21"/>
      <c r="AM480" s="15"/>
      <c r="AN480" s="15"/>
      <c r="AO480" s="15"/>
      <c r="AP480" s="15"/>
      <c r="AQ480" s="15"/>
      <c r="AR480" s="15"/>
      <c r="AS480" s="15"/>
      <c r="AT480" s="19" t="str">
        <f>IF(COUNTA(A480:I480)+COUNTA(N480:X480)+COUNTA(AA480:AE480)+COUNTA(AH480:AS480)=0,"",IF(AND(A480&lt;&gt;"",E480&lt;&gt;"",OR(F480&lt;&gt;"",G480&lt;&gt;""),H480&lt;&gt;"",I480&lt;&gt;"",J480&lt;&gt;"No en catálogo",S480&lt;&gt;"",T480&lt;&gt;"",U480&lt;&gt;"",V480&lt;&gt;"",OR(AR480&lt;&gt;"",AND(W480&lt;&gt;"",X480&lt;&gt;"",AA480&lt;&gt;"",AB480&lt;&gt;"")),OR(AS480&lt;&gt;"",AND(AD480&lt;&gt;"",AE480&lt;&gt;"",AH480&lt;&gt;"",AI480&lt;&gt;"")),AK480&lt;&gt;"",OR(AK480&lt;&gt;"programado",AL480&lt;&gt;""),OR(AM480&lt;&gt;"específica",AN480&lt;&gt;""),OR(AO480&lt;&gt;"específica",AP480&lt;&gt;"")),"OK","Revisar"))</f>
        <v/>
      </c>
    </row>
    <row r="481" ht="15" customHeight="1" spans="1:46" x14ac:dyDescent="0.25">
      <c r="A481" s="15"/>
      <c r="B481" s="15"/>
      <c r="C481" s="15"/>
      <c r="D481" s="15"/>
      <c r="E481" s="15"/>
      <c r="F481" s="15"/>
      <c r="G481" s="15"/>
      <c r="H481" s="15"/>
      <c r="I481" s="15"/>
      <c r="J481" s="19">
        <f>IF(OR(H481="",I481=""),"",IFERROR(INDEX(Catalogo_Vehiculos!$C$2:$C$1325,MATCH(TRUE(),INDEX(Catalogo_Vehiculos!$G$2:$G$1325=H481&amp;"|"&amp;I481,0),0)),"No en catálogo"))</f>
      </c>
      <c r="K481" s="19">
        <f>IF(OR(H481="",I481=""),"",IFERROR(INDEX(Catalogo_Vehiculos!$D$2:$D$1325,MATCH(TRUE(),INDEX(Catalogo_Vehiculos!$G$2:$G$1325=H481&amp;"|"&amp;I481,0),0)),"No en catálogo"))</f>
      </c>
      <c r="L481" s="19">
        <f>IF(OR(H481="",I481=""),"",IFERROR(INDEX(Catalogo_Vehiculos!$E$2:$E$1325,MATCH(TRUE(),INDEX(Catalogo_Vehiculos!$G$2:$G$1325=H481&amp;"|"&amp;I481,0),0)),"No en catálogo"))</f>
      </c>
      <c r="M481" s="19">
        <f>IF(OR(H481="",I481=""),"",IFERROR(INDEX(Catalogo_Vehiculos!$F$2:$F$1325,MATCH(TRUE(),INDEX(Catalogo_Vehiculos!$G$2:$G$1325=H481&amp;"|"&amp;I481,0),0)),"No en catálogo"))</f>
      </c>
      <c r="N481" s="20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9"/>
      <c r="Z481" s="19"/>
      <c r="AA481" s="15"/>
      <c r="AB481" s="15"/>
      <c r="AC481" s="15"/>
      <c r="AD481" s="15"/>
      <c r="AE481" s="15"/>
      <c r="AF481" s="19"/>
      <c r="AG481" s="19"/>
      <c r="AH481" s="15"/>
      <c r="AI481" s="15"/>
      <c r="AJ481" s="15"/>
      <c r="AK481" s="15"/>
      <c r="AL481" s="21"/>
      <c r="AM481" s="15"/>
      <c r="AN481" s="15"/>
      <c r="AO481" s="15"/>
      <c r="AP481" s="15"/>
      <c r="AQ481" s="15"/>
      <c r="AR481" s="15"/>
      <c r="AS481" s="15"/>
      <c r="AT481" s="19" t="str">
        <f>IF(COUNTA(A481:I481)+COUNTA(N481:X481)+COUNTA(AA481:AE481)+COUNTA(AH481:AS481)=0,"",IF(AND(A481&lt;&gt;"",E481&lt;&gt;"",OR(F481&lt;&gt;"",G481&lt;&gt;""),H481&lt;&gt;"",I481&lt;&gt;"",J481&lt;&gt;"No en catálogo",S481&lt;&gt;"",T481&lt;&gt;"",U481&lt;&gt;"",V481&lt;&gt;"",OR(AR481&lt;&gt;"",AND(W481&lt;&gt;"",X481&lt;&gt;"",AA481&lt;&gt;"",AB481&lt;&gt;"")),OR(AS481&lt;&gt;"",AND(AD481&lt;&gt;"",AE481&lt;&gt;"",AH481&lt;&gt;"",AI481&lt;&gt;"")),AK481&lt;&gt;"",OR(AK481&lt;&gt;"programado",AL481&lt;&gt;""),OR(AM481&lt;&gt;"específica",AN481&lt;&gt;""),OR(AO481&lt;&gt;"específica",AP481&lt;&gt;"")),"OK","Revisar"))</f>
        <v/>
      </c>
    </row>
    <row r="482" ht="15" customHeight="1" spans="1:46" x14ac:dyDescent="0.25">
      <c r="A482" s="15"/>
      <c r="B482" s="15"/>
      <c r="C482" s="15"/>
      <c r="D482" s="15"/>
      <c r="E482" s="15"/>
      <c r="F482" s="15"/>
      <c r="G482" s="15"/>
      <c r="H482" s="15"/>
      <c r="I482" s="15"/>
      <c r="J482" s="19">
        <f>IF(OR(H482="",I482=""),"",IFERROR(INDEX(Catalogo_Vehiculos!$C$2:$C$1325,MATCH(TRUE(),INDEX(Catalogo_Vehiculos!$G$2:$G$1325=H482&amp;"|"&amp;I482,0),0)),"No en catálogo"))</f>
      </c>
      <c r="K482" s="19">
        <f>IF(OR(H482="",I482=""),"",IFERROR(INDEX(Catalogo_Vehiculos!$D$2:$D$1325,MATCH(TRUE(),INDEX(Catalogo_Vehiculos!$G$2:$G$1325=H482&amp;"|"&amp;I482,0),0)),"No en catálogo"))</f>
      </c>
      <c r="L482" s="19">
        <f>IF(OR(H482="",I482=""),"",IFERROR(INDEX(Catalogo_Vehiculos!$E$2:$E$1325,MATCH(TRUE(),INDEX(Catalogo_Vehiculos!$G$2:$G$1325=H482&amp;"|"&amp;I482,0),0)),"No en catálogo"))</f>
      </c>
      <c r="M482" s="19">
        <f>IF(OR(H482="",I482=""),"",IFERROR(INDEX(Catalogo_Vehiculos!$F$2:$F$1325,MATCH(TRUE(),INDEX(Catalogo_Vehiculos!$G$2:$G$1325=H482&amp;"|"&amp;I482,0),0)),"No en catálogo"))</f>
      </c>
      <c r="N482" s="20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9"/>
      <c r="Z482" s="19"/>
      <c r="AA482" s="15"/>
      <c r="AB482" s="15"/>
      <c r="AC482" s="15"/>
      <c r="AD482" s="15"/>
      <c r="AE482" s="15"/>
      <c r="AF482" s="19"/>
      <c r="AG482" s="19"/>
      <c r="AH482" s="15"/>
      <c r="AI482" s="15"/>
      <c r="AJ482" s="15"/>
      <c r="AK482" s="15"/>
      <c r="AL482" s="21"/>
      <c r="AM482" s="15"/>
      <c r="AN482" s="15"/>
      <c r="AO482" s="15"/>
      <c r="AP482" s="15"/>
      <c r="AQ482" s="15"/>
      <c r="AR482" s="15"/>
      <c r="AS482" s="15"/>
      <c r="AT482" s="19" t="str">
        <f>IF(COUNTA(A482:I482)+COUNTA(N482:X482)+COUNTA(AA482:AE482)+COUNTA(AH482:AS482)=0,"",IF(AND(A482&lt;&gt;"",E482&lt;&gt;"",OR(F482&lt;&gt;"",G482&lt;&gt;""),H482&lt;&gt;"",I482&lt;&gt;"",J482&lt;&gt;"No en catálogo",S482&lt;&gt;"",T482&lt;&gt;"",U482&lt;&gt;"",V482&lt;&gt;"",OR(AR482&lt;&gt;"",AND(W482&lt;&gt;"",X482&lt;&gt;"",AA482&lt;&gt;"",AB482&lt;&gt;"")),OR(AS482&lt;&gt;"",AND(AD482&lt;&gt;"",AE482&lt;&gt;"",AH482&lt;&gt;"",AI482&lt;&gt;"")),AK482&lt;&gt;"",OR(AK482&lt;&gt;"programado",AL482&lt;&gt;""),OR(AM482&lt;&gt;"específica",AN482&lt;&gt;""),OR(AO482&lt;&gt;"específica",AP482&lt;&gt;"")),"OK","Revisar"))</f>
        <v/>
      </c>
    </row>
    <row r="483" ht="15" customHeight="1" spans="1:46" x14ac:dyDescent="0.25">
      <c r="A483" s="15"/>
      <c r="B483" s="15"/>
      <c r="C483" s="15"/>
      <c r="D483" s="15"/>
      <c r="E483" s="15"/>
      <c r="F483" s="15"/>
      <c r="G483" s="15"/>
      <c r="H483" s="15"/>
      <c r="I483" s="15"/>
      <c r="J483" s="19">
        <f>IF(OR(H483="",I483=""),"",IFERROR(INDEX(Catalogo_Vehiculos!$C$2:$C$1325,MATCH(TRUE(),INDEX(Catalogo_Vehiculos!$G$2:$G$1325=H483&amp;"|"&amp;I483,0),0)),"No en catálogo"))</f>
      </c>
      <c r="K483" s="19">
        <f>IF(OR(H483="",I483=""),"",IFERROR(INDEX(Catalogo_Vehiculos!$D$2:$D$1325,MATCH(TRUE(),INDEX(Catalogo_Vehiculos!$G$2:$G$1325=H483&amp;"|"&amp;I483,0),0)),"No en catálogo"))</f>
      </c>
      <c r="L483" s="19">
        <f>IF(OR(H483="",I483=""),"",IFERROR(INDEX(Catalogo_Vehiculos!$E$2:$E$1325,MATCH(TRUE(),INDEX(Catalogo_Vehiculos!$G$2:$G$1325=H483&amp;"|"&amp;I483,0),0)),"No en catálogo"))</f>
      </c>
      <c r="M483" s="19">
        <f>IF(OR(H483="",I483=""),"",IFERROR(INDEX(Catalogo_Vehiculos!$F$2:$F$1325,MATCH(TRUE(),INDEX(Catalogo_Vehiculos!$G$2:$G$1325=H483&amp;"|"&amp;I483,0),0)),"No en catálogo"))</f>
      </c>
      <c r="N483" s="20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9"/>
      <c r="Z483" s="19"/>
      <c r="AA483" s="15"/>
      <c r="AB483" s="15"/>
      <c r="AC483" s="15"/>
      <c r="AD483" s="15"/>
      <c r="AE483" s="15"/>
      <c r="AF483" s="19"/>
      <c r="AG483" s="19"/>
      <c r="AH483" s="15"/>
      <c r="AI483" s="15"/>
      <c r="AJ483" s="15"/>
      <c r="AK483" s="15"/>
      <c r="AL483" s="21"/>
      <c r="AM483" s="15"/>
      <c r="AN483" s="15"/>
      <c r="AO483" s="15"/>
      <c r="AP483" s="15"/>
      <c r="AQ483" s="15"/>
      <c r="AR483" s="15"/>
      <c r="AS483" s="15"/>
      <c r="AT483" s="19" t="str">
        <f>IF(COUNTA(A483:I483)+COUNTA(N483:X483)+COUNTA(AA483:AE483)+COUNTA(AH483:AS483)=0,"",IF(AND(A483&lt;&gt;"",E483&lt;&gt;"",OR(F483&lt;&gt;"",G483&lt;&gt;""),H483&lt;&gt;"",I483&lt;&gt;"",J483&lt;&gt;"No en catálogo",S483&lt;&gt;"",T483&lt;&gt;"",U483&lt;&gt;"",V483&lt;&gt;"",OR(AR483&lt;&gt;"",AND(W483&lt;&gt;"",X483&lt;&gt;"",AA483&lt;&gt;"",AB483&lt;&gt;"")),OR(AS483&lt;&gt;"",AND(AD483&lt;&gt;"",AE483&lt;&gt;"",AH483&lt;&gt;"",AI483&lt;&gt;"")),AK483&lt;&gt;"",OR(AK483&lt;&gt;"programado",AL483&lt;&gt;""),OR(AM483&lt;&gt;"específica",AN483&lt;&gt;""),OR(AO483&lt;&gt;"específica",AP483&lt;&gt;"")),"OK","Revisar"))</f>
        <v/>
      </c>
    </row>
    <row r="484" ht="15" customHeight="1" spans="1:46" x14ac:dyDescent="0.25">
      <c r="A484" s="15"/>
      <c r="B484" s="15"/>
      <c r="C484" s="15"/>
      <c r="D484" s="15"/>
      <c r="E484" s="15"/>
      <c r="F484" s="15"/>
      <c r="G484" s="15"/>
      <c r="H484" s="15"/>
      <c r="I484" s="15"/>
      <c r="J484" s="19">
        <f>IF(OR(H484="",I484=""),"",IFERROR(INDEX(Catalogo_Vehiculos!$C$2:$C$1325,MATCH(TRUE(),INDEX(Catalogo_Vehiculos!$G$2:$G$1325=H484&amp;"|"&amp;I484,0),0)),"No en catálogo"))</f>
      </c>
      <c r="K484" s="19">
        <f>IF(OR(H484="",I484=""),"",IFERROR(INDEX(Catalogo_Vehiculos!$D$2:$D$1325,MATCH(TRUE(),INDEX(Catalogo_Vehiculos!$G$2:$G$1325=H484&amp;"|"&amp;I484,0),0)),"No en catálogo"))</f>
      </c>
      <c r="L484" s="19">
        <f>IF(OR(H484="",I484=""),"",IFERROR(INDEX(Catalogo_Vehiculos!$E$2:$E$1325,MATCH(TRUE(),INDEX(Catalogo_Vehiculos!$G$2:$G$1325=H484&amp;"|"&amp;I484,0),0)),"No en catálogo"))</f>
      </c>
      <c r="M484" s="19">
        <f>IF(OR(H484="",I484=""),"",IFERROR(INDEX(Catalogo_Vehiculos!$F$2:$F$1325,MATCH(TRUE(),INDEX(Catalogo_Vehiculos!$G$2:$G$1325=H484&amp;"|"&amp;I484,0),0)),"No en catálogo"))</f>
      </c>
      <c r="N484" s="20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9"/>
      <c r="Z484" s="19"/>
      <c r="AA484" s="15"/>
      <c r="AB484" s="15"/>
      <c r="AC484" s="15"/>
      <c r="AD484" s="15"/>
      <c r="AE484" s="15"/>
      <c r="AF484" s="19"/>
      <c r="AG484" s="19"/>
      <c r="AH484" s="15"/>
      <c r="AI484" s="15"/>
      <c r="AJ484" s="15"/>
      <c r="AK484" s="15"/>
      <c r="AL484" s="21"/>
      <c r="AM484" s="15"/>
      <c r="AN484" s="15"/>
      <c r="AO484" s="15"/>
      <c r="AP484" s="15"/>
      <c r="AQ484" s="15"/>
      <c r="AR484" s="15"/>
      <c r="AS484" s="15"/>
      <c r="AT484" s="19" t="str">
        <f>IF(COUNTA(A484:I484)+COUNTA(N484:X484)+COUNTA(AA484:AE484)+COUNTA(AH484:AS484)=0,"",IF(AND(A484&lt;&gt;"",E484&lt;&gt;"",OR(F484&lt;&gt;"",G484&lt;&gt;""),H484&lt;&gt;"",I484&lt;&gt;"",J484&lt;&gt;"No en catálogo",S484&lt;&gt;"",T484&lt;&gt;"",U484&lt;&gt;"",V484&lt;&gt;"",OR(AR484&lt;&gt;"",AND(W484&lt;&gt;"",X484&lt;&gt;"",AA484&lt;&gt;"",AB484&lt;&gt;"")),OR(AS484&lt;&gt;"",AND(AD484&lt;&gt;"",AE484&lt;&gt;"",AH484&lt;&gt;"",AI484&lt;&gt;"")),AK484&lt;&gt;"",OR(AK484&lt;&gt;"programado",AL484&lt;&gt;""),OR(AM484&lt;&gt;"específica",AN484&lt;&gt;""),OR(AO484&lt;&gt;"específica",AP484&lt;&gt;"")),"OK","Revisar"))</f>
        <v/>
      </c>
    </row>
    <row r="485" ht="15" customHeight="1" spans="1:46" x14ac:dyDescent="0.25">
      <c r="A485" s="15"/>
      <c r="B485" s="15"/>
      <c r="C485" s="15"/>
      <c r="D485" s="15"/>
      <c r="E485" s="15"/>
      <c r="F485" s="15"/>
      <c r="G485" s="15"/>
      <c r="H485" s="15"/>
      <c r="I485" s="15"/>
      <c r="J485" s="19">
        <f>IF(OR(H485="",I485=""),"",IFERROR(INDEX(Catalogo_Vehiculos!$C$2:$C$1325,MATCH(TRUE(),INDEX(Catalogo_Vehiculos!$G$2:$G$1325=H485&amp;"|"&amp;I485,0),0)),"No en catálogo"))</f>
      </c>
      <c r="K485" s="19">
        <f>IF(OR(H485="",I485=""),"",IFERROR(INDEX(Catalogo_Vehiculos!$D$2:$D$1325,MATCH(TRUE(),INDEX(Catalogo_Vehiculos!$G$2:$G$1325=H485&amp;"|"&amp;I485,0),0)),"No en catálogo"))</f>
      </c>
      <c r="L485" s="19">
        <f>IF(OR(H485="",I485=""),"",IFERROR(INDEX(Catalogo_Vehiculos!$E$2:$E$1325,MATCH(TRUE(),INDEX(Catalogo_Vehiculos!$G$2:$G$1325=H485&amp;"|"&amp;I485,0),0)),"No en catálogo"))</f>
      </c>
      <c r="M485" s="19">
        <f>IF(OR(H485="",I485=""),"",IFERROR(INDEX(Catalogo_Vehiculos!$F$2:$F$1325,MATCH(TRUE(),INDEX(Catalogo_Vehiculos!$G$2:$G$1325=H485&amp;"|"&amp;I485,0),0)),"No en catálogo"))</f>
      </c>
      <c r="N485" s="20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9"/>
      <c r="Z485" s="19"/>
      <c r="AA485" s="15"/>
      <c r="AB485" s="15"/>
      <c r="AC485" s="15"/>
      <c r="AD485" s="15"/>
      <c r="AE485" s="15"/>
      <c r="AF485" s="19"/>
      <c r="AG485" s="19"/>
      <c r="AH485" s="15"/>
      <c r="AI485" s="15"/>
      <c r="AJ485" s="15"/>
      <c r="AK485" s="15"/>
      <c r="AL485" s="21"/>
      <c r="AM485" s="15"/>
      <c r="AN485" s="15"/>
      <c r="AO485" s="15"/>
      <c r="AP485" s="15"/>
      <c r="AQ485" s="15"/>
      <c r="AR485" s="15"/>
      <c r="AS485" s="15"/>
      <c r="AT485" s="19" t="str">
        <f>IF(COUNTA(A485:I485)+COUNTA(N485:X485)+COUNTA(AA485:AE485)+COUNTA(AH485:AS485)=0,"",IF(AND(A485&lt;&gt;"",E485&lt;&gt;"",OR(F485&lt;&gt;"",G485&lt;&gt;""),H485&lt;&gt;"",I485&lt;&gt;"",J485&lt;&gt;"No en catálogo",S485&lt;&gt;"",T485&lt;&gt;"",U485&lt;&gt;"",V485&lt;&gt;"",OR(AR485&lt;&gt;"",AND(W485&lt;&gt;"",X485&lt;&gt;"",AA485&lt;&gt;"",AB485&lt;&gt;"")),OR(AS485&lt;&gt;"",AND(AD485&lt;&gt;"",AE485&lt;&gt;"",AH485&lt;&gt;"",AI485&lt;&gt;"")),AK485&lt;&gt;"",OR(AK485&lt;&gt;"programado",AL485&lt;&gt;""),OR(AM485&lt;&gt;"específica",AN485&lt;&gt;""),OR(AO485&lt;&gt;"específica",AP485&lt;&gt;"")),"OK","Revisar"))</f>
        <v/>
      </c>
    </row>
    <row r="486" ht="15" customHeight="1" spans="1:46" x14ac:dyDescent="0.25">
      <c r="A486" s="15"/>
      <c r="B486" s="15"/>
      <c r="C486" s="15"/>
      <c r="D486" s="15"/>
      <c r="E486" s="15"/>
      <c r="F486" s="15"/>
      <c r="G486" s="15"/>
      <c r="H486" s="15"/>
      <c r="I486" s="15"/>
      <c r="J486" s="19">
        <f>IF(OR(H486="",I486=""),"",IFERROR(INDEX(Catalogo_Vehiculos!$C$2:$C$1325,MATCH(TRUE(),INDEX(Catalogo_Vehiculos!$G$2:$G$1325=H486&amp;"|"&amp;I486,0),0)),"No en catálogo"))</f>
      </c>
      <c r="K486" s="19">
        <f>IF(OR(H486="",I486=""),"",IFERROR(INDEX(Catalogo_Vehiculos!$D$2:$D$1325,MATCH(TRUE(),INDEX(Catalogo_Vehiculos!$G$2:$G$1325=H486&amp;"|"&amp;I486,0),0)),"No en catálogo"))</f>
      </c>
      <c r="L486" s="19">
        <f>IF(OR(H486="",I486=""),"",IFERROR(INDEX(Catalogo_Vehiculos!$E$2:$E$1325,MATCH(TRUE(),INDEX(Catalogo_Vehiculos!$G$2:$G$1325=H486&amp;"|"&amp;I486,0),0)),"No en catálogo"))</f>
      </c>
      <c r="M486" s="19">
        <f>IF(OR(H486="",I486=""),"",IFERROR(INDEX(Catalogo_Vehiculos!$F$2:$F$1325,MATCH(TRUE(),INDEX(Catalogo_Vehiculos!$G$2:$G$1325=H486&amp;"|"&amp;I486,0),0)),"No en catálogo"))</f>
      </c>
      <c r="N486" s="20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9"/>
      <c r="Z486" s="19"/>
      <c r="AA486" s="15"/>
      <c r="AB486" s="15"/>
      <c r="AC486" s="15"/>
      <c r="AD486" s="15"/>
      <c r="AE486" s="15"/>
      <c r="AF486" s="19"/>
      <c r="AG486" s="19"/>
      <c r="AH486" s="15"/>
      <c r="AI486" s="15"/>
      <c r="AJ486" s="15"/>
      <c r="AK486" s="15"/>
      <c r="AL486" s="21"/>
      <c r="AM486" s="15"/>
      <c r="AN486" s="15"/>
      <c r="AO486" s="15"/>
      <c r="AP486" s="15"/>
      <c r="AQ486" s="15"/>
      <c r="AR486" s="15"/>
      <c r="AS486" s="15"/>
      <c r="AT486" s="19" t="str">
        <f>IF(COUNTA(A486:I486)+COUNTA(N486:X486)+COUNTA(AA486:AE486)+COUNTA(AH486:AS486)=0,"",IF(AND(A486&lt;&gt;"",E486&lt;&gt;"",OR(F486&lt;&gt;"",G486&lt;&gt;""),H486&lt;&gt;"",I486&lt;&gt;"",J486&lt;&gt;"No en catálogo",S486&lt;&gt;"",T486&lt;&gt;"",U486&lt;&gt;"",V486&lt;&gt;"",OR(AR486&lt;&gt;"",AND(W486&lt;&gt;"",X486&lt;&gt;"",AA486&lt;&gt;"",AB486&lt;&gt;"")),OR(AS486&lt;&gt;"",AND(AD486&lt;&gt;"",AE486&lt;&gt;"",AH486&lt;&gt;"",AI486&lt;&gt;"")),AK486&lt;&gt;"",OR(AK486&lt;&gt;"programado",AL486&lt;&gt;""),OR(AM486&lt;&gt;"específica",AN486&lt;&gt;""),OR(AO486&lt;&gt;"específica",AP486&lt;&gt;"")),"OK","Revisar"))</f>
        <v/>
      </c>
    </row>
    <row r="487" ht="15" customHeight="1" spans="1:46" x14ac:dyDescent="0.25">
      <c r="A487" s="15"/>
      <c r="B487" s="15"/>
      <c r="C487" s="15"/>
      <c r="D487" s="15"/>
      <c r="E487" s="15"/>
      <c r="F487" s="15"/>
      <c r="G487" s="15"/>
      <c r="H487" s="15"/>
      <c r="I487" s="15"/>
      <c r="J487" s="19">
        <f>IF(OR(H487="",I487=""),"",IFERROR(INDEX(Catalogo_Vehiculos!$C$2:$C$1325,MATCH(TRUE(),INDEX(Catalogo_Vehiculos!$G$2:$G$1325=H487&amp;"|"&amp;I487,0),0)),"No en catálogo"))</f>
      </c>
      <c r="K487" s="19">
        <f>IF(OR(H487="",I487=""),"",IFERROR(INDEX(Catalogo_Vehiculos!$D$2:$D$1325,MATCH(TRUE(),INDEX(Catalogo_Vehiculos!$G$2:$G$1325=H487&amp;"|"&amp;I487,0),0)),"No en catálogo"))</f>
      </c>
      <c r="L487" s="19">
        <f>IF(OR(H487="",I487=""),"",IFERROR(INDEX(Catalogo_Vehiculos!$E$2:$E$1325,MATCH(TRUE(),INDEX(Catalogo_Vehiculos!$G$2:$G$1325=H487&amp;"|"&amp;I487,0),0)),"No en catálogo"))</f>
      </c>
      <c r="M487" s="19">
        <f>IF(OR(H487="",I487=""),"",IFERROR(INDEX(Catalogo_Vehiculos!$F$2:$F$1325,MATCH(TRUE(),INDEX(Catalogo_Vehiculos!$G$2:$G$1325=H487&amp;"|"&amp;I487,0),0)),"No en catálogo"))</f>
      </c>
      <c r="N487" s="20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9"/>
      <c r="Z487" s="19"/>
      <c r="AA487" s="15"/>
      <c r="AB487" s="15"/>
      <c r="AC487" s="15"/>
      <c r="AD487" s="15"/>
      <c r="AE487" s="15"/>
      <c r="AF487" s="19"/>
      <c r="AG487" s="19"/>
      <c r="AH487" s="15"/>
      <c r="AI487" s="15"/>
      <c r="AJ487" s="15"/>
      <c r="AK487" s="15"/>
      <c r="AL487" s="21"/>
      <c r="AM487" s="15"/>
      <c r="AN487" s="15"/>
      <c r="AO487" s="15"/>
      <c r="AP487" s="15"/>
      <c r="AQ487" s="15"/>
      <c r="AR487" s="15"/>
      <c r="AS487" s="15"/>
      <c r="AT487" s="19" t="str">
        <f>IF(COUNTA(A487:I487)+COUNTA(N487:X487)+COUNTA(AA487:AE487)+COUNTA(AH487:AS487)=0,"",IF(AND(A487&lt;&gt;"",E487&lt;&gt;"",OR(F487&lt;&gt;"",G487&lt;&gt;""),H487&lt;&gt;"",I487&lt;&gt;"",J487&lt;&gt;"No en catálogo",S487&lt;&gt;"",T487&lt;&gt;"",U487&lt;&gt;"",V487&lt;&gt;"",OR(AR487&lt;&gt;"",AND(W487&lt;&gt;"",X487&lt;&gt;"",AA487&lt;&gt;"",AB487&lt;&gt;"")),OR(AS487&lt;&gt;"",AND(AD487&lt;&gt;"",AE487&lt;&gt;"",AH487&lt;&gt;"",AI487&lt;&gt;"")),AK487&lt;&gt;"",OR(AK487&lt;&gt;"programado",AL487&lt;&gt;""),OR(AM487&lt;&gt;"específica",AN487&lt;&gt;""),OR(AO487&lt;&gt;"específica",AP487&lt;&gt;"")),"OK","Revisar"))</f>
        <v/>
      </c>
    </row>
    <row r="488" ht="15" customHeight="1" spans="1:46" x14ac:dyDescent="0.25">
      <c r="A488" s="15"/>
      <c r="B488" s="15"/>
      <c r="C488" s="15"/>
      <c r="D488" s="15"/>
      <c r="E488" s="15"/>
      <c r="F488" s="15"/>
      <c r="G488" s="15"/>
      <c r="H488" s="15"/>
      <c r="I488" s="15"/>
      <c r="J488" s="19">
        <f>IF(OR(H488="",I488=""),"",IFERROR(INDEX(Catalogo_Vehiculos!$C$2:$C$1325,MATCH(TRUE(),INDEX(Catalogo_Vehiculos!$G$2:$G$1325=H488&amp;"|"&amp;I488,0),0)),"No en catálogo"))</f>
      </c>
      <c r="K488" s="19">
        <f>IF(OR(H488="",I488=""),"",IFERROR(INDEX(Catalogo_Vehiculos!$D$2:$D$1325,MATCH(TRUE(),INDEX(Catalogo_Vehiculos!$G$2:$G$1325=H488&amp;"|"&amp;I488,0),0)),"No en catálogo"))</f>
      </c>
      <c r="L488" s="19">
        <f>IF(OR(H488="",I488=""),"",IFERROR(INDEX(Catalogo_Vehiculos!$E$2:$E$1325,MATCH(TRUE(),INDEX(Catalogo_Vehiculos!$G$2:$G$1325=H488&amp;"|"&amp;I488,0),0)),"No en catálogo"))</f>
      </c>
      <c r="M488" s="19">
        <f>IF(OR(H488="",I488=""),"",IFERROR(INDEX(Catalogo_Vehiculos!$F$2:$F$1325,MATCH(TRUE(),INDEX(Catalogo_Vehiculos!$G$2:$G$1325=H488&amp;"|"&amp;I488,0),0)),"No en catálogo"))</f>
      </c>
      <c r="N488" s="20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9"/>
      <c r="Z488" s="19"/>
      <c r="AA488" s="15"/>
      <c r="AB488" s="15"/>
      <c r="AC488" s="15"/>
      <c r="AD488" s="15"/>
      <c r="AE488" s="15"/>
      <c r="AF488" s="19"/>
      <c r="AG488" s="19"/>
      <c r="AH488" s="15"/>
      <c r="AI488" s="15"/>
      <c r="AJ488" s="15"/>
      <c r="AK488" s="15"/>
      <c r="AL488" s="21"/>
      <c r="AM488" s="15"/>
      <c r="AN488" s="15"/>
      <c r="AO488" s="15"/>
      <c r="AP488" s="15"/>
      <c r="AQ488" s="15"/>
      <c r="AR488" s="15"/>
      <c r="AS488" s="15"/>
      <c r="AT488" s="19" t="str">
        <f>IF(COUNTA(A488:I488)+COUNTA(N488:X488)+COUNTA(AA488:AE488)+COUNTA(AH488:AS488)=0,"",IF(AND(A488&lt;&gt;"",E488&lt;&gt;"",OR(F488&lt;&gt;"",G488&lt;&gt;""),H488&lt;&gt;"",I488&lt;&gt;"",J488&lt;&gt;"No en catálogo",S488&lt;&gt;"",T488&lt;&gt;"",U488&lt;&gt;"",V488&lt;&gt;"",OR(AR488&lt;&gt;"",AND(W488&lt;&gt;"",X488&lt;&gt;"",AA488&lt;&gt;"",AB488&lt;&gt;"")),OR(AS488&lt;&gt;"",AND(AD488&lt;&gt;"",AE488&lt;&gt;"",AH488&lt;&gt;"",AI488&lt;&gt;"")),AK488&lt;&gt;"",OR(AK488&lt;&gt;"programado",AL488&lt;&gt;""),OR(AM488&lt;&gt;"específica",AN488&lt;&gt;""),OR(AO488&lt;&gt;"específica",AP488&lt;&gt;"")),"OK","Revisar"))</f>
        <v/>
      </c>
    </row>
    <row r="489" ht="15" customHeight="1" spans="1:46" x14ac:dyDescent="0.25">
      <c r="A489" s="15"/>
      <c r="B489" s="15"/>
      <c r="C489" s="15"/>
      <c r="D489" s="15"/>
      <c r="E489" s="15"/>
      <c r="F489" s="15"/>
      <c r="G489" s="15"/>
      <c r="H489" s="15"/>
      <c r="I489" s="15"/>
      <c r="J489" s="19">
        <f>IF(OR(H489="",I489=""),"",IFERROR(INDEX(Catalogo_Vehiculos!$C$2:$C$1325,MATCH(TRUE(),INDEX(Catalogo_Vehiculos!$G$2:$G$1325=H489&amp;"|"&amp;I489,0),0)),"No en catálogo"))</f>
      </c>
      <c r="K489" s="19">
        <f>IF(OR(H489="",I489=""),"",IFERROR(INDEX(Catalogo_Vehiculos!$D$2:$D$1325,MATCH(TRUE(),INDEX(Catalogo_Vehiculos!$G$2:$G$1325=H489&amp;"|"&amp;I489,0),0)),"No en catálogo"))</f>
      </c>
      <c r="L489" s="19">
        <f>IF(OR(H489="",I489=""),"",IFERROR(INDEX(Catalogo_Vehiculos!$E$2:$E$1325,MATCH(TRUE(),INDEX(Catalogo_Vehiculos!$G$2:$G$1325=H489&amp;"|"&amp;I489,0),0)),"No en catálogo"))</f>
      </c>
      <c r="M489" s="19">
        <f>IF(OR(H489="",I489=""),"",IFERROR(INDEX(Catalogo_Vehiculos!$F$2:$F$1325,MATCH(TRUE(),INDEX(Catalogo_Vehiculos!$G$2:$G$1325=H489&amp;"|"&amp;I489,0),0)),"No en catálogo"))</f>
      </c>
      <c r="N489" s="20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9"/>
      <c r="Z489" s="19"/>
      <c r="AA489" s="15"/>
      <c r="AB489" s="15"/>
      <c r="AC489" s="15"/>
      <c r="AD489" s="15"/>
      <c r="AE489" s="15"/>
      <c r="AF489" s="19"/>
      <c r="AG489" s="19"/>
      <c r="AH489" s="15"/>
      <c r="AI489" s="15"/>
      <c r="AJ489" s="15"/>
      <c r="AK489" s="15"/>
      <c r="AL489" s="21"/>
      <c r="AM489" s="15"/>
      <c r="AN489" s="15"/>
      <c r="AO489" s="15"/>
      <c r="AP489" s="15"/>
      <c r="AQ489" s="15"/>
      <c r="AR489" s="15"/>
      <c r="AS489" s="15"/>
      <c r="AT489" s="19" t="str">
        <f>IF(COUNTA(A489:I489)+COUNTA(N489:X489)+COUNTA(AA489:AE489)+COUNTA(AH489:AS489)=0,"",IF(AND(A489&lt;&gt;"",E489&lt;&gt;"",OR(F489&lt;&gt;"",G489&lt;&gt;""),H489&lt;&gt;"",I489&lt;&gt;"",J489&lt;&gt;"No en catálogo",S489&lt;&gt;"",T489&lt;&gt;"",U489&lt;&gt;"",V489&lt;&gt;"",OR(AR489&lt;&gt;"",AND(W489&lt;&gt;"",X489&lt;&gt;"",AA489&lt;&gt;"",AB489&lt;&gt;"")),OR(AS489&lt;&gt;"",AND(AD489&lt;&gt;"",AE489&lt;&gt;"",AH489&lt;&gt;"",AI489&lt;&gt;"")),AK489&lt;&gt;"",OR(AK489&lt;&gt;"programado",AL489&lt;&gt;""),OR(AM489&lt;&gt;"específica",AN489&lt;&gt;""),OR(AO489&lt;&gt;"específica",AP489&lt;&gt;"")),"OK","Revisar"))</f>
        <v/>
      </c>
    </row>
    <row r="490" ht="15" customHeight="1" spans="1:46" x14ac:dyDescent="0.25">
      <c r="A490" s="15"/>
      <c r="B490" s="15"/>
      <c r="C490" s="15"/>
      <c r="D490" s="15"/>
      <c r="E490" s="15"/>
      <c r="F490" s="15"/>
      <c r="G490" s="15"/>
      <c r="H490" s="15"/>
      <c r="I490" s="15"/>
      <c r="J490" s="19">
        <f>IF(OR(H490="",I490=""),"",IFERROR(INDEX(Catalogo_Vehiculos!$C$2:$C$1325,MATCH(TRUE(),INDEX(Catalogo_Vehiculos!$G$2:$G$1325=H490&amp;"|"&amp;I490,0),0)),"No en catálogo"))</f>
      </c>
      <c r="K490" s="19">
        <f>IF(OR(H490="",I490=""),"",IFERROR(INDEX(Catalogo_Vehiculos!$D$2:$D$1325,MATCH(TRUE(),INDEX(Catalogo_Vehiculos!$G$2:$G$1325=H490&amp;"|"&amp;I490,0),0)),"No en catálogo"))</f>
      </c>
      <c r="L490" s="19">
        <f>IF(OR(H490="",I490=""),"",IFERROR(INDEX(Catalogo_Vehiculos!$E$2:$E$1325,MATCH(TRUE(),INDEX(Catalogo_Vehiculos!$G$2:$G$1325=H490&amp;"|"&amp;I490,0),0)),"No en catálogo"))</f>
      </c>
      <c r="M490" s="19">
        <f>IF(OR(H490="",I490=""),"",IFERROR(INDEX(Catalogo_Vehiculos!$F$2:$F$1325,MATCH(TRUE(),INDEX(Catalogo_Vehiculos!$G$2:$G$1325=H490&amp;"|"&amp;I490,0),0)),"No en catálogo"))</f>
      </c>
      <c r="N490" s="20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9"/>
      <c r="Z490" s="19"/>
      <c r="AA490" s="15"/>
      <c r="AB490" s="15"/>
      <c r="AC490" s="15"/>
      <c r="AD490" s="15"/>
      <c r="AE490" s="15"/>
      <c r="AF490" s="19"/>
      <c r="AG490" s="19"/>
      <c r="AH490" s="15"/>
      <c r="AI490" s="15"/>
      <c r="AJ490" s="15"/>
      <c r="AK490" s="15"/>
      <c r="AL490" s="21"/>
      <c r="AM490" s="15"/>
      <c r="AN490" s="15"/>
      <c r="AO490" s="15"/>
      <c r="AP490" s="15"/>
      <c r="AQ490" s="15"/>
      <c r="AR490" s="15"/>
      <c r="AS490" s="15"/>
      <c r="AT490" s="19" t="str">
        <f>IF(COUNTA(A490:I490)+COUNTA(N490:X490)+COUNTA(AA490:AE490)+COUNTA(AH490:AS490)=0,"",IF(AND(A490&lt;&gt;"",E490&lt;&gt;"",OR(F490&lt;&gt;"",G490&lt;&gt;""),H490&lt;&gt;"",I490&lt;&gt;"",J490&lt;&gt;"No en catálogo",S490&lt;&gt;"",T490&lt;&gt;"",U490&lt;&gt;"",V490&lt;&gt;"",OR(AR490&lt;&gt;"",AND(W490&lt;&gt;"",X490&lt;&gt;"",AA490&lt;&gt;"",AB490&lt;&gt;"")),OR(AS490&lt;&gt;"",AND(AD490&lt;&gt;"",AE490&lt;&gt;"",AH490&lt;&gt;"",AI490&lt;&gt;"")),AK490&lt;&gt;"",OR(AK490&lt;&gt;"programado",AL490&lt;&gt;""),OR(AM490&lt;&gt;"específica",AN490&lt;&gt;""),OR(AO490&lt;&gt;"específica",AP490&lt;&gt;"")),"OK","Revisar"))</f>
        <v/>
      </c>
    </row>
    <row r="491" ht="15" customHeight="1" spans="1:46" x14ac:dyDescent="0.25">
      <c r="A491" s="15"/>
      <c r="B491" s="15"/>
      <c r="C491" s="15"/>
      <c r="D491" s="15"/>
      <c r="E491" s="15"/>
      <c r="F491" s="15"/>
      <c r="G491" s="15"/>
      <c r="H491" s="15"/>
      <c r="I491" s="15"/>
      <c r="J491" s="19">
        <f>IF(OR(H491="",I491=""),"",IFERROR(INDEX(Catalogo_Vehiculos!$C$2:$C$1325,MATCH(TRUE(),INDEX(Catalogo_Vehiculos!$G$2:$G$1325=H491&amp;"|"&amp;I491,0),0)),"No en catálogo"))</f>
      </c>
      <c r="K491" s="19">
        <f>IF(OR(H491="",I491=""),"",IFERROR(INDEX(Catalogo_Vehiculos!$D$2:$D$1325,MATCH(TRUE(),INDEX(Catalogo_Vehiculos!$G$2:$G$1325=H491&amp;"|"&amp;I491,0),0)),"No en catálogo"))</f>
      </c>
      <c r="L491" s="19">
        <f>IF(OR(H491="",I491=""),"",IFERROR(INDEX(Catalogo_Vehiculos!$E$2:$E$1325,MATCH(TRUE(),INDEX(Catalogo_Vehiculos!$G$2:$G$1325=H491&amp;"|"&amp;I491,0),0)),"No en catálogo"))</f>
      </c>
      <c r="M491" s="19">
        <f>IF(OR(H491="",I491=""),"",IFERROR(INDEX(Catalogo_Vehiculos!$F$2:$F$1325,MATCH(TRUE(),INDEX(Catalogo_Vehiculos!$G$2:$G$1325=H491&amp;"|"&amp;I491,0),0)),"No en catálogo"))</f>
      </c>
      <c r="N491" s="20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9"/>
      <c r="Z491" s="19"/>
      <c r="AA491" s="15"/>
      <c r="AB491" s="15"/>
      <c r="AC491" s="15"/>
      <c r="AD491" s="15"/>
      <c r="AE491" s="15"/>
      <c r="AF491" s="19"/>
      <c r="AG491" s="19"/>
      <c r="AH491" s="15"/>
      <c r="AI491" s="15"/>
      <c r="AJ491" s="15"/>
      <c r="AK491" s="15"/>
      <c r="AL491" s="21"/>
      <c r="AM491" s="15"/>
      <c r="AN491" s="15"/>
      <c r="AO491" s="15"/>
      <c r="AP491" s="15"/>
      <c r="AQ491" s="15"/>
      <c r="AR491" s="15"/>
      <c r="AS491" s="15"/>
      <c r="AT491" s="19" t="str">
        <f>IF(COUNTA(A491:I491)+COUNTA(N491:X491)+COUNTA(AA491:AE491)+COUNTA(AH491:AS491)=0,"",IF(AND(A491&lt;&gt;"",E491&lt;&gt;"",OR(F491&lt;&gt;"",G491&lt;&gt;""),H491&lt;&gt;"",I491&lt;&gt;"",J491&lt;&gt;"No en catálogo",S491&lt;&gt;"",T491&lt;&gt;"",U491&lt;&gt;"",V491&lt;&gt;"",OR(AR491&lt;&gt;"",AND(W491&lt;&gt;"",X491&lt;&gt;"",AA491&lt;&gt;"",AB491&lt;&gt;"")),OR(AS491&lt;&gt;"",AND(AD491&lt;&gt;"",AE491&lt;&gt;"",AH491&lt;&gt;"",AI491&lt;&gt;"")),AK491&lt;&gt;"",OR(AK491&lt;&gt;"programado",AL491&lt;&gt;""),OR(AM491&lt;&gt;"específica",AN491&lt;&gt;""),OR(AO491&lt;&gt;"específica",AP491&lt;&gt;"")),"OK","Revisar"))</f>
        <v/>
      </c>
    </row>
    <row r="492" ht="15" customHeight="1" spans="1:46" x14ac:dyDescent="0.25">
      <c r="A492" s="15"/>
      <c r="B492" s="15"/>
      <c r="C492" s="15"/>
      <c r="D492" s="15"/>
      <c r="E492" s="15"/>
      <c r="F492" s="15"/>
      <c r="G492" s="15"/>
      <c r="H492" s="15"/>
      <c r="I492" s="15"/>
      <c r="J492" s="19">
        <f>IF(OR(H492="",I492=""),"",IFERROR(INDEX(Catalogo_Vehiculos!$C$2:$C$1325,MATCH(TRUE(),INDEX(Catalogo_Vehiculos!$G$2:$G$1325=H492&amp;"|"&amp;I492,0),0)),"No en catálogo"))</f>
      </c>
      <c r="K492" s="19">
        <f>IF(OR(H492="",I492=""),"",IFERROR(INDEX(Catalogo_Vehiculos!$D$2:$D$1325,MATCH(TRUE(),INDEX(Catalogo_Vehiculos!$G$2:$G$1325=H492&amp;"|"&amp;I492,0),0)),"No en catálogo"))</f>
      </c>
      <c r="L492" s="19">
        <f>IF(OR(H492="",I492=""),"",IFERROR(INDEX(Catalogo_Vehiculos!$E$2:$E$1325,MATCH(TRUE(),INDEX(Catalogo_Vehiculos!$G$2:$G$1325=H492&amp;"|"&amp;I492,0),0)),"No en catálogo"))</f>
      </c>
      <c r="M492" s="19">
        <f>IF(OR(H492="",I492=""),"",IFERROR(INDEX(Catalogo_Vehiculos!$F$2:$F$1325,MATCH(TRUE(),INDEX(Catalogo_Vehiculos!$G$2:$G$1325=H492&amp;"|"&amp;I492,0),0)),"No en catálogo"))</f>
      </c>
      <c r="N492" s="20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9"/>
      <c r="Z492" s="19"/>
      <c r="AA492" s="15"/>
      <c r="AB492" s="15"/>
      <c r="AC492" s="15"/>
      <c r="AD492" s="15"/>
      <c r="AE492" s="15"/>
      <c r="AF492" s="19"/>
      <c r="AG492" s="19"/>
      <c r="AH492" s="15"/>
      <c r="AI492" s="15"/>
      <c r="AJ492" s="15"/>
      <c r="AK492" s="15"/>
      <c r="AL492" s="21"/>
      <c r="AM492" s="15"/>
      <c r="AN492" s="15"/>
      <c r="AO492" s="15"/>
      <c r="AP492" s="15"/>
      <c r="AQ492" s="15"/>
      <c r="AR492" s="15"/>
      <c r="AS492" s="15"/>
      <c r="AT492" s="19" t="str">
        <f>IF(COUNTA(A492:I492)+COUNTA(N492:X492)+COUNTA(AA492:AE492)+COUNTA(AH492:AS492)=0,"",IF(AND(A492&lt;&gt;"",E492&lt;&gt;"",OR(F492&lt;&gt;"",G492&lt;&gt;""),H492&lt;&gt;"",I492&lt;&gt;"",J492&lt;&gt;"No en catálogo",S492&lt;&gt;"",T492&lt;&gt;"",U492&lt;&gt;"",V492&lt;&gt;"",OR(AR492&lt;&gt;"",AND(W492&lt;&gt;"",X492&lt;&gt;"",AA492&lt;&gt;"",AB492&lt;&gt;"")),OR(AS492&lt;&gt;"",AND(AD492&lt;&gt;"",AE492&lt;&gt;"",AH492&lt;&gt;"",AI492&lt;&gt;"")),AK492&lt;&gt;"",OR(AK492&lt;&gt;"programado",AL492&lt;&gt;""),OR(AM492&lt;&gt;"específica",AN492&lt;&gt;""),OR(AO492&lt;&gt;"específica",AP492&lt;&gt;"")),"OK","Revisar"))</f>
        <v/>
      </c>
    </row>
    <row r="493" ht="15" customHeight="1" spans="1:46" x14ac:dyDescent="0.25">
      <c r="A493" s="15"/>
      <c r="B493" s="15"/>
      <c r="C493" s="15"/>
      <c r="D493" s="15"/>
      <c r="E493" s="15"/>
      <c r="F493" s="15"/>
      <c r="G493" s="15"/>
      <c r="H493" s="15"/>
      <c r="I493" s="15"/>
      <c r="J493" s="19">
        <f>IF(OR(H493="",I493=""),"",IFERROR(INDEX(Catalogo_Vehiculos!$C$2:$C$1325,MATCH(TRUE(),INDEX(Catalogo_Vehiculos!$G$2:$G$1325=H493&amp;"|"&amp;I493,0),0)),"No en catálogo"))</f>
      </c>
      <c r="K493" s="19">
        <f>IF(OR(H493="",I493=""),"",IFERROR(INDEX(Catalogo_Vehiculos!$D$2:$D$1325,MATCH(TRUE(),INDEX(Catalogo_Vehiculos!$G$2:$G$1325=H493&amp;"|"&amp;I493,0),0)),"No en catálogo"))</f>
      </c>
      <c r="L493" s="19">
        <f>IF(OR(H493="",I493=""),"",IFERROR(INDEX(Catalogo_Vehiculos!$E$2:$E$1325,MATCH(TRUE(),INDEX(Catalogo_Vehiculos!$G$2:$G$1325=H493&amp;"|"&amp;I493,0),0)),"No en catálogo"))</f>
      </c>
      <c r="M493" s="19">
        <f>IF(OR(H493="",I493=""),"",IFERROR(INDEX(Catalogo_Vehiculos!$F$2:$F$1325,MATCH(TRUE(),INDEX(Catalogo_Vehiculos!$G$2:$G$1325=H493&amp;"|"&amp;I493,0),0)),"No en catálogo"))</f>
      </c>
      <c r="N493" s="20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9"/>
      <c r="Z493" s="19"/>
      <c r="AA493" s="15"/>
      <c r="AB493" s="15"/>
      <c r="AC493" s="15"/>
      <c r="AD493" s="15"/>
      <c r="AE493" s="15"/>
      <c r="AF493" s="19"/>
      <c r="AG493" s="19"/>
      <c r="AH493" s="15"/>
      <c r="AI493" s="15"/>
      <c r="AJ493" s="15"/>
      <c r="AK493" s="15"/>
      <c r="AL493" s="21"/>
      <c r="AM493" s="15"/>
      <c r="AN493" s="15"/>
      <c r="AO493" s="15"/>
      <c r="AP493" s="15"/>
      <c r="AQ493" s="15"/>
      <c r="AR493" s="15"/>
      <c r="AS493" s="15"/>
      <c r="AT493" s="19" t="str">
        <f>IF(COUNTA(A493:I493)+COUNTA(N493:X493)+COUNTA(AA493:AE493)+COUNTA(AH493:AS493)=0,"",IF(AND(A493&lt;&gt;"",E493&lt;&gt;"",OR(F493&lt;&gt;"",G493&lt;&gt;""),H493&lt;&gt;"",I493&lt;&gt;"",J493&lt;&gt;"No en catálogo",S493&lt;&gt;"",T493&lt;&gt;"",U493&lt;&gt;"",V493&lt;&gt;"",OR(AR493&lt;&gt;"",AND(W493&lt;&gt;"",X493&lt;&gt;"",AA493&lt;&gt;"",AB493&lt;&gt;"")),OR(AS493&lt;&gt;"",AND(AD493&lt;&gt;"",AE493&lt;&gt;"",AH493&lt;&gt;"",AI493&lt;&gt;"")),AK493&lt;&gt;"",OR(AK493&lt;&gt;"programado",AL493&lt;&gt;""),OR(AM493&lt;&gt;"específica",AN493&lt;&gt;""),OR(AO493&lt;&gt;"específica",AP493&lt;&gt;"")),"OK","Revisar"))</f>
        <v/>
      </c>
    </row>
    <row r="494" ht="15" customHeight="1" spans="1:46" x14ac:dyDescent="0.25">
      <c r="A494" s="15"/>
      <c r="B494" s="15"/>
      <c r="C494" s="15"/>
      <c r="D494" s="15"/>
      <c r="E494" s="15"/>
      <c r="F494" s="15"/>
      <c r="G494" s="15"/>
      <c r="H494" s="15"/>
      <c r="I494" s="15"/>
      <c r="J494" s="19">
        <f>IF(OR(H494="",I494=""),"",IFERROR(INDEX(Catalogo_Vehiculos!$C$2:$C$1325,MATCH(TRUE(),INDEX(Catalogo_Vehiculos!$G$2:$G$1325=H494&amp;"|"&amp;I494,0),0)),"No en catálogo"))</f>
      </c>
      <c r="K494" s="19">
        <f>IF(OR(H494="",I494=""),"",IFERROR(INDEX(Catalogo_Vehiculos!$D$2:$D$1325,MATCH(TRUE(),INDEX(Catalogo_Vehiculos!$G$2:$G$1325=H494&amp;"|"&amp;I494,0),0)),"No en catálogo"))</f>
      </c>
      <c r="L494" s="19">
        <f>IF(OR(H494="",I494=""),"",IFERROR(INDEX(Catalogo_Vehiculos!$E$2:$E$1325,MATCH(TRUE(),INDEX(Catalogo_Vehiculos!$G$2:$G$1325=H494&amp;"|"&amp;I494,0),0)),"No en catálogo"))</f>
      </c>
      <c r="M494" s="19">
        <f>IF(OR(H494="",I494=""),"",IFERROR(INDEX(Catalogo_Vehiculos!$F$2:$F$1325,MATCH(TRUE(),INDEX(Catalogo_Vehiculos!$G$2:$G$1325=H494&amp;"|"&amp;I494,0),0)),"No en catálogo"))</f>
      </c>
      <c r="N494" s="20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9"/>
      <c r="Z494" s="19"/>
      <c r="AA494" s="15"/>
      <c r="AB494" s="15"/>
      <c r="AC494" s="15"/>
      <c r="AD494" s="15"/>
      <c r="AE494" s="15"/>
      <c r="AF494" s="19"/>
      <c r="AG494" s="19"/>
      <c r="AH494" s="15"/>
      <c r="AI494" s="15"/>
      <c r="AJ494" s="15"/>
      <c r="AK494" s="15"/>
      <c r="AL494" s="21"/>
      <c r="AM494" s="15"/>
      <c r="AN494" s="15"/>
      <c r="AO494" s="15"/>
      <c r="AP494" s="15"/>
      <c r="AQ494" s="15"/>
      <c r="AR494" s="15"/>
      <c r="AS494" s="15"/>
      <c r="AT494" s="19" t="str">
        <f>IF(COUNTA(A494:I494)+COUNTA(N494:X494)+COUNTA(AA494:AE494)+COUNTA(AH494:AS494)=0,"",IF(AND(A494&lt;&gt;"",E494&lt;&gt;"",OR(F494&lt;&gt;"",G494&lt;&gt;""),H494&lt;&gt;"",I494&lt;&gt;"",J494&lt;&gt;"No en catálogo",S494&lt;&gt;"",T494&lt;&gt;"",U494&lt;&gt;"",V494&lt;&gt;"",OR(AR494&lt;&gt;"",AND(W494&lt;&gt;"",X494&lt;&gt;"",AA494&lt;&gt;"",AB494&lt;&gt;"")),OR(AS494&lt;&gt;"",AND(AD494&lt;&gt;"",AE494&lt;&gt;"",AH494&lt;&gt;"",AI494&lt;&gt;"")),AK494&lt;&gt;"",OR(AK494&lt;&gt;"programado",AL494&lt;&gt;""),OR(AM494&lt;&gt;"específica",AN494&lt;&gt;""),OR(AO494&lt;&gt;"específica",AP494&lt;&gt;"")),"OK","Revisar"))</f>
        <v/>
      </c>
    </row>
    <row r="495" ht="15" customHeight="1" spans="1:46" x14ac:dyDescent="0.25">
      <c r="A495" s="15"/>
      <c r="B495" s="15"/>
      <c r="C495" s="15"/>
      <c r="D495" s="15"/>
      <c r="E495" s="15"/>
      <c r="F495" s="15"/>
      <c r="G495" s="15"/>
      <c r="H495" s="15"/>
      <c r="I495" s="15"/>
      <c r="J495" s="19">
        <f>IF(OR(H495="",I495=""),"",IFERROR(INDEX(Catalogo_Vehiculos!$C$2:$C$1325,MATCH(TRUE(),INDEX(Catalogo_Vehiculos!$G$2:$G$1325=H495&amp;"|"&amp;I495,0),0)),"No en catálogo"))</f>
      </c>
      <c r="K495" s="19">
        <f>IF(OR(H495="",I495=""),"",IFERROR(INDEX(Catalogo_Vehiculos!$D$2:$D$1325,MATCH(TRUE(),INDEX(Catalogo_Vehiculos!$G$2:$G$1325=H495&amp;"|"&amp;I495,0),0)),"No en catálogo"))</f>
      </c>
      <c r="L495" s="19">
        <f>IF(OR(H495="",I495=""),"",IFERROR(INDEX(Catalogo_Vehiculos!$E$2:$E$1325,MATCH(TRUE(),INDEX(Catalogo_Vehiculos!$G$2:$G$1325=H495&amp;"|"&amp;I495,0),0)),"No en catálogo"))</f>
      </c>
      <c r="M495" s="19">
        <f>IF(OR(H495="",I495=""),"",IFERROR(INDEX(Catalogo_Vehiculos!$F$2:$F$1325,MATCH(TRUE(),INDEX(Catalogo_Vehiculos!$G$2:$G$1325=H495&amp;"|"&amp;I495,0),0)),"No en catálogo"))</f>
      </c>
      <c r="N495" s="20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9"/>
      <c r="Z495" s="19"/>
      <c r="AA495" s="15"/>
      <c r="AB495" s="15"/>
      <c r="AC495" s="15"/>
      <c r="AD495" s="15"/>
      <c r="AE495" s="15"/>
      <c r="AF495" s="19"/>
      <c r="AG495" s="19"/>
      <c r="AH495" s="15"/>
      <c r="AI495" s="15"/>
      <c r="AJ495" s="15"/>
      <c r="AK495" s="15"/>
      <c r="AL495" s="21"/>
      <c r="AM495" s="15"/>
      <c r="AN495" s="15"/>
      <c r="AO495" s="15"/>
      <c r="AP495" s="15"/>
      <c r="AQ495" s="15"/>
      <c r="AR495" s="15"/>
      <c r="AS495" s="15"/>
      <c r="AT495" s="19" t="str">
        <f>IF(COUNTA(A495:I495)+COUNTA(N495:X495)+COUNTA(AA495:AE495)+COUNTA(AH495:AS495)=0,"",IF(AND(A495&lt;&gt;"",E495&lt;&gt;"",OR(F495&lt;&gt;"",G495&lt;&gt;""),H495&lt;&gt;"",I495&lt;&gt;"",J495&lt;&gt;"No en catálogo",S495&lt;&gt;"",T495&lt;&gt;"",U495&lt;&gt;"",V495&lt;&gt;"",OR(AR495&lt;&gt;"",AND(W495&lt;&gt;"",X495&lt;&gt;"",AA495&lt;&gt;"",AB495&lt;&gt;"")),OR(AS495&lt;&gt;"",AND(AD495&lt;&gt;"",AE495&lt;&gt;"",AH495&lt;&gt;"",AI495&lt;&gt;"")),AK495&lt;&gt;"",OR(AK495&lt;&gt;"programado",AL495&lt;&gt;""),OR(AM495&lt;&gt;"específica",AN495&lt;&gt;""),OR(AO495&lt;&gt;"específica",AP495&lt;&gt;"")),"OK","Revisar"))</f>
        <v/>
      </c>
    </row>
    <row r="496" ht="15" customHeight="1" spans="1:46" x14ac:dyDescent="0.25">
      <c r="A496" s="15"/>
      <c r="B496" s="15"/>
      <c r="C496" s="15"/>
      <c r="D496" s="15"/>
      <c r="E496" s="15"/>
      <c r="F496" s="15"/>
      <c r="G496" s="15"/>
      <c r="H496" s="15"/>
      <c r="I496" s="15"/>
      <c r="J496" s="19">
        <f>IF(OR(H496="",I496=""),"",IFERROR(INDEX(Catalogo_Vehiculos!$C$2:$C$1325,MATCH(TRUE(),INDEX(Catalogo_Vehiculos!$G$2:$G$1325=H496&amp;"|"&amp;I496,0),0)),"No en catálogo"))</f>
      </c>
      <c r="K496" s="19">
        <f>IF(OR(H496="",I496=""),"",IFERROR(INDEX(Catalogo_Vehiculos!$D$2:$D$1325,MATCH(TRUE(),INDEX(Catalogo_Vehiculos!$G$2:$G$1325=H496&amp;"|"&amp;I496,0),0)),"No en catálogo"))</f>
      </c>
      <c r="L496" s="19">
        <f>IF(OR(H496="",I496=""),"",IFERROR(INDEX(Catalogo_Vehiculos!$E$2:$E$1325,MATCH(TRUE(),INDEX(Catalogo_Vehiculos!$G$2:$G$1325=H496&amp;"|"&amp;I496,0),0)),"No en catálogo"))</f>
      </c>
      <c r="M496" s="19">
        <f>IF(OR(H496="",I496=""),"",IFERROR(INDEX(Catalogo_Vehiculos!$F$2:$F$1325,MATCH(TRUE(),INDEX(Catalogo_Vehiculos!$G$2:$G$1325=H496&amp;"|"&amp;I496,0),0)),"No en catálogo"))</f>
      </c>
      <c r="N496" s="20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9"/>
      <c r="Z496" s="19"/>
      <c r="AA496" s="15"/>
      <c r="AB496" s="15"/>
      <c r="AC496" s="15"/>
      <c r="AD496" s="15"/>
      <c r="AE496" s="15"/>
      <c r="AF496" s="19"/>
      <c r="AG496" s="19"/>
      <c r="AH496" s="15"/>
      <c r="AI496" s="15"/>
      <c r="AJ496" s="15"/>
      <c r="AK496" s="15"/>
      <c r="AL496" s="21"/>
      <c r="AM496" s="15"/>
      <c r="AN496" s="15"/>
      <c r="AO496" s="15"/>
      <c r="AP496" s="15"/>
      <c r="AQ496" s="15"/>
      <c r="AR496" s="15"/>
      <c r="AS496" s="15"/>
      <c r="AT496" s="19" t="str">
        <f>IF(COUNTA(A496:I496)+COUNTA(N496:X496)+COUNTA(AA496:AE496)+COUNTA(AH496:AS496)=0,"",IF(AND(A496&lt;&gt;"",E496&lt;&gt;"",OR(F496&lt;&gt;"",G496&lt;&gt;""),H496&lt;&gt;"",I496&lt;&gt;"",J496&lt;&gt;"No en catálogo",S496&lt;&gt;"",T496&lt;&gt;"",U496&lt;&gt;"",V496&lt;&gt;"",OR(AR496&lt;&gt;"",AND(W496&lt;&gt;"",X496&lt;&gt;"",AA496&lt;&gt;"",AB496&lt;&gt;"")),OR(AS496&lt;&gt;"",AND(AD496&lt;&gt;"",AE496&lt;&gt;"",AH496&lt;&gt;"",AI496&lt;&gt;"")),AK496&lt;&gt;"",OR(AK496&lt;&gt;"programado",AL496&lt;&gt;""),OR(AM496&lt;&gt;"específica",AN496&lt;&gt;""),OR(AO496&lt;&gt;"específica",AP496&lt;&gt;"")),"OK","Revisar"))</f>
        <v/>
      </c>
    </row>
    <row r="497" ht="15" customHeight="1" spans="1:46" x14ac:dyDescent="0.25">
      <c r="A497" s="15"/>
      <c r="B497" s="15"/>
      <c r="C497" s="15"/>
      <c r="D497" s="15"/>
      <c r="E497" s="15"/>
      <c r="F497" s="15"/>
      <c r="G497" s="15"/>
      <c r="H497" s="15"/>
      <c r="I497" s="15"/>
      <c r="J497" s="19">
        <f>IF(OR(H497="",I497=""),"",IFERROR(INDEX(Catalogo_Vehiculos!$C$2:$C$1325,MATCH(TRUE(),INDEX(Catalogo_Vehiculos!$G$2:$G$1325=H497&amp;"|"&amp;I497,0),0)),"No en catálogo"))</f>
      </c>
      <c r="K497" s="19">
        <f>IF(OR(H497="",I497=""),"",IFERROR(INDEX(Catalogo_Vehiculos!$D$2:$D$1325,MATCH(TRUE(),INDEX(Catalogo_Vehiculos!$G$2:$G$1325=H497&amp;"|"&amp;I497,0),0)),"No en catálogo"))</f>
      </c>
      <c r="L497" s="19">
        <f>IF(OR(H497="",I497=""),"",IFERROR(INDEX(Catalogo_Vehiculos!$E$2:$E$1325,MATCH(TRUE(),INDEX(Catalogo_Vehiculos!$G$2:$G$1325=H497&amp;"|"&amp;I497,0),0)),"No en catálogo"))</f>
      </c>
      <c r="M497" s="19">
        <f>IF(OR(H497="",I497=""),"",IFERROR(INDEX(Catalogo_Vehiculos!$F$2:$F$1325,MATCH(TRUE(),INDEX(Catalogo_Vehiculos!$G$2:$G$1325=H497&amp;"|"&amp;I497,0),0)),"No en catálogo"))</f>
      </c>
      <c r="N497" s="20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9"/>
      <c r="Z497" s="19"/>
      <c r="AA497" s="15"/>
      <c r="AB497" s="15"/>
      <c r="AC497" s="15"/>
      <c r="AD497" s="15"/>
      <c r="AE497" s="15"/>
      <c r="AF497" s="19"/>
      <c r="AG497" s="19"/>
      <c r="AH497" s="15"/>
      <c r="AI497" s="15"/>
      <c r="AJ497" s="15"/>
      <c r="AK497" s="15"/>
      <c r="AL497" s="21"/>
      <c r="AM497" s="15"/>
      <c r="AN497" s="15"/>
      <c r="AO497" s="15"/>
      <c r="AP497" s="15"/>
      <c r="AQ497" s="15"/>
      <c r="AR497" s="15"/>
      <c r="AS497" s="15"/>
      <c r="AT497" s="19" t="str">
        <f>IF(COUNTA(A497:I497)+COUNTA(N497:X497)+COUNTA(AA497:AE497)+COUNTA(AH497:AS497)=0,"",IF(AND(A497&lt;&gt;"",E497&lt;&gt;"",OR(F497&lt;&gt;"",G497&lt;&gt;""),H497&lt;&gt;"",I497&lt;&gt;"",J497&lt;&gt;"No en catálogo",S497&lt;&gt;"",T497&lt;&gt;"",U497&lt;&gt;"",V497&lt;&gt;"",OR(AR497&lt;&gt;"",AND(W497&lt;&gt;"",X497&lt;&gt;"",AA497&lt;&gt;"",AB497&lt;&gt;"")),OR(AS497&lt;&gt;"",AND(AD497&lt;&gt;"",AE497&lt;&gt;"",AH497&lt;&gt;"",AI497&lt;&gt;"")),AK497&lt;&gt;"",OR(AK497&lt;&gt;"programado",AL497&lt;&gt;""),OR(AM497&lt;&gt;"específica",AN497&lt;&gt;""),OR(AO497&lt;&gt;"específica",AP497&lt;&gt;"")),"OK","Revisar"))</f>
        <v/>
      </c>
    </row>
    <row r="498" ht="15" customHeight="1" spans="1:46" x14ac:dyDescent="0.25">
      <c r="A498" s="15"/>
      <c r="B498" s="15"/>
      <c r="C498" s="15"/>
      <c r="D498" s="15"/>
      <c r="E498" s="15"/>
      <c r="F498" s="15"/>
      <c r="G498" s="15"/>
      <c r="H498" s="15"/>
      <c r="I498" s="15"/>
      <c r="J498" s="19">
        <f>IF(OR(H498="",I498=""),"",IFERROR(INDEX(Catalogo_Vehiculos!$C$2:$C$1325,MATCH(TRUE(),INDEX(Catalogo_Vehiculos!$G$2:$G$1325=H498&amp;"|"&amp;I498,0),0)),"No en catálogo"))</f>
      </c>
      <c r="K498" s="19">
        <f>IF(OR(H498="",I498=""),"",IFERROR(INDEX(Catalogo_Vehiculos!$D$2:$D$1325,MATCH(TRUE(),INDEX(Catalogo_Vehiculos!$G$2:$G$1325=H498&amp;"|"&amp;I498,0),0)),"No en catálogo"))</f>
      </c>
      <c r="L498" s="19">
        <f>IF(OR(H498="",I498=""),"",IFERROR(INDEX(Catalogo_Vehiculos!$E$2:$E$1325,MATCH(TRUE(),INDEX(Catalogo_Vehiculos!$G$2:$G$1325=H498&amp;"|"&amp;I498,0),0)),"No en catálogo"))</f>
      </c>
      <c r="M498" s="19">
        <f>IF(OR(H498="",I498=""),"",IFERROR(INDEX(Catalogo_Vehiculos!$F$2:$F$1325,MATCH(TRUE(),INDEX(Catalogo_Vehiculos!$G$2:$G$1325=H498&amp;"|"&amp;I498,0),0)),"No en catálogo"))</f>
      </c>
      <c r="N498" s="20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9"/>
      <c r="Z498" s="19"/>
      <c r="AA498" s="15"/>
      <c r="AB498" s="15"/>
      <c r="AC498" s="15"/>
      <c r="AD498" s="15"/>
      <c r="AE498" s="15"/>
      <c r="AF498" s="19"/>
      <c r="AG498" s="19"/>
      <c r="AH498" s="15"/>
      <c r="AI498" s="15"/>
      <c r="AJ498" s="15"/>
      <c r="AK498" s="15"/>
      <c r="AL498" s="21"/>
      <c r="AM498" s="15"/>
      <c r="AN498" s="15"/>
      <c r="AO498" s="15"/>
      <c r="AP498" s="15"/>
      <c r="AQ498" s="15"/>
      <c r="AR498" s="15"/>
      <c r="AS498" s="15"/>
      <c r="AT498" s="19" t="str">
        <f>IF(COUNTA(A498:I498)+COUNTA(N498:X498)+COUNTA(AA498:AE498)+COUNTA(AH498:AS498)=0,"",IF(AND(A498&lt;&gt;"",E498&lt;&gt;"",OR(F498&lt;&gt;"",G498&lt;&gt;""),H498&lt;&gt;"",I498&lt;&gt;"",J498&lt;&gt;"No en catálogo",S498&lt;&gt;"",T498&lt;&gt;"",U498&lt;&gt;"",V498&lt;&gt;"",OR(AR498&lt;&gt;"",AND(W498&lt;&gt;"",X498&lt;&gt;"",AA498&lt;&gt;"",AB498&lt;&gt;"")),OR(AS498&lt;&gt;"",AND(AD498&lt;&gt;"",AE498&lt;&gt;"",AH498&lt;&gt;"",AI498&lt;&gt;"")),AK498&lt;&gt;"",OR(AK498&lt;&gt;"programado",AL498&lt;&gt;""),OR(AM498&lt;&gt;"específica",AN498&lt;&gt;""),OR(AO498&lt;&gt;"específica",AP498&lt;&gt;"")),"OK","Revisar"))</f>
        <v/>
      </c>
    </row>
    <row r="499" ht="15" customHeight="1" spans="1:46" x14ac:dyDescent="0.25">
      <c r="A499" s="15"/>
      <c r="B499" s="15"/>
      <c r="C499" s="15"/>
      <c r="D499" s="15"/>
      <c r="E499" s="15"/>
      <c r="F499" s="15"/>
      <c r="G499" s="15"/>
      <c r="H499" s="15"/>
      <c r="I499" s="15"/>
      <c r="J499" s="19">
        <f>IF(OR(H499="",I499=""),"",IFERROR(INDEX(Catalogo_Vehiculos!$C$2:$C$1325,MATCH(TRUE(),INDEX(Catalogo_Vehiculos!$G$2:$G$1325=H499&amp;"|"&amp;I499,0),0)),"No en catálogo"))</f>
      </c>
      <c r="K499" s="19">
        <f>IF(OR(H499="",I499=""),"",IFERROR(INDEX(Catalogo_Vehiculos!$D$2:$D$1325,MATCH(TRUE(),INDEX(Catalogo_Vehiculos!$G$2:$G$1325=H499&amp;"|"&amp;I499,0),0)),"No en catálogo"))</f>
      </c>
      <c r="L499" s="19">
        <f>IF(OR(H499="",I499=""),"",IFERROR(INDEX(Catalogo_Vehiculos!$E$2:$E$1325,MATCH(TRUE(),INDEX(Catalogo_Vehiculos!$G$2:$G$1325=H499&amp;"|"&amp;I499,0),0)),"No en catálogo"))</f>
      </c>
      <c r="M499" s="19">
        <f>IF(OR(H499="",I499=""),"",IFERROR(INDEX(Catalogo_Vehiculos!$F$2:$F$1325,MATCH(TRUE(),INDEX(Catalogo_Vehiculos!$G$2:$G$1325=H499&amp;"|"&amp;I499,0),0)),"No en catálogo"))</f>
      </c>
      <c r="N499" s="20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9"/>
      <c r="Z499" s="19"/>
      <c r="AA499" s="15"/>
      <c r="AB499" s="15"/>
      <c r="AC499" s="15"/>
      <c r="AD499" s="15"/>
      <c r="AE499" s="15"/>
      <c r="AF499" s="19"/>
      <c r="AG499" s="19"/>
      <c r="AH499" s="15"/>
      <c r="AI499" s="15"/>
      <c r="AJ499" s="15"/>
      <c r="AK499" s="15"/>
      <c r="AL499" s="21"/>
      <c r="AM499" s="15"/>
      <c r="AN499" s="15"/>
      <c r="AO499" s="15"/>
      <c r="AP499" s="15"/>
      <c r="AQ499" s="15"/>
      <c r="AR499" s="15"/>
      <c r="AS499" s="15"/>
      <c r="AT499" s="19" t="str">
        <f>IF(COUNTA(A499:I499)+COUNTA(N499:X499)+COUNTA(AA499:AE499)+COUNTA(AH499:AS499)=0,"",IF(AND(A499&lt;&gt;"",E499&lt;&gt;"",OR(F499&lt;&gt;"",G499&lt;&gt;""),H499&lt;&gt;"",I499&lt;&gt;"",J499&lt;&gt;"No en catálogo",S499&lt;&gt;"",T499&lt;&gt;"",U499&lt;&gt;"",V499&lt;&gt;"",OR(AR499&lt;&gt;"",AND(W499&lt;&gt;"",X499&lt;&gt;"",AA499&lt;&gt;"",AB499&lt;&gt;"")),OR(AS499&lt;&gt;"",AND(AD499&lt;&gt;"",AE499&lt;&gt;"",AH499&lt;&gt;"",AI499&lt;&gt;"")),AK499&lt;&gt;"",OR(AK499&lt;&gt;"programado",AL499&lt;&gt;""),OR(AM499&lt;&gt;"específica",AN499&lt;&gt;""),OR(AO499&lt;&gt;"específica",AP499&lt;&gt;"")),"OK","Revisar"))</f>
        <v/>
      </c>
    </row>
    <row r="500" ht="15" customHeight="1" spans="1:46" x14ac:dyDescent="0.25">
      <c r="A500" s="15"/>
      <c r="B500" s="15"/>
      <c r="C500" s="15"/>
      <c r="D500" s="15"/>
      <c r="E500" s="15"/>
      <c r="F500" s="15"/>
      <c r="G500" s="15"/>
      <c r="H500" s="15"/>
      <c r="I500" s="15"/>
      <c r="J500" s="19">
        <f>IF(OR(H500="",I500=""),"",IFERROR(INDEX(Catalogo_Vehiculos!$C$2:$C$1325,MATCH(TRUE(),INDEX(Catalogo_Vehiculos!$G$2:$G$1325=H500&amp;"|"&amp;I500,0),0)),"No en catálogo"))</f>
      </c>
      <c r="K500" s="19">
        <f>IF(OR(H500="",I500=""),"",IFERROR(INDEX(Catalogo_Vehiculos!$D$2:$D$1325,MATCH(TRUE(),INDEX(Catalogo_Vehiculos!$G$2:$G$1325=H500&amp;"|"&amp;I500,0),0)),"No en catálogo"))</f>
      </c>
      <c r="L500" s="19">
        <f>IF(OR(H500="",I500=""),"",IFERROR(INDEX(Catalogo_Vehiculos!$E$2:$E$1325,MATCH(TRUE(),INDEX(Catalogo_Vehiculos!$G$2:$G$1325=H500&amp;"|"&amp;I500,0),0)),"No en catálogo"))</f>
      </c>
      <c r="M500" s="19">
        <f>IF(OR(H500="",I500=""),"",IFERROR(INDEX(Catalogo_Vehiculos!$F$2:$F$1325,MATCH(TRUE(),INDEX(Catalogo_Vehiculos!$G$2:$G$1325=H500&amp;"|"&amp;I500,0),0)),"No en catálogo"))</f>
      </c>
      <c r="N500" s="20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9"/>
      <c r="Z500" s="19"/>
      <c r="AA500" s="15"/>
      <c r="AB500" s="15"/>
      <c r="AC500" s="15"/>
      <c r="AD500" s="15"/>
      <c r="AE500" s="15"/>
      <c r="AF500" s="19"/>
      <c r="AG500" s="19"/>
      <c r="AH500" s="15"/>
      <c r="AI500" s="15"/>
      <c r="AJ500" s="15"/>
      <c r="AK500" s="15"/>
      <c r="AL500" s="21"/>
      <c r="AM500" s="15"/>
      <c r="AN500" s="15"/>
      <c r="AO500" s="15"/>
      <c r="AP500" s="15"/>
      <c r="AQ500" s="15"/>
      <c r="AR500" s="15"/>
      <c r="AS500" s="15"/>
      <c r="AT500" s="19" t="str">
        <f>IF(COUNTA(A500:I500)+COUNTA(N500:X500)+COUNTA(AA500:AE500)+COUNTA(AH500:AS500)=0,"",IF(AND(A500&lt;&gt;"",E500&lt;&gt;"",OR(F500&lt;&gt;"",G500&lt;&gt;""),H500&lt;&gt;"",I500&lt;&gt;"",J500&lt;&gt;"No en catálogo",S500&lt;&gt;"",T500&lt;&gt;"",U500&lt;&gt;"",V500&lt;&gt;"",OR(AR500&lt;&gt;"",AND(W500&lt;&gt;"",X500&lt;&gt;"",AA500&lt;&gt;"",AB500&lt;&gt;"")),OR(AS500&lt;&gt;"",AND(AD500&lt;&gt;"",AE500&lt;&gt;"",AH500&lt;&gt;"",AI500&lt;&gt;"")),AK500&lt;&gt;"",OR(AK500&lt;&gt;"programado",AL500&lt;&gt;""),OR(AM500&lt;&gt;"específica",AN500&lt;&gt;""),OR(AO500&lt;&gt;"específica",AP500&lt;&gt;"")),"OK","Revisar"))</f>
        <v/>
      </c>
    </row>
    <row r="501" ht="15" customHeight="1" spans="1:46" x14ac:dyDescent="0.25">
      <c r="A501" s="15"/>
      <c r="B501" s="15"/>
      <c r="C501" s="15"/>
      <c r="D501" s="15"/>
      <c r="E501" s="15"/>
      <c r="F501" s="15"/>
      <c r="G501" s="15"/>
      <c r="H501" s="15"/>
      <c r="I501" s="15"/>
      <c r="J501" s="19">
        <f>IF(OR(H501="",I501=""),"",IFERROR(INDEX(Catalogo_Vehiculos!$C$2:$C$1325,MATCH(TRUE(),INDEX(Catalogo_Vehiculos!$G$2:$G$1325=H501&amp;"|"&amp;I501,0),0)),"No en catálogo"))</f>
      </c>
      <c r="K501" s="19">
        <f>IF(OR(H501="",I501=""),"",IFERROR(INDEX(Catalogo_Vehiculos!$D$2:$D$1325,MATCH(TRUE(),INDEX(Catalogo_Vehiculos!$G$2:$G$1325=H501&amp;"|"&amp;I501,0),0)),"No en catálogo"))</f>
      </c>
      <c r="L501" s="19">
        <f>IF(OR(H501="",I501=""),"",IFERROR(INDEX(Catalogo_Vehiculos!$E$2:$E$1325,MATCH(TRUE(),INDEX(Catalogo_Vehiculos!$G$2:$G$1325=H501&amp;"|"&amp;I501,0),0)),"No en catálogo"))</f>
      </c>
      <c r="M501" s="19">
        <f>IF(OR(H501="",I501=""),"",IFERROR(INDEX(Catalogo_Vehiculos!$F$2:$F$1325,MATCH(TRUE(),INDEX(Catalogo_Vehiculos!$G$2:$G$1325=H501&amp;"|"&amp;I501,0),0)),"No en catálogo"))</f>
      </c>
      <c r="N501" s="20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9"/>
      <c r="Z501" s="19"/>
      <c r="AA501" s="15"/>
      <c r="AB501" s="15"/>
      <c r="AC501" s="15"/>
      <c r="AD501" s="15"/>
      <c r="AE501" s="15"/>
      <c r="AF501" s="19"/>
      <c r="AG501" s="19"/>
      <c r="AH501" s="15"/>
      <c r="AI501" s="15"/>
      <c r="AJ501" s="15"/>
      <c r="AK501" s="15"/>
      <c r="AL501" s="21"/>
      <c r="AM501" s="15"/>
      <c r="AN501" s="15"/>
      <c r="AO501" s="15"/>
      <c r="AP501" s="15"/>
      <c r="AQ501" s="15"/>
      <c r="AR501" s="15"/>
      <c r="AS501" s="15"/>
      <c r="AT501" s="19" t="str">
        <f>IF(COUNTA(A501:I501)+COUNTA(N501:X501)+COUNTA(AA501:AE501)+COUNTA(AH501:AS501)=0,"",IF(AND(A501&lt;&gt;"",E501&lt;&gt;"",OR(F501&lt;&gt;"",G501&lt;&gt;""),H501&lt;&gt;"",I501&lt;&gt;"",J501&lt;&gt;"No en catálogo",S501&lt;&gt;"",T501&lt;&gt;"",U501&lt;&gt;"",V501&lt;&gt;"",OR(AR501&lt;&gt;"",AND(W501&lt;&gt;"",X501&lt;&gt;"",AA501&lt;&gt;"",AB501&lt;&gt;"")),OR(AS501&lt;&gt;"",AND(AD501&lt;&gt;"",AE501&lt;&gt;"",AH501&lt;&gt;"",AI501&lt;&gt;"")),AK501&lt;&gt;"",OR(AK501&lt;&gt;"programado",AL501&lt;&gt;""),OR(AM501&lt;&gt;"específica",AN501&lt;&gt;""),OR(AO501&lt;&gt;"específica",AP501&lt;&gt;"")),"OK","Revisar"))</f>
        <v/>
      </c>
    </row>
  </sheetData>
  <autoFilter ref="A1:AT501"/>
  <conditionalFormatting sqref="AT2:AT501">
    <cfRule type="cellIs" dxfId="0" priority="2" operator="equal">
      <formula>"OK"</formula>
    </cfRule>
    <cfRule type="cellIs" dxfId="1" priority="3" operator="equal">
      <formula>"Revisar"</formula>
    </cfRule>
  </conditionalFormatting>
  <conditionalFormatting sqref="J2:M501">
    <cfRule type="cellIs" dxfId="2" priority="4" operator="equal">
      <formula>"No en catálogo"</formula>
    </cfRule>
  </conditionalFormatting>
  <conditionalFormatting sqref="Y2:Z501">
    <cfRule type="cellIs" dxfId="3" priority="5" operator="equal">
      <formula>"CP no encontrado"</formula>
    </cfRule>
  </conditionalFormatting>
  <conditionalFormatting sqref="AF2:AG501">
    <cfRule type="cellIs" dxfId="4" priority="6" operator="equal">
      <formula>"CP no encontrado"</formula>
    </cfRule>
  </conditionalFormatting>
  <dataValidations count="38">
    <dataValidation type="custom" allowBlank="1" showErrorMessage="1" errorStyle="stop" errorTitle="Dato no válido" error="El código postal debe tener 5 dígitos (ej. 06700)." sqref="AD10:AD501">
      <formula1>AND(LEN(AD2)=5,ISNUMBER(VALUE(AD2)))</formula1>
      <formula2>0</formula2>
    </dataValidation>
    <dataValidation type="custom" allowBlank="1" showErrorMessage="1" errorStyle="stop" errorTitle="Dato no válido" error="El código postal debe tener 5 dígitos (ej. 06700)." sqref="AD2:AD501">
      <formula1>AND(LEN(AD2)=5,ISNUMBER(VALUE(AD2)))</formula1>
      <formula2>0</formula2>
    </dataValidation>
    <dataValidation type="list" allowBlank="1" showErrorMessage="1" errorStyle="stop" errorTitle="Dato no válido" error="Elige un valor de la lista." sqref="AK10:AK501">
      <formula1>Listas!$C$2:$C$3</formula1>
      <formula2>0</formula2>
    </dataValidation>
    <dataValidation type="list" allowBlank="1" showErrorMessage="1" errorStyle="stop" errorTitle="Dato no válido" error="Elige un valor de la lista." sqref="AK2:AK501">
      <formula1>Listas!$C$2:$C$3</formula1>
      <formula2>0</formula2>
    </dataValidation>
    <dataValidation type="date" operator="greaterThanOrEqual" allowBlank="1" showErrorMessage="1" errorStyle="stop" errorTitle="Dato no válido" error="Captura una fecha y hora futura (aaaa-mm-dd hh:mm)." sqref="AL10:AL501">
      <formula1>NaN</formula1>
      <formula2>0</formula2>
    </dataValidation>
    <dataValidation type="date" operator="greaterThanOrEqual" allowBlank="1" showErrorMessage="1" errorStyle="stop" errorTitle="Dato no válido" error="Captura una fecha y hora futura (aaaa-mm-dd hh:mm)." sqref="AL2:AL501">
      <formula1>NaN</formula1>
      <formula2>0</formula2>
    </dataValidation>
    <dataValidation type="list" allowBlank="1" showErrorMessage="1" errorStyle="stop" errorTitle="Dato no válido" error="Elige un valor de la lista." sqref="AM10:AM501">
      <formula1>Listas!$H$2:$H$6</formula1>
      <formula2>0</formula2>
    </dataValidation>
    <dataValidation type="list" allowBlank="1" showErrorMessage="1" errorStyle="stop" errorTitle="Dato no válido" error="Elige un valor de la lista." sqref="AM2:AM501">
      <formula1>Listas!$H$2:$H$6</formula1>
      <formula2>0</formula2>
    </dataValidation>
    <dataValidation type="custom" allowBlank="1" showErrorMessage="1" errorStyle="stop" errorTitle="Dato no válido" error="Usa el formato HH:MM-HH:MM (24 h), ej. 11:00-12:00." sqref="AN10:AN501">
      <formula1>AND(LEN(AN2)=11,MID(AN2,3,1)=":",MID(AN2,6,1)="-",MID(AN2,9,1)=":",ISNUMBER(VALUE(LEFT(AN2,2))),ISNUMBER(VALUE(MID(AN2,4,2))),ISNUMBER(VALUE(MID(AN2,7,2))),ISNUMBER(VALUE(RIGHT(AN2,2))))</formula1>
      <formula2>0</formula2>
    </dataValidation>
    <dataValidation type="custom" allowBlank="1" showErrorMessage="1" errorStyle="stop" errorTitle="Dato no válido" error="Usa el formato HH:MM-HH:MM (24 h), ej. 11:00-12:00." sqref="AN2:AN501">
      <formula1>AND(LEN(AN2)=11,MID(AN2,3,1)=":",MID(AN2,6,1)="-",MID(AN2,9,1)=":",ISNUMBER(VALUE(LEFT(AN2,2))),ISNUMBER(VALUE(MID(AN2,4,2))),ISNUMBER(VALUE(MID(AN2,7,2))),ISNUMBER(VALUE(RIGHT(AN2,2))))</formula1>
      <formula2>0</formula2>
    </dataValidation>
    <dataValidation type="list" allowBlank="1" showErrorMessage="1" errorStyle="stop" errorTitle="Dato no válido" error="Elige un valor de la lista." sqref="AO10:AO501">
      <formula1>Listas!$H$2:$H$6</formula1>
      <formula2>0</formula2>
    </dataValidation>
    <dataValidation type="list" allowBlank="1" showErrorMessage="1" errorStyle="stop" errorTitle="Dato no válido" error="Elige un valor de la lista." sqref="AO2:AO501">
      <formula1>Listas!$H$2:$H$6</formula1>
      <formula2>0</formula2>
    </dataValidation>
    <dataValidation type="custom" allowBlank="1" showErrorMessage="1" errorStyle="stop" errorTitle="Dato no válido" error="Usa el formato HH:MM-HH:MM (24 h), ej. 11:00-12:00." sqref="AP10:AP501">
      <formula1>AND(LEN(AP2)=11,MID(AP2,3,1)=":",MID(AP2,6,1)="-",MID(AP2,9,1)=":",ISNUMBER(VALUE(LEFT(AP2,2))),ISNUMBER(VALUE(MID(AP2,4,2))),ISNUMBER(VALUE(MID(AP2,7,2))),ISNUMBER(VALUE(RIGHT(AP2,2))))</formula1>
      <formula2>0</formula2>
    </dataValidation>
    <dataValidation type="custom" allowBlank="1" showErrorMessage="1" errorStyle="stop" errorTitle="Dato no válido" error="Usa el formato HH:MM-HH:MM (24 h), ej. 11:00-12:00." sqref="AP2:AP501">
      <formula1>AND(LEN(AP2)=11,MID(AP2,3,1)=":",MID(AP2,6,1)="-",MID(AP2,9,1)=":",ISNUMBER(VALUE(LEFT(AP2,2))),ISNUMBER(VALUE(MID(AP2,4,2))),ISNUMBER(VALUE(MID(AP2,7,2))),ISNUMBER(VALUE(RIGHT(AP2,2))))</formula1>
      <formula2>0</formula2>
    </dataValidation>
    <dataValidation type="list" allowBlank="1" showErrorMessage="1" errorStyle="stop" errorTitle="Dato no válido" error="Elige un valor de la lista." sqref="D10:D501">
      <formula1>Listas!$A$2:$A$5</formula1>
      <formula2>0</formula2>
    </dataValidation>
    <dataValidation type="list" allowBlank="1" showErrorMessage="1" errorStyle="stop" errorTitle="Dato no válido" error="Elige un valor de la lista." sqref="D2:D501">
      <formula1>Listas!$A$2:$A$5</formula1>
      <formula2>0</formula2>
    </dataValidation>
    <dataValidation type="list" allowBlank="1" showErrorMessage="1" errorStyle="stop" errorTitle="Dato no válido" error="Elige local o foráneo." sqref="E10:E501">
      <formula1>Listas!$D$2:$D$3</formula1>
      <formula2>0</formula2>
    </dataValidation>
    <dataValidation type="list" allowBlank="1" showErrorMessage="1" errorStyle="stop" errorTitle="Dato no válido" error="Elige local o foráneo." sqref="E2:E501">
      <formula1>Listas!$D$2:$D$3</formula1>
      <formula2>0</formula2>
    </dataValidation>
    <dataValidation type="custom" allowBlank="1" showErrorMessage="1" errorStyle="stop" errorTitle="Dato no válido" error="El VIN debe tener 17 caracteres." sqref="G10:G501">
      <formula1>LEN(G2)=17</formula1>
      <formula2>0</formula2>
    </dataValidation>
    <dataValidation type="custom" allowBlank="1" showErrorMessage="1" errorStyle="stop" errorTitle="Dato no válido" error="El VIN debe tener 17 caracteres." sqref="G2:G501">
      <formula1>LEN(G2)=17</formula1>
      <formula2>0</formula2>
    </dataValidation>
    <dataValidation type="list" allowBlank="1" showErrorMessage="1" errorStyle="stop" errorTitle="Dato no válido" error="Elige una marca del catálogo (o 'Otra marca')." sqref="H10:H501">
      <formula1>Listas!$E$2:$E$51</formula1>
      <formula2>0</formula2>
    </dataValidation>
    <dataValidation type="list" allowBlank="1" showErrorMessage="1" errorStyle="stop" errorTitle="Dato no válido" error="Elige una marca del catálogo (o 'Otra marca')." sqref="H2:H501">
      <formula1>Listas!$E$2:$E$51</formula1>
      <formula2>0</formula2>
    </dataValidation>
    <dataValidation type="list" allowBlank="1" showErrorMessage="1" errorStyle="stop" errorTitle="Dato no válido" error="Primero elige la marca y luego un modelo de la lista." sqref="I10:I501">
      <formula1>OFFSET(Catalogo_Vehiculos!$B$1,MATCH(H2,Catalogo_Vehiculos!$A$1:$A$1325,0)-1,0,COUNTIF(Catalogo_Vehiculos!$A$1:$A$1325,H2),1)</formula1>
      <formula2>0</formula2>
    </dataValidation>
    <dataValidation type="list" allowBlank="1" showErrorMessage="1" errorStyle="stop" errorTitle="Dato no válido" error="Primero elige la marca y luego un modelo de la lista." sqref="I2:I501">
      <formula1>OFFSET(Catalogo_Vehiculos!$B$1,MATCH(H2,Catalogo_Vehiculos!$A$1:$A$1325,0)-1,0,COUNTIF(Catalogo_Vehiculos!$A$1:$A$1325,H2),1)</formula1>
      <formula2>0</formula2>
    </dataValidation>
    <dataValidation type="whole" allowBlank="1" showErrorMessage="1" errorStyle="stop" errorTitle="Dato no válido" error="Año entre 1990 y 2027." sqref="N10:N501">
      <formula1>1990</formula1>
      <formula2>2027</formula2>
    </dataValidation>
    <dataValidation type="whole" allowBlank="1" showErrorMessage="1" errorStyle="stop" errorTitle="Dato no válido" error="Año entre 1990 y 2027." sqref="N2:N501">
      <formula1>1990</formula1>
      <formula2>2027</formula2>
    </dataValidation>
    <dataValidation type="list" allowBlank="1" showErrorMessage="1" errorStyle="stop" errorTitle="Dato no válido" error="Elige un valor de la lista." sqref="P10:P501">
      <formula1>Listas!$F$2:$F$4</formula1>
      <formula2>0</formula2>
    </dataValidation>
    <dataValidation type="list" allowBlank="1" showErrorMessage="1" errorStyle="stop" errorTitle="Dato no válido" error="Elige un valor de la lista." sqref="P2:P501">
      <formula1>Listas!$F$2:$F$4</formula1>
      <formula2>0</formula2>
    </dataValidation>
    <dataValidation type="list" allowBlank="1" showErrorMessage="1" errorStyle="stop" errorTitle="Dato no válido" error="Elige un valor de la lista." sqref="Q10:Q501">
      <formula1>Listas!$B$2:$B$4</formula1>
      <formula2>0</formula2>
    </dataValidation>
    <dataValidation type="list" allowBlank="1" showErrorMessage="1" errorStyle="stop" errorTitle="Dato no válido" error="Elige un valor de la lista." sqref="Q2:Q501">
      <formula1>Listas!$B$2:$B$4</formula1>
      <formula2>0</formula2>
    </dataValidation>
    <dataValidation type="list" allowBlank="1" showErrorMessage="1" errorStyle="stop" errorTitle="Dato no válido" error="Elige un valor de la lista." sqref="R10:R501">
      <formula1>Listas!$G$2:$G$5</formula1>
      <formula2>0</formula2>
    </dataValidation>
    <dataValidation type="list" allowBlank="1" showErrorMessage="1" errorStyle="stop" errorTitle="Dato no válido" error="Elige un valor de la lista." sqref="R2:R501">
      <formula1>Listas!$G$2:$G$5</formula1>
      <formula2>0</formula2>
    </dataValidation>
    <dataValidation type="custom" allowBlank="1" showErrorMessage="1" errorStyle="stop" errorTitle="Dato no válido" error="Usa formato internacional, ej. +525512345678." sqref="T10:T501">
      <formula1>AND(LEFT(T2,1)="+",LEN(T2)&gt;=11,LEN(T2)&lt;=16)</formula1>
      <formula2>0</formula2>
    </dataValidation>
    <dataValidation type="custom" allowBlank="1" showErrorMessage="1" errorStyle="stop" errorTitle="Dato no válido" error="Usa formato internacional, ej. +525512345678." sqref="T2:T501">
      <formula1>AND(LEFT(T2,1)="+",LEN(T2)&gt;=11,LEN(T2)&lt;=16)</formula1>
      <formula2>0</formula2>
    </dataValidation>
    <dataValidation type="custom" allowBlank="1" showErrorMessage="1" errorStyle="stop" errorTitle="Dato no válido" error="Usa formato internacional, ej. +525512345678." sqref="V10:V501">
      <formula1>AND(LEFT(V2,1)="+",LEN(V2)&gt;=11,LEN(V2)&lt;=16)</formula1>
      <formula2>0</formula2>
    </dataValidation>
    <dataValidation type="custom" allowBlank="1" showErrorMessage="1" errorStyle="stop" errorTitle="Dato no válido" error="Usa formato internacional, ej. +525512345678." sqref="V2:V501">
      <formula1>AND(LEFT(V2,1)="+",LEN(V2)&gt;=11,LEN(V2)&lt;=16)</formula1>
      <formula2>0</formula2>
    </dataValidation>
    <dataValidation type="custom" allowBlank="1" showErrorMessage="1" errorStyle="stop" errorTitle="Dato no válido" error="El código postal debe tener 5 dígitos (ej. 06700)." sqref="W10:W501">
      <formula1>AND(LEN(W2)=5,ISNUMBER(VALUE(W2)))</formula1>
      <formula2>0</formula2>
    </dataValidation>
    <dataValidation type="custom" allowBlank="1" showErrorMessage="1" errorStyle="stop" errorTitle="Dato no válido" error="El código postal debe tener 5 dígitos (ej. 06700)." sqref="W2:W501">
      <formula1>AND(LEN(W2)=5,ISNUMBER(VALUE(W2)))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27"/>
  <sheetViews>
    <sheetView workbookViewId="0" zoomScale="100" zoomScaleNormal="100" view="normal">
      <pane ySplit="1" topLeftCell="A2" activePane="bottomLeft" state="frozen"/>
      <selection pane="bottomLeft" activeCell="A1" sqref="A1"/>
    </sheetView>
  </sheetViews>
  <sheetFormatPr defaultRowHeight="15" outlineLevelRow="0" outlineLevelCol="0" x14ac:dyDescent="0" defaultColWidth="8.6796875"/>
  <cols>
    <col min="1" max="1" width="18" customWidth="1"/>
    <col min="2" max="2" width="34" customWidth="1"/>
    <col min="3" max="3" width="14" customWidth="1"/>
    <col min="4" max="4" width="18" customWidth="1"/>
    <col min="5" max="5" width="16" customWidth="1"/>
    <col min="6" max="6" width="12" customWidth="1"/>
    <col min="7" max="7" width="44" customWidth="1"/>
  </cols>
  <sheetData>
    <row r="1" ht="15" customHeight="1" spans="1:7" x14ac:dyDescent="0.25">
      <c r="A1" s="22" t="s">
        <v>153</v>
      </c>
      <c r="B1" s="22" t="s">
        <v>154</v>
      </c>
      <c r="C1" s="22" t="s">
        <v>155</v>
      </c>
      <c r="D1" s="22" t="s">
        <v>156</v>
      </c>
      <c r="E1" s="22" t="s">
        <v>157</v>
      </c>
      <c r="F1" s="22" t="s">
        <v>158</v>
      </c>
      <c r="G1" s="22" t="s">
        <v>159</v>
      </c>
    </row>
    <row r="2" ht="15" customHeight="1" spans="1:7" x14ac:dyDescent="0.25">
      <c r="A2" s="23" t="s">
        <v>160</v>
      </c>
      <c r="B2" s="23" t="s">
        <v>161</v>
      </c>
      <c r="C2" s="23" t="s">
        <v>162</v>
      </c>
      <c r="D2" s="23" t="s">
        <v>163</v>
      </c>
      <c r="E2" s="23" t="s">
        <v>164</v>
      </c>
      <c r="F2" s="23" t="s">
        <v>165</v>
      </c>
      <c r="G2" s="24" t="str">
        <f>A2&amp;"|"&amp;B2</f>
        <v>Acura|ADX</v>
      </c>
    </row>
    <row r="3" ht="15" customHeight="1" spans="1:7" x14ac:dyDescent="0.25">
      <c r="A3" s="23" t="s">
        <v>160</v>
      </c>
      <c r="B3" s="23" t="s">
        <v>166</v>
      </c>
      <c r="C3" s="23" t="s">
        <v>167</v>
      </c>
      <c r="D3" s="23" t="s">
        <v>168</v>
      </c>
      <c r="E3" s="23" t="s">
        <v>169</v>
      </c>
      <c r="F3" s="23" t="s">
        <v>170</v>
      </c>
      <c r="G3" s="24" t="str">
        <f>A3&amp;"|"&amp;B3</f>
        <v>Acura|ILX</v>
      </c>
    </row>
    <row r="4" ht="15" customHeight="1" spans="1:7" x14ac:dyDescent="0.25">
      <c r="A4" s="23" t="s">
        <v>160</v>
      </c>
      <c r="B4" s="23" t="s">
        <v>171</v>
      </c>
      <c r="C4" s="23" t="s">
        <v>167</v>
      </c>
      <c r="D4" s="23" t="s">
        <v>168</v>
      </c>
      <c r="E4" s="23" t="s">
        <v>169</v>
      </c>
      <c r="F4" s="23" t="s">
        <v>170</v>
      </c>
      <c r="G4" s="24" t="str">
        <f>A4&amp;"|"&amp;B4</f>
        <v>Acura|INTEGRA</v>
      </c>
    </row>
    <row r="5" ht="15" customHeight="1" spans="1:7" x14ac:dyDescent="0.25">
      <c r="A5" s="23" t="s">
        <v>160</v>
      </c>
      <c r="B5" s="23" t="s">
        <v>172</v>
      </c>
      <c r="C5" s="23" t="s">
        <v>162</v>
      </c>
      <c r="D5" s="23" t="s">
        <v>163</v>
      </c>
      <c r="E5" s="23" t="s">
        <v>164</v>
      </c>
      <c r="F5" s="23" t="s">
        <v>165</v>
      </c>
      <c r="G5" s="24" t="str">
        <f>A5&amp;"|"&amp;B5</f>
        <v>Acura|Mdx</v>
      </c>
    </row>
    <row r="6" ht="15" customHeight="1" spans="1:7" x14ac:dyDescent="0.25">
      <c r="A6" s="23" t="s">
        <v>160</v>
      </c>
      <c r="B6" s="23" t="s">
        <v>173</v>
      </c>
      <c r="C6" s="23" t="s">
        <v>174</v>
      </c>
      <c r="D6" s="23" t="s">
        <v>168</v>
      </c>
      <c r="E6" s="23" t="s">
        <v>175</v>
      </c>
      <c r="F6" s="23" t="s">
        <v>170</v>
      </c>
      <c r="G6" s="24" t="str">
        <f>A6&amp;"|"&amp;B6</f>
        <v>Acura|NSX</v>
      </c>
    </row>
    <row r="7" ht="15" customHeight="1" spans="1:7" x14ac:dyDescent="0.25">
      <c r="A7" s="23" t="s">
        <v>160</v>
      </c>
      <c r="B7" s="23" t="s">
        <v>176</v>
      </c>
      <c r="C7" s="23" t="s">
        <v>162</v>
      </c>
      <c r="D7" s="23" t="s">
        <v>163</v>
      </c>
      <c r="E7" s="23" t="s">
        <v>164</v>
      </c>
      <c r="F7" s="23" t="s">
        <v>165</v>
      </c>
      <c r="G7" s="24" t="str">
        <f>A7&amp;"|"&amp;B7</f>
        <v>Acura|Rdx</v>
      </c>
    </row>
    <row r="8" ht="15" customHeight="1" spans="1:7" x14ac:dyDescent="0.25">
      <c r="A8" s="23" t="s">
        <v>160</v>
      </c>
      <c r="B8" s="23" t="s">
        <v>177</v>
      </c>
      <c r="C8" s="23" t="s">
        <v>167</v>
      </c>
      <c r="D8" s="23" t="s">
        <v>168</v>
      </c>
      <c r="E8" s="23" t="s">
        <v>169</v>
      </c>
      <c r="F8" s="23" t="s">
        <v>170</v>
      </c>
      <c r="G8" s="24" t="str">
        <f>A8&amp;"|"&amp;B8</f>
        <v>Acura|Rl</v>
      </c>
    </row>
    <row r="9" ht="15" customHeight="1" spans="1:7" x14ac:dyDescent="0.25">
      <c r="A9" s="23" t="s">
        <v>160</v>
      </c>
      <c r="B9" s="23" t="s">
        <v>178</v>
      </c>
      <c r="C9" s="23" t="s">
        <v>167</v>
      </c>
      <c r="D9" s="23" t="s">
        <v>168</v>
      </c>
      <c r="E9" s="23" t="s">
        <v>169</v>
      </c>
      <c r="F9" s="23" t="s">
        <v>170</v>
      </c>
      <c r="G9" s="24" t="str">
        <f>A9&amp;"|"&amp;B9</f>
        <v>Acura|Rlx</v>
      </c>
    </row>
    <row r="10" ht="15" customHeight="1" spans="1:7" x14ac:dyDescent="0.25">
      <c r="A10" s="23" t="s">
        <v>160</v>
      </c>
      <c r="B10" s="23" t="s">
        <v>179</v>
      </c>
      <c r="C10" s="23" t="s">
        <v>167</v>
      </c>
      <c r="D10" s="23" t="s">
        <v>168</v>
      </c>
      <c r="E10" s="23" t="s">
        <v>169</v>
      </c>
      <c r="F10" s="23" t="s">
        <v>170</v>
      </c>
      <c r="G10" s="24" t="str">
        <f>A10&amp;"|"&amp;B10</f>
        <v>Acura|Tl 3.5l</v>
      </c>
    </row>
    <row r="11" ht="15" customHeight="1" spans="1:7" x14ac:dyDescent="0.25">
      <c r="A11" s="23" t="s">
        <v>160</v>
      </c>
      <c r="B11" s="23" t="s">
        <v>180</v>
      </c>
      <c r="C11" s="23" t="s">
        <v>167</v>
      </c>
      <c r="D11" s="23" t="s">
        <v>168</v>
      </c>
      <c r="E11" s="23" t="s">
        <v>169</v>
      </c>
      <c r="F11" s="23" t="s">
        <v>170</v>
      </c>
      <c r="G11" s="24" t="str">
        <f>A11&amp;"|"&amp;B11</f>
        <v>Acura|Tl 3.7l</v>
      </c>
    </row>
    <row r="12" ht="15" customHeight="1" spans="1:7" x14ac:dyDescent="0.25">
      <c r="A12" s="23" t="s">
        <v>160</v>
      </c>
      <c r="B12" s="23" t="s">
        <v>181</v>
      </c>
      <c r="C12" s="23" t="s">
        <v>167</v>
      </c>
      <c r="D12" s="23" t="s">
        <v>168</v>
      </c>
      <c r="E12" s="23" t="s">
        <v>169</v>
      </c>
      <c r="F12" s="23" t="s">
        <v>170</v>
      </c>
      <c r="G12" s="24" t="str">
        <f>A12&amp;"|"&amp;B12</f>
        <v>Acura|TLX</v>
      </c>
    </row>
    <row r="13" ht="15" customHeight="1" spans="1:7" x14ac:dyDescent="0.25">
      <c r="A13" s="23" t="s">
        <v>160</v>
      </c>
      <c r="B13" s="23" t="s">
        <v>182</v>
      </c>
      <c r="C13" s="23" t="s">
        <v>167</v>
      </c>
      <c r="D13" s="23" t="s">
        <v>168</v>
      </c>
      <c r="E13" s="23" t="s">
        <v>169</v>
      </c>
      <c r="F13" s="23" t="s">
        <v>170</v>
      </c>
      <c r="G13" s="24" t="str">
        <f>A13&amp;"|"&amp;B13</f>
        <v>Acura|TSX 2.4L</v>
      </c>
    </row>
    <row r="14" ht="15" customHeight="1" spans="1:7" x14ac:dyDescent="0.25">
      <c r="A14" s="23" t="s">
        <v>160</v>
      </c>
      <c r="B14" s="23" t="s">
        <v>183</v>
      </c>
      <c r="C14" s="23" t="s">
        <v>167</v>
      </c>
      <c r="D14" s="23" t="s">
        <v>168</v>
      </c>
      <c r="E14" s="23" t="s">
        <v>169</v>
      </c>
      <c r="F14" s="23" t="s">
        <v>170</v>
      </c>
      <c r="G14" s="24" t="str">
        <f>A14&amp;"|"&amp;B14</f>
        <v>Acura|Tsx 3.5l</v>
      </c>
    </row>
    <row r="15" ht="15" customHeight="1" spans="1:7" x14ac:dyDescent="0.25">
      <c r="A15" s="23" t="s">
        <v>160</v>
      </c>
      <c r="B15" s="23" t="s">
        <v>184</v>
      </c>
      <c r="C15" s="23" t="s">
        <v>162</v>
      </c>
      <c r="D15" s="23" t="s">
        <v>163</v>
      </c>
      <c r="E15" s="23" t="s">
        <v>164</v>
      </c>
      <c r="F15" s="23" t="s">
        <v>165</v>
      </c>
      <c r="G15" s="24" t="str">
        <f>A15&amp;"|"&amp;B15</f>
        <v>Acura|ZDX</v>
      </c>
    </row>
    <row r="16" ht="15" customHeight="1" spans="1:7" x14ac:dyDescent="0.25">
      <c r="A16" s="23" t="s">
        <v>185</v>
      </c>
      <c r="B16" s="23" t="s">
        <v>186</v>
      </c>
      <c r="C16" s="23" t="s">
        <v>167</v>
      </c>
      <c r="D16" s="23" t="s">
        <v>168</v>
      </c>
      <c r="E16" s="23" t="s">
        <v>169</v>
      </c>
      <c r="F16" s="23" t="s">
        <v>170</v>
      </c>
      <c r="G16" s="24" t="str">
        <f>A16&amp;"|"&amp;B16</f>
        <v>Alfa Romeo|4C</v>
      </c>
    </row>
    <row r="17" ht="15" customHeight="1" spans="1:7" x14ac:dyDescent="0.25">
      <c r="A17" s="23" t="s">
        <v>185</v>
      </c>
      <c r="B17" s="23" t="s">
        <v>187</v>
      </c>
      <c r="C17" s="23" t="s">
        <v>167</v>
      </c>
      <c r="D17" s="23" t="s">
        <v>168</v>
      </c>
      <c r="E17" s="23" t="s">
        <v>169</v>
      </c>
      <c r="F17" s="23" t="s">
        <v>170</v>
      </c>
      <c r="G17" s="24" t="str">
        <f>A17&amp;"|"&amp;B17</f>
        <v>Alfa Romeo|Alfa Romeo 159 2.2 Jts Sport Plus Selespeed</v>
      </c>
    </row>
    <row r="18" ht="15" customHeight="1" spans="1:7" x14ac:dyDescent="0.25">
      <c r="A18" s="23" t="s">
        <v>185</v>
      </c>
      <c r="B18" s="23" t="s">
        <v>188</v>
      </c>
      <c r="C18" s="23" t="s">
        <v>167</v>
      </c>
      <c r="D18" s="23" t="s">
        <v>168</v>
      </c>
      <c r="E18" s="23" t="s">
        <v>169</v>
      </c>
      <c r="F18" s="23" t="s">
        <v>170</v>
      </c>
      <c r="G18" s="24" t="str">
        <f>A18&amp;"|"&amp;B18</f>
        <v>Alfa Romeo|Alfa Romeo 159 3.2 Sport Plus Awd Automatico</v>
      </c>
    </row>
    <row r="19" ht="15" customHeight="1" spans="1:7" x14ac:dyDescent="0.25">
      <c r="A19" s="23" t="s">
        <v>185</v>
      </c>
      <c r="B19" s="23" t="s">
        <v>189</v>
      </c>
      <c r="C19" s="23" t="s">
        <v>167</v>
      </c>
      <c r="D19" s="23" t="s">
        <v>168</v>
      </c>
      <c r="E19" s="23" t="s">
        <v>175</v>
      </c>
      <c r="F19" s="23" t="s">
        <v>170</v>
      </c>
      <c r="G19" s="24" t="str">
        <f>A19&amp;"|"&amp;B19</f>
        <v>Alfa Romeo|Alfa Romeo Giulietta Progression Manual</v>
      </c>
    </row>
    <row r="20" ht="15" customHeight="1" spans="1:7" x14ac:dyDescent="0.25">
      <c r="A20" s="23" t="s">
        <v>185</v>
      </c>
      <c r="B20" s="23" t="s">
        <v>190</v>
      </c>
      <c r="C20" s="23" t="s">
        <v>167</v>
      </c>
      <c r="D20" s="23" t="s">
        <v>168</v>
      </c>
      <c r="E20" s="23" t="s">
        <v>175</v>
      </c>
      <c r="F20" s="23" t="s">
        <v>170</v>
      </c>
      <c r="G20" s="24" t="str">
        <f>A20&amp;"|"&amp;B20</f>
        <v>Alfa Romeo|Alfa Romeo Mito Quadrifoglio Verde Manual</v>
      </c>
    </row>
    <row r="21" ht="15" customHeight="1" spans="1:7" x14ac:dyDescent="0.25">
      <c r="A21" s="23" t="s">
        <v>185</v>
      </c>
      <c r="B21" s="23" t="s">
        <v>191</v>
      </c>
      <c r="C21" s="23" t="s">
        <v>167</v>
      </c>
      <c r="D21" s="23" t="s">
        <v>168</v>
      </c>
      <c r="E21" s="23" t="s">
        <v>169</v>
      </c>
      <c r="F21" s="23" t="s">
        <v>170</v>
      </c>
      <c r="G21" s="24" t="str">
        <f>A21&amp;"|"&amp;B21</f>
        <v>Alfa Romeo|Giulia</v>
      </c>
    </row>
    <row r="22" ht="15" customHeight="1" spans="1:7" x14ac:dyDescent="0.25">
      <c r="A22" s="23" t="s">
        <v>185</v>
      </c>
      <c r="B22" s="23" t="s">
        <v>192</v>
      </c>
      <c r="C22" s="23" t="s">
        <v>162</v>
      </c>
      <c r="D22" s="23" t="s">
        <v>163</v>
      </c>
      <c r="E22" s="23" t="s">
        <v>164</v>
      </c>
      <c r="F22" s="23" t="s">
        <v>165</v>
      </c>
      <c r="G22" s="24" t="str">
        <f>A22&amp;"|"&amp;B22</f>
        <v>Alfa Romeo|Junior</v>
      </c>
    </row>
    <row r="23" ht="15" customHeight="1" spans="1:7" x14ac:dyDescent="0.25">
      <c r="A23" s="23" t="s">
        <v>185</v>
      </c>
      <c r="B23" s="23" t="s">
        <v>193</v>
      </c>
      <c r="C23" s="23" t="s">
        <v>167</v>
      </c>
      <c r="D23" s="23" t="s">
        <v>168</v>
      </c>
      <c r="E23" s="23" t="s">
        <v>169</v>
      </c>
      <c r="F23" s="23" t="s">
        <v>170</v>
      </c>
      <c r="G23" s="24" t="str">
        <f>A23&amp;"|"&amp;B23</f>
        <v>Alfa Romeo|Stelvio</v>
      </c>
    </row>
    <row r="24" ht="15" customHeight="1" spans="1:7" x14ac:dyDescent="0.25">
      <c r="A24" s="23" t="s">
        <v>185</v>
      </c>
      <c r="B24" s="23" t="s">
        <v>194</v>
      </c>
      <c r="C24" s="23" t="s">
        <v>162</v>
      </c>
      <c r="D24" s="23" t="s">
        <v>163</v>
      </c>
      <c r="E24" s="23" t="s">
        <v>164</v>
      </c>
      <c r="F24" s="23" t="s">
        <v>165</v>
      </c>
      <c r="G24" s="24" t="str">
        <f>A24&amp;"|"&amp;B24</f>
        <v>Alfa Romeo|TONALE</v>
      </c>
    </row>
    <row r="25" ht="15" customHeight="1" spans="1:7" x14ac:dyDescent="0.25">
      <c r="A25" s="23" t="s">
        <v>195</v>
      </c>
      <c r="B25" s="23" t="s">
        <v>196</v>
      </c>
      <c r="C25" s="23" t="s">
        <v>167</v>
      </c>
      <c r="D25" s="23" t="s">
        <v>168</v>
      </c>
      <c r="E25" s="23" t="s">
        <v>169</v>
      </c>
      <c r="F25" s="23" t="s">
        <v>170</v>
      </c>
      <c r="G25" s="24" t="str">
        <f>A25&amp;"|"&amp;B25</f>
        <v>Audi|A 1 1.4T</v>
      </c>
    </row>
    <row r="26" ht="15" customHeight="1" spans="1:7" x14ac:dyDescent="0.25">
      <c r="A26" s="23" t="s">
        <v>195</v>
      </c>
      <c r="B26" s="23" t="s">
        <v>197</v>
      </c>
      <c r="C26" s="23" t="s">
        <v>167</v>
      </c>
      <c r="D26" s="23" t="s">
        <v>168</v>
      </c>
      <c r="E26" s="23" t="s">
        <v>169</v>
      </c>
      <c r="F26" s="23" t="s">
        <v>170</v>
      </c>
      <c r="G26" s="24" t="str">
        <f>A26&amp;"|"&amp;B26</f>
        <v>Audi|A1</v>
      </c>
    </row>
    <row r="27" ht="15" customHeight="1" spans="1:7" x14ac:dyDescent="0.25">
      <c r="A27" s="23" t="s">
        <v>195</v>
      </c>
      <c r="B27" s="23" t="s">
        <v>198</v>
      </c>
      <c r="C27" s="23" t="s">
        <v>167</v>
      </c>
      <c r="D27" s="23" t="s">
        <v>168</v>
      </c>
      <c r="E27" s="23" t="s">
        <v>169</v>
      </c>
      <c r="F27" s="23" t="s">
        <v>170</v>
      </c>
      <c r="G27" s="24" t="str">
        <f>A27&amp;"|"&amp;B27</f>
        <v>Audi|A1*</v>
      </c>
    </row>
    <row r="28" ht="15" customHeight="1" spans="1:7" x14ac:dyDescent="0.25">
      <c r="A28" s="23" t="s">
        <v>195</v>
      </c>
      <c r="B28" s="23" t="s">
        <v>199</v>
      </c>
      <c r="C28" s="23" t="s">
        <v>167</v>
      </c>
      <c r="D28" s="23" t="s">
        <v>168</v>
      </c>
      <c r="E28" s="23" t="s">
        <v>169</v>
      </c>
      <c r="F28" s="23" t="s">
        <v>170</v>
      </c>
      <c r="G28" s="24" t="str">
        <f>A28&amp;"|"&amp;B28</f>
        <v>Audi|A1-</v>
      </c>
    </row>
    <row r="29" ht="15" customHeight="1" spans="1:7" x14ac:dyDescent="0.25">
      <c r="A29" s="23" t="s">
        <v>195</v>
      </c>
      <c r="B29" s="23" t="s">
        <v>200</v>
      </c>
      <c r="C29" s="23" t="s">
        <v>167</v>
      </c>
      <c r="D29" s="23" t="s">
        <v>168</v>
      </c>
      <c r="E29" s="23" t="s">
        <v>169</v>
      </c>
      <c r="F29" s="23" t="s">
        <v>170</v>
      </c>
      <c r="G29" s="24" t="str">
        <f>A29&amp;"|"&amp;B29</f>
        <v>Audi|A3</v>
      </c>
    </row>
    <row r="30" ht="15" customHeight="1" spans="1:7" x14ac:dyDescent="0.25">
      <c r="A30" s="23" t="s">
        <v>195</v>
      </c>
      <c r="B30" s="23" t="s">
        <v>201</v>
      </c>
      <c r="C30" s="23" t="s">
        <v>167</v>
      </c>
      <c r="D30" s="23" t="s">
        <v>168</v>
      </c>
      <c r="E30" s="23" t="s">
        <v>169</v>
      </c>
      <c r="F30" s="23" t="s">
        <v>170</v>
      </c>
      <c r="G30" s="24" t="str">
        <f>A30&amp;"|"&amp;B30</f>
        <v>Audi|A3 Cabrio</v>
      </c>
    </row>
    <row r="31" ht="15" customHeight="1" spans="1:7" x14ac:dyDescent="0.25">
      <c r="A31" s="23" t="s">
        <v>195</v>
      </c>
      <c r="B31" s="23" t="s">
        <v>202</v>
      </c>
      <c r="C31" s="23" t="s">
        <v>167</v>
      </c>
      <c r="D31" s="23" t="s">
        <v>168</v>
      </c>
      <c r="E31" s="23" t="s">
        <v>169</v>
      </c>
      <c r="F31" s="23" t="s">
        <v>170</v>
      </c>
      <c r="G31" s="24" t="str">
        <f>A31&amp;"|"&amp;B31</f>
        <v>Audi|A3 Sedán</v>
      </c>
    </row>
    <row r="32" ht="15" customHeight="1" spans="1:7" x14ac:dyDescent="0.25">
      <c r="A32" s="23" t="s">
        <v>195</v>
      </c>
      <c r="B32" s="23" t="s">
        <v>203</v>
      </c>
      <c r="C32" s="23" t="s">
        <v>167</v>
      </c>
      <c r="D32" s="23" t="s">
        <v>168</v>
      </c>
      <c r="E32" s="23" t="s">
        <v>169</v>
      </c>
      <c r="F32" s="23" t="s">
        <v>170</v>
      </c>
      <c r="G32" s="24" t="str">
        <f>A32&amp;"|"&amp;B32</f>
        <v>Audi|A3-</v>
      </c>
    </row>
    <row r="33" ht="15" customHeight="1" spans="1:7" x14ac:dyDescent="0.25">
      <c r="A33" s="23" t="s">
        <v>195</v>
      </c>
      <c r="B33" s="23" t="s">
        <v>204</v>
      </c>
      <c r="C33" s="23" t="s">
        <v>167</v>
      </c>
      <c r="D33" s="23" t="s">
        <v>168</v>
      </c>
      <c r="E33" s="23" t="s">
        <v>169</v>
      </c>
      <c r="F33" s="23" t="s">
        <v>170</v>
      </c>
      <c r="G33" s="24" t="str">
        <f>A33&amp;"|"&amp;B33</f>
        <v>Audi|A4</v>
      </c>
    </row>
    <row r="34" ht="15" customHeight="1" spans="1:7" x14ac:dyDescent="0.25">
      <c r="A34" s="23" t="s">
        <v>195</v>
      </c>
      <c r="B34" s="23" t="s">
        <v>205</v>
      </c>
      <c r="C34" s="23" t="s">
        <v>167</v>
      </c>
      <c r="D34" s="23" t="s">
        <v>168</v>
      </c>
      <c r="E34" s="23" t="s">
        <v>169</v>
      </c>
      <c r="F34" s="23" t="s">
        <v>170</v>
      </c>
      <c r="G34" s="24" t="str">
        <f>A34&amp;"|"&amp;B34</f>
        <v>Audi|A4 1.8 Cabrio</v>
      </c>
    </row>
    <row r="35" ht="15" customHeight="1" spans="1:7" x14ac:dyDescent="0.25">
      <c r="A35" s="23" t="s">
        <v>195</v>
      </c>
      <c r="B35" s="23" t="s">
        <v>206</v>
      </c>
      <c r="C35" s="23" t="s">
        <v>167</v>
      </c>
      <c r="D35" s="23" t="s">
        <v>168</v>
      </c>
      <c r="E35" s="23" t="s">
        <v>169</v>
      </c>
      <c r="F35" s="23" t="s">
        <v>170</v>
      </c>
      <c r="G35" s="24" t="str">
        <f>A35&amp;"|"&amp;B35</f>
        <v>Audi|A4 1.8T</v>
      </c>
    </row>
    <row r="36" ht="15" customHeight="1" spans="1:7" x14ac:dyDescent="0.25">
      <c r="A36" s="23" t="s">
        <v>195</v>
      </c>
      <c r="B36" s="23" t="s">
        <v>207</v>
      </c>
      <c r="C36" s="23" t="s">
        <v>167</v>
      </c>
      <c r="D36" s="23" t="s">
        <v>168</v>
      </c>
      <c r="E36" s="23" t="s">
        <v>169</v>
      </c>
      <c r="F36" s="23" t="s">
        <v>170</v>
      </c>
      <c r="G36" s="24" t="str">
        <f>A36&amp;"|"&amp;B36</f>
        <v>Audi|A4 2.0</v>
      </c>
    </row>
    <row r="37" ht="15" customHeight="1" spans="1:7" x14ac:dyDescent="0.25">
      <c r="A37" s="23" t="s">
        <v>195</v>
      </c>
      <c r="B37" s="23" t="s">
        <v>208</v>
      </c>
      <c r="C37" s="23" t="s">
        <v>167</v>
      </c>
      <c r="D37" s="23" t="s">
        <v>168</v>
      </c>
      <c r="E37" s="23" t="s">
        <v>169</v>
      </c>
      <c r="F37" s="23" t="s">
        <v>170</v>
      </c>
      <c r="G37" s="24" t="str">
        <f>A37&amp;"|"&amp;B37</f>
        <v>Audi|A4 2.0 Cabrio</v>
      </c>
    </row>
    <row r="38" ht="15" customHeight="1" spans="1:7" x14ac:dyDescent="0.25">
      <c r="A38" s="23" t="s">
        <v>195</v>
      </c>
      <c r="B38" s="23" t="s">
        <v>209</v>
      </c>
      <c r="C38" s="23" t="s">
        <v>167</v>
      </c>
      <c r="D38" s="23" t="s">
        <v>168</v>
      </c>
      <c r="E38" s="23" t="s">
        <v>169</v>
      </c>
      <c r="F38" s="23" t="s">
        <v>170</v>
      </c>
      <c r="G38" s="24" t="str">
        <f>A38&amp;"|"&amp;B38</f>
        <v>Audi|A4 3.0</v>
      </c>
    </row>
    <row r="39" ht="15" customHeight="1" spans="1:7" x14ac:dyDescent="0.25">
      <c r="A39" s="23" t="s">
        <v>195</v>
      </c>
      <c r="B39" s="23" t="s">
        <v>210</v>
      </c>
      <c r="C39" s="23" t="s">
        <v>167</v>
      </c>
      <c r="D39" s="23" t="s">
        <v>168</v>
      </c>
      <c r="E39" s="23" t="s">
        <v>169</v>
      </c>
      <c r="F39" s="23" t="s">
        <v>170</v>
      </c>
      <c r="G39" s="24" t="str">
        <f>A39&amp;"|"&amp;B39</f>
        <v>Audi|A4 3.0 Cabrio</v>
      </c>
    </row>
    <row r="40" ht="15" customHeight="1" spans="1:7" x14ac:dyDescent="0.25">
      <c r="A40" s="23" t="s">
        <v>195</v>
      </c>
      <c r="B40" s="23" t="s">
        <v>211</v>
      </c>
      <c r="C40" s="23" t="s">
        <v>167</v>
      </c>
      <c r="D40" s="23" t="s">
        <v>168</v>
      </c>
      <c r="E40" s="23" t="s">
        <v>169</v>
      </c>
      <c r="F40" s="23" t="s">
        <v>170</v>
      </c>
      <c r="G40" s="24" t="str">
        <f>A40&amp;"|"&amp;B40</f>
        <v>Audi|A4 3.2</v>
      </c>
    </row>
    <row r="41" ht="15" customHeight="1" spans="1:7" x14ac:dyDescent="0.25">
      <c r="A41" s="23" t="s">
        <v>195</v>
      </c>
      <c r="B41" s="23" t="s">
        <v>212</v>
      </c>
      <c r="C41" s="23" t="s">
        <v>167</v>
      </c>
      <c r="D41" s="23" t="s">
        <v>168</v>
      </c>
      <c r="E41" s="23" t="s">
        <v>169</v>
      </c>
      <c r="F41" s="23" t="s">
        <v>170</v>
      </c>
      <c r="G41" s="24" t="str">
        <f>A41&amp;"|"&amp;B41</f>
        <v>Audi|A5</v>
      </c>
    </row>
    <row r="42" ht="15" customHeight="1" spans="1:7" x14ac:dyDescent="0.25">
      <c r="A42" s="23" t="s">
        <v>195</v>
      </c>
      <c r="B42" s="23" t="s">
        <v>213</v>
      </c>
      <c r="C42" s="23" t="s">
        <v>167</v>
      </c>
      <c r="D42" s="23" t="s">
        <v>168</v>
      </c>
      <c r="E42" s="23" t="s">
        <v>169</v>
      </c>
      <c r="F42" s="23" t="s">
        <v>170</v>
      </c>
      <c r="G42" s="24" t="str">
        <f>A42&amp;"|"&amp;B42</f>
        <v>Audi|A5 2.0</v>
      </c>
    </row>
    <row r="43" ht="15" customHeight="1" spans="1:7" x14ac:dyDescent="0.25">
      <c r="A43" s="23" t="s">
        <v>195</v>
      </c>
      <c r="B43" s="23" t="s">
        <v>214</v>
      </c>
      <c r="C43" s="23" t="s">
        <v>167</v>
      </c>
      <c r="D43" s="23" t="s">
        <v>168</v>
      </c>
      <c r="E43" s="23" t="s">
        <v>175</v>
      </c>
      <c r="F43" s="23" t="s">
        <v>170</v>
      </c>
      <c r="G43" s="24" t="str">
        <f>A43&amp;"|"&amp;B43</f>
        <v>Audi|A5 2.0T Sportback</v>
      </c>
    </row>
    <row r="44" ht="15" customHeight="1" spans="1:7" x14ac:dyDescent="0.25">
      <c r="A44" s="23" t="s">
        <v>195</v>
      </c>
      <c r="B44" s="23" t="s">
        <v>215</v>
      </c>
      <c r="C44" s="23" t="s">
        <v>167</v>
      </c>
      <c r="D44" s="23" t="s">
        <v>168</v>
      </c>
      <c r="E44" s="23" t="s">
        <v>169</v>
      </c>
      <c r="F44" s="23" t="s">
        <v>170</v>
      </c>
      <c r="G44" s="24" t="str">
        <f>A44&amp;"|"&amp;B44</f>
        <v>Audi|A5 3.2</v>
      </c>
    </row>
    <row r="45" ht="15" customHeight="1" spans="1:7" x14ac:dyDescent="0.25">
      <c r="A45" s="23" t="s">
        <v>195</v>
      </c>
      <c r="B45" s="23" t="s">
        <v>216</v>
      </c>
      <c r="C45" s="23" t="s">
        <v>167</v>
      </c>
      <c r="D45" s="23" t="s">
        <v>168</v>
      </c>
      <c r="E45" s="23" t="s">
        <v>175</v>
      </c>
      <c r="F45" s="23" t="s">
        <v>170</v>
      </c>
      <c r="G45" s="24" t="str">
        <f>A45&amp;"|"&amp;B45</f>
        <v>Audi|A5 3.2 Sportback</v>
      </c>
    </row>
    <row r="46" ht="15" customHeight="1" spans="1:7" x14ac:dyDescent="0.25">
      <c r="A46" s="23" t="s">
        <v>195</v>
      </c>
      <c r="B46" s="23" t="s">
        <v>217</v>
      </c>
      <c r="C46" s="23" t="s">
        <v>167</v>
      </c>
      <c r="D46" s="23" t="s">
        <v>168</v>
      </c>
      <c r="E46" s="23" t="s">
        <v>169</v>
      </c>
      <c r="F46" s="23" t="s">
        <v>170</v>
      </c>
      <c r="G46" s="24" t="str">
        <f>A46&amp;"|"&amp;B46</f>
        <v>Audi|A5 Cabrio</v>
      </c>
    </row>
    <row r="47" ht="15" customHeight="1" spans="1:7" x14ac:dyDescent="0.25">
      <c r="A47" s="23" t="s">
        <v>195</v>
      </c>
      <c r="B47" s="23" t="s">
        <v>218</v>
      </c>
      <c r="C47" s="23" t="s">
        <v>167</v>
      </c>
      <c r="D47" s="23" t="s">
        <v>168</v>
      </c>
      <c r="E47" s="23" t="s">
        <v>169</v>
      </c>
      <c r="F47" s="23" t="s">
        <v>170</v>
      </c>
      <c r="G47" s="24" t="str">
        <f>A47&amp;"|"&amp;B47</f>
        <v>Audi|A5 Coupe</v>
      </c>
    </row>
    <row r="48" ht="15" customHeight="1" spans="1:7" x14ac:dyDescent="0.25">
      <c r="A48" s="23" t="s">
        <v>195</v>
      </c>
      <c r="B48" s="23" t="s">
        <v>219</v>
      </c>
      <c r="C48" s="23" t="s">
        <v>167</v>
      </c>
      <c r="D48" s="23" t="s">
        <v>168</v>
      </c>
      <c r="E48" s="23" t="s">
        <v>169</v>
      </c>
      <c r="F48" s="23" t="s">
        <v>170</v>
      </c>
      <c r="G48" s="24" t="str">
        <f>A48&amp;"|"&amp;B48</f>
        <v>Audi|A5 Sedán</v>
      </c>
    </row>
    <row r="49" ht="15" customHeight="1" spans="1:7" x14ac:dyDescent="0.25">
      <c r="A49" s="23" t="s">
        <v>195</v>
      </c>
      <c r="B49" s="23" t="s">
        <v>220</v>
      </c>
      <c r="C49" s="23" t="s">
        <v>167</v>
      </c>
      <c r="D49" s="23" t="s">
        <v>168</v>
      </c>
      <c r="E49" s="23" t="s">
        <v>175</v>
      </c>
      <c r="F49" s="23" t="s">
        <v>170</v>
      </c>
      <c r="G49" s="24" t="str">
        <f>A49&amp;"|"&amp;B49</f>
        <v>Audi|A5 Sportback</v>
      </c>
    </row>
    <row r="50" ht="15" customHeight="1" spans="1:7" x14ac:dyDescent="0.25">
      <c r="A50" s="23" t="s">
        <v>195</v>
      </c>
      <c r="B50" s="23" t="s">
        <v>221</v>
      </c>
      <c r="C50" s="23" t="s">
        <v>167</v>
      </c>
      <c r="D50" s="23" t="s">
        <v>168</v>
      </c>
      <c r="E50" s="23" t="s">
        <v>169</v>
      </c>
      <c r="F50" s="23" t="s">
        <v>170</v>
      </c>
      <c r="G50" s="24" t="str">
        <f>A50&amp;"|"&amp;B50</f>
        <v>Audi|A6</v>
      </c>
    </row>
    <row r="51" ht="15" customHeight="1" spans="1:7" x14ac:dyDescent="0.25">
      <c r="A51" s="23" t="s">
        <v>195</v>
      </c>
      <c r="B51" s="23" t="s">
        <v>222</v>
      </c>
      <c r="C51" s="23" t="s">
        <v>167</v>
      </c>
      <c r="D51" s="23" t="s">
        <v>168</v>
      </c>
      <c r="E51" s="23" t="s">
        <v>169</v>
      </c>
      <c r="F51" s="23" t="s">
        <v>170</v>
      </c>
      <c r="G51" s="24" t="str">
        <f>A51&amp;"|"&amp;B51</f>
        <v>Audi|A6 2.7 Biturbo</v>
      </c>
    </row>
    <row r="52" ht="15" customHeight="1" spans="1:7" x14ac:dyDescent="0.25">
      <c r="A52" s="23" t="s">
        <v>195</v>
      </c>
      <c r="B52" s="23" t="s">
        <v>223</v>
      </c>
      <c r="C52" s="23" t="s">
        <v>167</v>
      </c>
      <c r="D52" s="23" t="s">
        <v>168</v>
      </c>
      <c r="E52" s="23" t="s">
        <v>169</v>
      </c>
      <c r="F52" s="23" t="s">
        <v>170</v>
      </c>
      <c r="G52" s="24" t="str">
        <f>A52&amp;"|"&amp;B52</f>
        <v>Audi|A6 2.8</v>
      </c>
    </row>
    <row r="53" ht="15" customHeight="1" spans="1:7" x14ac:dyDescent="0.25">
      <c r="A53" s="23" t="s">
        <v>195</v>
      </c>
      <c r="B53" s="23" t="s">
        <v>224</v>
      </c>
      <c r="C53" s="23" t="s">
        <v>167</v>
      </c>
      <c r="D53" s="23" t="s">
        <v>168</v>
      </c>
      <c r="E53" s="23" t="s">
        <v>169</v>
      </c>
      <c r="F53" s="23" t="s">
        <v>170</v>
      </c>
      <c r="G53" s="24" t="str">
        <f>A53&amp;"|"&amp;B53</f>
        <v>Audi|A6 3.0</v>
      </c>
    </row>
    <row r="54" ht="15" customHeight="1" spans="1:7" x14ac:dyDescent="0.25">
      <c r="A54" s="23" t="s">
        <v>195</v>
      </c>
      <c r="B54" s="23" t="s">
        <v>225</v>
      </c>
      <c r="C54" s="23" t="s">
        <v>167</v>
      </c>
      <c r="D54" s="23" t="s">
        <v>168</v>
      </c>
      <c r="E54" s="23" t="s">
        <v>169</v>
      </c>
      <c r="F54" s="23" t="s">
        <v>170</v>
      </c>
      <c r="G54" s="24" t="str">
        <f>A54&amp;"|"&amp;B54</f>
        <v>Audi|A6 3.2</v>
      </c>
    </row>
    <row r="55" ht="15" customHeight="1" spans="1:7" x14ac:dyDescent="0.25">
      <c r="A55" s="23" t="s">
        <v>195</v>
      </c>
      <c r="B55" s="23" t="s">
        <v>226</v>
      </c>
      <c r="C55" s="23" t="s">
        <v>167</v>
      </c>
      <c r="D55" s="23" t="s">
        <v>168</v>
      </c>
      <c r="E55" s="23" t="s">
        <v>169</v>
      </c>
      <c r="F55" s="23" t="s">
        <v>170</v>
      </c>
      <c r="G55" s="24" t="str">
        <f>A55&amp;"|"&amp;B55</f>
        <v>Audi|A6 4.2</v>
      </c>
    </row>
    <row r="56" ht="15" customHeight="1" spans="1:7" x14ac:dyDescent="0.25">
      <c r="A56" s="23" t="s">
        <v>195</v>
      </c>
      <c r="B56" s="23" t="s">
        <v>227</v>
      </c>
      <c r="C56" s="23" t="s">
        <v>167</v>
      </c>
      <c r="D56" s="23" t="s">
        <v>168</v>
      </c>
      <c r="E56" s="23" t="s">
        <v>169</v>
      </c>
      <c r="F56" s="23" t="s">
        <v>170</v>
      </c>
      <c r="G56" s="24" t="str">
        <f>A56&amp;"|"&amp;B56</f>
        <v>Audi|A7</v>
      </c>
    </row>
    <row r="57" ht="15" customHeight="1" spans="1:7" x14ac:dyDescent="0.25">
      <c r="A57" s="23" t="s">
        <v>195</v>
      </c>
      <c r="B57" s="23" t="s">
        <v>228</v>
      </c>
      <c r="C57" s="23" t="s">
        <v>167</v>
      </c>
      <c r="D57" s="23" t="s">
        <v>168</v>
      </c>
      <c r="E57" s="23" t="s">
        <v>169</v>
      </c>
      <c r="F57" s="23" t="s">
        <v>170</v>
      </c>
      <c r="G57" s="24" t="str">
        <f>A57&amp;"|"&amp;B57</f>
        <v>Audi|A8</v>
      </c>
    </row>
    <row r="58" ht="15" customHeight="1" spans="1:7" x14ac:dyDescent="0.25">
      <c r="A58" s="23" t="s">
        <v>195</v>
      </c>
      <c r="B58" s="23" t="s">
        <v>229</v>
      </c>
      <c r="C58" s="23" t="s">
        <v>167</v>
      </c>
      <c r="D58" s="23" t="s">
        <v>168</v>
      </c>
      <c r="E58" s="23" t="s">
        <v>169</v>
      </c>
      <c r="F58" s="23" t="s">
        <v>170</v>
      </c>
      <c r="G58" s="24" t="str">
        <f>A58&amp;"|"&amp;B58</f>
        <v>Audi|A8 4.2</v>
      </c>
    </row>
    <row r="59" ht="15" customHeight="1" spans="1:7" x14ac:dyDescent="0.25">
      <c r="A59" s="23" t="s">
        <v>195</v>
      </c>
      <c r="B59" s="23" t="s">
        <v>230</v>
      </c>
      <c r="C59" s="23" t="s">
        <v>162</v>
      </c>
      <c r="D59" s="23" t="s">
        <v>163</v>
      </c>
      <c r="E59" s="23" t="s">
        <v>164</v>
      </c>
      <c r="F59" s="23" t="s">
        <v>165</v>
      </c>
      <c r="G59" s="24" t="str">
        <f>A59&amp;"|"&amp;B59</f>
        <v>Audi|Audi Q7 3.0 TDI</v>
      </c>
    </row>
    <row r="60" ht="15" customHeight="1" spans="1:7" x14ac:dyDescent="0.25">
      <c r="A60" s="23" t="s">
        <v>195</v>
      </c>
      <c r="B60" s="23" t="s">
        <v>231</v>
      </c>
      <c r="C60" s="23" t="s">
        <v>162</v>
      </c>
      <c r="D60" s="23" t="s">
        <v>163</v>
      </c>
      <c r="E60" s="23" t="s">
        <v>164</v>
      </c>
      <c r="F60" s="23" t="s">
        <v>165</v>
      </c>
      <c r="G60" s="24" t="str">
        <f>A60&amp;"|"&amp;B60</f>
        <v>Audi|Audi Q7 3.6</v>
      </c>
    </row>
    <row r="61" ht="15" customHeight="1" spans="1:7" x14ac:dyDescent="0.25">
      <c r="A61" s="23" t="s">
        <v>195</v>
      </c>
      <c r="B61" s="23" t="s">
        <v>232</v>
      </c>
      <c r="C61" s="23" t="s">
        <v>162</v>
      </c>
      <c r="D61" s="23" t="s">
        <v>163</v>
      </c>
      <c r="E61" s="23" t="s">
        <v>164</v>
      </c>
      <c r="F61" s="23" t="s">
        <v>165</v>
      </c>
      <c r="G61" s="24" t="str">
        <f>A61&amp;"|"&amp;B61</f>
        <v>Audi|Audi Q7 4.2</v>
      </c>
    </row>
    <row r="62" ht="15" customHeight="1" spans="1:7" x14ac:dyDescent="0.25">
      <c r="A62" s="23" t="s">
        <v>195</v>
      </c>
      <c r="B62" s="23" t="s">
        <v>233</v>
      </c>
      <c r="C62" s="23" t="s">
        <v>162</v>
      </c>
      <c r="D62" s="23" t="s">
        <v>163</v>
      </c>
      <c r="E62" s="23" t="s">
        <v>164</v>
      </c>
      <c r="F62" s="23" t="s">
        <v>165</v>
      </c>
      <c r="G62" s="24" t="str">
        <f>A62&amp;"|"&amp;B62</f>
        <v>Audi|Audi Q7 4.2 TDI</v>
      </c>
    </row>
    <row r="63" ht="15" customHeight="1" spans="1:7" x14ac:dyDescent="0.25">
      <c r="A63" s="23" t="s">
        <v>195</v>
      </c>
      <c r="B63" s="23" t="s">
        <v>234</v>
      </c>
      <c r="C63" s="23" t="s">
        <v>162</v>
      </c>
      <c r="D63" s="23" t="s">
        <v>163</v>
      </c>
      <c r="E63" s="23" t="s">
        <v>164</v>
      </c>
      <c r="F63" s="23" t="s">
        <v>165</v>
      </c>
      <c r="G63" s="24" t="str">
        <f>A63&amp;"|"&amp;B63</f>
        <v>Audi|e-tron</v>
      </c>
    </row>
    <row r="64" ht="15" customHeight="1" spans="1:7" x14ac:dyDescent="0.25">
      <c r="A64" s="23" t="s">
        <v>195</v>
      </c>
      <c r="B64" s="23" t="s">
        <v>235</v>
      </c>
      <c r="C64" s="23" t="s">
        <v>162</v>
      </c>
      <c r="D64" s="23" t="s">
        <v>163</v>
      </c>
      <c r="E64" s="23" t="s">
        <v>164</v>
      </c>
      <c r="F64" s="23" t="s">
        <v>165</v>
      </c>
      <c r="G64" s="24" t="str">
        <f>A64&amp;"|"&amp;B64</f>
        <v>Audi|Q 3</v>
      </c>
    </row>
    <row r="65" ht="15" customHeight="1" spans="1:7" x14ac:dyDescent="0.25">
      <c r="A65" s="23" t="s">
        <v>195</v>
      </c>
      <c r="B65" s="23" t="s">
        <v>236</v>
      </c>
      <c r="C65" s="23" t="s">
        <v>167</v>
      </c>
      <c r="D65" s="23" t="s">
        <v>168</v>
      </c>
      <c r="E65" s="23" t="s">
        <v>169</v>
      </c>
      <c r="F65" s="23" t="s">
        <v>170</v>
      </c>
      <c r="G65" s="24" t="str">
        <f>A65&amp;"|"&amp;B65</f>
        <v>Audi|Q2</v>
      </c>
    </row>
    <row r="66" ht="15" customHeight="1" spans="1:7" x14ac:dyDescent="0.25">
      <c r="A66" s="23" t="s">
        <v>195</v>
      </c>
      <c r="B66" s="23" t="s">
        <v>237</v>
      </c>
      <c r="C66" s="23" t="s">
        <v>167</v>
      </c>
      <c r="D66" s="23" t="s">
        <v>168</v>
      </c>
      <c r="E66" s="23" t="s">
        <v>169</v>
      </c>
      <c r="F66" s="23" t="s">
        <v>170</v>
      </c>
      <c r="G66" s="24" t="str">
        <f>A66&amp;"|"&amp;B66</f>
        <v>Audi|Q3</v>
      </c>
    </row>
    <row r="67" ht="15" customHeight="1" spans="1:7" x14ac:dyDescent="0.25">
      <c r="A67" s="23" t="s">
        <v>195</v>
      </c>
      <c r="B67" s="23" t="s">
        <v>238</v>
      </c>
      <c r="C67" s="23" t="s">
        <v>162</v>
      </c>
      <c r="D67" s="23" t="s">
        <v>163</v>
      </c>
      <c r="E67" s="23" t="s">
        <v>164</v>
      </c>
      <c r="F67" s="23" t="s">
        <v>165</v>
      </c>
      <c r="G67" s="24" t="str">
        <f>A67&amp;"|"&amp;B67</f>
        <v>Audi|Q3 SB</v>
      </c>
    </row>
    <row r="68" ht="15" customHeight="1" spans="1:7" x14ac:dyDescent="0.25">
      <c r="A68" s="23" t="s">
        <v>195</v>
      </c>
      <c r="B68" s="23" t="s">
        <v>239</v>
      </c>
      <c r="C68" s="23" t="s">
        <v>162</v>
      </c>
      <c r="D68" s="23" t="s">
        <v>163</v>
      </c>
      <c r="E68" s="23" t="s">
        <v>164</v>
      </c>
      <c r="F68" s="23" t="s">
        <v>165</v>
      </c>
      <c r="G68" s="24" t="str">
        <f>A68&amp;"|"&amp;B68</f>
        <v>Audi|Q3-</v>
      </c>
    </row>
    <row r="69" ht="15" customHeight="1" spans="1:7" x14ac:dyDescent="0.25">
      <c r="A69" s="23" t="s">
        <v>195</v>
      </c>
      <c r="B69" s="23" t="s">
        <v>240</v>
      </c>
      <c r="C69" s="23" t="s">
        <v>162</v>
      </c>
      <c r="D69" s="23" t="s">
        <v>163</v>
      </c>
      <c r="E69" s="23" t="s">
        <v>164</v>
      </c>
      <c r="F69" s="23" t="s">
        <v>165</v>
      </c>
      <c r="G69" s="24" t="str">
        <f>A69&amp;"|"&amp;B69</f>
        <v>Audi|Q5</v>
      </c>
    </row>
    <row r="70" ht="15" customHeight="1" spans="1:7" x14ac:dyDescent="0.25">
      <c r="A70" s="23" t="s">
        <v>195</v>
      </c>
      <c r="B70" s="23" t="s">
        <v>241</v>
      </c>
      <c r="C70" s="23" t="s">
        <v>162</v>
      </c>
      <c r="D70" s="23" t="s">
        <v>163</v>
      </c>
      <c r="E70" s="23" t="s">
        <v>164</v>
      </c>
      <c r="F70" s="23" t="s">
        <v>165</v>
      </c>
      <c r="G70" s="24" t="str">
        <f>A70&amp;"|"&amp;B70</f>
        <v>Audi|Q5 2.0T</v>
      </c>
    </row>
    <row r="71" ht="15" customHeight="1" spans="1:7" x14ac:dyDescent="0.25">
      <c r="A71" s="23" t="s">
        <v>195</v>
      </c>
      <c r="B71" s="23" t="s">
        <v>242</v>
      </c>
      <c r="C71" s="23" t="s">
        <v>162</v>
      </c>
      <c r="D71" s="23" t="s">
        <v>163</v>
      </c>
      <c r="E71" s="23" t="s">
        <v>164</v>
      </c>
      <c r="F71" s="23" t="s">
        <v>165</v>
      </c>
      <c r="G71" s="24" t="str">
        <f>A71&amp;"|"&amp;B71</f>
        <v>Audi|Q5 3.0 TDI</v>
      </c>
    </row>
    <row r="72" ht="15" customHeight="1" spans="1:7" x14ac:dyDescent="0.25">
      <c r="A72" s="23" t="s">
        <v>195</v>
      </c>
      <c r="B72" s="23" t="s">
        <v>243</v>
      </c>
      <c r="C72" s="23" t="s">
        <v>162</v>
      </c>
      <c r="D72" s="23" t="s">
        <v>163</v>
      </c>
      <c r="E72" s="23" t="s">
        <v>164</v>
      </c>
      <c r="F72" s="23" t="s">
        <v>165</v>
      </c>
      <c r="G72" s="24" t="str">
        <f>A72&amp;"|"&amp;B72</f>
        <v>Audi|Q5 3.2</v>
      </c>
    </row>
    <row r="73" ht="15" customHeight="1" spans="1:7" x14ac:dyDescent="0.25">
      <c r="A73" s="23" t="s">
        <v>195</v>
      </c>
      <c r="B73" s="23" t="s">
        <v>244</v>
      </c>
      <c r="C73" s="23" t="s">
        <v>167</v>
      </c>
      <c r="D73" s="23" t="s">
        <v>168</v>
      </c>
      <c r="E73" s="23" t="s">
        <v>169</v>
      </c>
      <c r="F73" s="23" t="s">
        <v>170</v>
      </c>
      <c r="G73" s="24" t="str">
        <f>A73&amp;"|"&amp;B73</f>
        <v>Audi|Q6 etron</v>
      </c>
    </row>
    <row r="74" ht="15" customHeight="1" spans="1:7" x14ac:dyDescent="0.25">
      <c r="A74" s="23" t="s">
        <v>195</v>
      </c>
      <c r="B74" s="23" t="s">
        <v>245</v>
      </c>
      <c r="C74" s="23" t="s">
        <v>162</v>
      </c>
      <c r="D74" s="23" t="s">
        <v>163</v>
      </c>
      <c r="E74" s="23" t="s">
        <v>164</v>
      </c>
      <c r="F74" s="23" t="s">
        <v>165</v>
      </c>
      <c r="G74" s="24" t="str">
        <f>A74&amp;"|"&amp;B74</f>
        <v>Audi|Q7</v>
      </c>
    </row>
    <row r="75" ht="15" customHeight="1" spans="1:7" x14ac:dyDescent="0.25">
      <c r="A75" s="23" t="s">
        <v>195</v>
      </c>
      <c r="B75" s="23" t="s">
        <v>246</v>
      </c>
      <c r="C75" s="23" t="s">
        <v>162</v>
      </c>
      <c r="D75" s="23" t="s">
        <v>163</v>
      </c>
      <c r="E75" s="23" t="s">
        <v>164</v>
      </c>
      <c r="F75" s="23" t="s">
        <v>165</v>
      </c>
      <c r="G75" s="24" t="str">
        <f>A75&amp;"|"&amp;B75</f>
        <v>Audi|Q7 3.0T FSI</v>
      </c>
    </row>
    <row r="76" ht="15" customHeight="1" spans="1:7" x14ac:dyDescent="0.25">
      <c r="A76" s="23" t="s">
        <v>195</v>
      </c>
      <c r="B76" s="23" t="s">
        <v>247</v>
      </c>
      <c r="C76" s="23" t="s">
        <v>162</v>
      </c>
      <c r="D76" s="23" t="s">
        <v>163</v>
      </c>
      <c r="E76" s="23" t="s">
        <v>164</v>
      </c>
      <c r="F76" s="23" t="s">
        <v>165</v>
      </c>
      <c r="G76" s="24" t="str">
        <f>A76&amp;"|"&amp;B76</f>
        <v>Audi|Q7-</v>
      </c>
    </row>
    <row r="77" ht="15" customHeight="1" spans="1:7" x14ac:dyDescent="0.25">
      <c r="A77" s="23" t="s">
        <v>195</v>
      </c>
      <c r="B77" s="23" t="s">
        <v>248</v>
      </c>
      <c r="C77" s="23" t="s">
        <v>162</v>
      </c>
      <c r="D77" s="23" t="s">
        <v>163</v>
      </c>
      <c r="E77" s="23" t="s">
        <v>164</v>
      </c>
      <c r="F77" s="23" t="s">
        <v>165</v>
      </c>
      <c r="G77" s="24" t="str">
        <f>A77&amp;"|"&amp;B77</f>
        <v>Audi|Q8</v>
      </c>
    </row>
    <row r="78" ht="15" customHeight="1" spans="1:7" x14ac:dyDescent="0.25">
      <c r="A78" s="23" t="s">
        <v>195</v>
      </c>
      <c r="B78" s="23" t="s">
        <v>249</v>
      </c>
      <c r="C78" s="23" t="s">
        <v>167</v>
      </c>
      <c r="D78" s="23" t="s">
        <v>168</v>
      </c>
      <c r="E78" s="23" t="s">
        <v>169</v>
      </c>
      <c r="F78" s="23" t="s">
        <v>170</v>
      </c>
      <c r="G78" s="24" t="str">
        <f>A78&amp;"|"&amp;B78</f>
        <v>Audi|R8</v>
      </c>
    </row>
    <row r="79" ht="15" customHeight="1" spans="1:7" x14ac:dyDescent="0.25">
      <c r="A79" s="23" t="s">
        <v>195</v>
      </c>
      <c r="B79" s="23" t="s">
        <v>250</v>
      </c>
      <c r="C79" s="23" t="s">
        <v>167</v>
      </c>
      <c r="D79" s="23" t="s">
        <v>168</v>
      </c>
      <c r="E79" s="23" t="s">
        <v>169</v>
      </c>
      <c r="F79" s="23" t="s">
        <v>170</v>
      </c>
      <c r="G79" s="24" t="str">
        <f>A79&amp;"|"&amp;B79</f>
        <v>Audi|R8 Spyder</v>
      </c>
    </row>
    <row r="80" ht="15" customHeight="1" spans="1:7" x14ac:dyDescent="0.25">
      <c r="A80" s="23" t="s">
        <v>195</v>
      </c>
      <c r="B80" s="23" t="s">
        <v>251</v>
      </c>
      <c r="C80" s="23" t="s">
        <v>167</v>
      </c>
      <c r="D80" s="23" t="s">
        <v>168</v>
      </c>
      <c r="E80" s="23" t="s">
        <v>169</v>
      </c>
      <c r="F80" s="23" t="s">
        <v>170</v>
      </c>
      <c r="G80" s="24" t="str">
        <f>A80&amp;"|"&amp;B80</f>
        <v>Audi|RS 6</v>
      </c>
    </row>
    <row r="81" ht="15" customHeight="1" spans="1:7" x14ac:dyDescent="0.25">
      <c r="A81" s="23" t="s">
        <v>195</v>
      </c>
      <c r="B81" s="23" t="s">
        <v>252</v>
      </c>
      <c r="C81" s="23" t="s">
        <v>167</v>
      </c>
      <c r="D81" s="23" t="s">
        <v>168</v>
      </c>
      <c r="E81" s="23" t="s">
        <v>169</v>
      </c>
      <c r="F81" s="23" t="s">
        <v>170</v>
      </c>
      <c r="G81" s="24" t="str">
        <f>A81&amp;"|"&amp;B81</f>
        <v>Audi|RS4 4.2</v>
      </c>
    </row>
    <row r="82" ht="15" customHeight="1" spans="1:7" x14ac:dyDescent="0.25">
      <c r="A82" s="23" t="s">
        <v>195</v>
      </c>
      <c r="B82" s="23" t="s">
        <v>253</v>
      </c>
      <c r="C82" s="23" t="s">
        <v>167</v>
      </c>
      <c r="D82" s="23" t="s">
        <v>168</v>
      </c>
      <c r="E82" s="23" t="s">
        <v>169</v>
      </c>
      <c r="F82" s="23" t="s">
        <v>170</v>
      </c>
      <c r="G82" s="24" t="str">
        <f>A82&amp;"|"&amp;B82</f>
        <v>Audi|RS5 4.2</v>
      </c>
    </row>
    <row r="83" ht="15" customHeight="1" spans="1:7" x14ac:dyDescent="0.25">
      <c r="A83" s="23" t="s">
        <v>195</v>
      </c>
      <c r="B83" s="23" t="s">
        <v>254</v>
      </c>
      <c r="C83" s="23" t="s">
        <v>167</v>
      </c>
      <c r="D83" s="23" t="s">
        <v>168</v>
      </c>
      <c r="E83" s="23" t="s">
        <v>169</v>
      </c>
      <c r="F83" s="23" t="s">
        <v>170</v>
      </c>
      <c r="G83" s="24" t="str">
        <f>A83&amp;"|"&amp;B83</f>
        <v>Audi|RS6 Avant</v>
      </c>
    </row>
    <row r="84" ht="15" customHeight="1" spans="1:7" x14ac:dyDescent="0.25">
      <c r="A84" s="23" t="s">
        <v>195</v>
      </c>
      <c r="B84" s="23" t="s">
        <v>255</v>
      </c>
      <c r="C84" s="23" t="s">
        <v>167</v>
      </c>
      <c r="D84" s="23" t="s">
        <v>168</v>
      </c>
      <c r="E84" s="23" t="s">
        <v>169</v>
      </c>
      <c r="F84" s="23" t="s">
        <v>170</v>
      </c>
      <c r="G84" s="24" t="str">
        <f>A84&amp;"|"&amp;B84</f>
        <v>Audi|RS6 Sedan</v>
      </c>
    </row>
    <row r="85" ht="15" customHeight="1" spans="1:7" x14ac:dyDescent="0.25">
      <c r="A85" s="23" t="s">
        <v>195</v>
      </c>
      <c r="B85" s="23" t="s">
        <v>256</v>
      </c>
      <c r="C85" s="23" t="s">
        <v>167</v>
      </c>
      <c r="D85" s="23" t="s">
        <v>168</v>
      </c>
      <c r="E85" s="23" t="s">
        <v>169</v>
      </c>
      <c r="F85" s="23" t="s">
        <v>170</v>
      </c>
      <c r="G85" s="24" t="str">
        <f>A85&amp;"|"&amp;B85</f>
        <v>Audi|S3 2.0</v>
      </c>
    </row>
    <row r="86" ht="15" customHeight="1" spans="1:7" x14ac:dyDescent="0.25">
      <c r="A86" s="23" t="s">
        <v>195</v>
      </c>
      <c r="B86" s="23" t="s">
        <v>257</v>
      </c>
      <c r="C86" s="23" t="s">
        <v>167</v>
      </c>
      <c r="D86" s="23" t="s">
        <v>168</v>
      </c>
      <c r="E86" s="23" t="s">
        <v>169</v>
      </c>
      <c r="F86" s="23" t="s">
        <v>170</v>
      </c>
      <c r="G86" s="24" t="str">
        <f>A86&amp;"|"&amp;B86</f>
        <v>Audi|S4 3.0</v>
      </c>
    </row>
    <row r="87" ht="15" customHeight="1" spans="1:7" x14ac:dyDescent="0.25">
      <c r="A87" s="23" t="s">
        <v>195</v>
      </c>
      <c r="B87" s="23" t="s">
        <v>258</v>
      </c>
      <c r="C87" s="23" t="s">
        <v>167</v>
      </c>
      <c r="D87" s="23" t="s">
        <v>168</v>
      </c>
      <c r="E87" s="23" t="s">
        <v>169</v>
      </c>
      <c r="F87" s="23" t="s">
        <v>170</v>
      </c>
      <c r="G87" s="24" t="str">
        <f>A87&amp;"|"&amp;B87</f>
        <v>Audi|S4 4.2</v>
      </c>
    </row>
    <row r="88" ht="15" customHeight="1" spans="1:7" x14ac:dyDescent="0.25">
      <c r="A88" s="23" t="s">
        <v>195</v>
      </c>
      <c r="B88" s="23" t="s">
        <v>259</v>
      </c>
      <c r="C88" s="23" t="s">
        <v>167</v>
      </c>
      <c r="D88" s="23" t="s">
        <v>168</v>
      </c>
      <c r="E88" s="23" t="s">
        <v>169</v>
      </c>
      <c r="F88" s="23" t="s">
        <v>170</v>
      </c>
      <c r="G88" s="24" t="str">
        <f>A88&amp;"|"&amp;B88</f>
        <v>Audi|S4 4.2 Cabrio</v>
      </c>
    </row>
    <row r="89" ht="15" customHeight="1" spans="1:7" x14ac:dyDescent="0.25">
      <c r="A89" s="23" t="s">
        <v>195</v>
      </c>
      <c r="B89" s="23" t="s">
        <v>260</v>
      </c>
      <c r="C89" s="23" t="s">
        <v>167</v>
      </c>
      <c r="D89" s="23" t="s">
        <v>168</v>
      </c>
      <c r="E89" s="23" t="s">
        <v>169</v>
      </c>
      <c r="F89" s="23" t="s">
        <v>170</v>
      </c>
      <c r="G89" s="24" t="str">
        <f>A89&amp;"|"&amp;B89</f>
        <v>Audi|S5 4.2</v>
      </c>
    </row>
    <row r="90" ht="15" customHeight="1" spans="1:7" x14ac:dyDescent="0.25">
      <c r="A90" s="23" t="s">
        <v>195</v>
      </c>
      <c r="B90" s="23" t="s">
        <v>261</v>
      </c>
      <c r="C90" s="23" t="s">
        <v>167</v>
      </c>
      <c r="D90" s="23" t="s">
        <v>168</v>
      </c>
      <c r="E90" s="23" t="s">
        <v>169</v>
      </c>
      <c r="F90" s="23" t="s">
        <v>170</v>
      </c>
      <c r="G90" s="24" t="str">
        <f>A90&amp;"|"&amp;B90</f>
        <v>Audi|S6</v>
      </c>
    </row>
    <row r="91" ht="15" customHeight="1" spans="1:7" x14ac:dyDescent="0.25">
      <c r="A91" s="23" t="s">
        <v>195</v>
      </c>
      <c r="B91" s="23" t="s">
        <v>262</v>
      </c>
      <c r="C91" s="23" t="s">
        <v>167</v>
      </c>
      <c r="D91" s="23" t="s">
        <v>168</v>
      </c>
      <c r="E91" s="23" t="s">
        <v>169</v>
      </c>
      <c r="F91" s="23" t="s">
        <v>170</v>
      </c>
      <c r="G91" s="24" t="str">
        <f>A91&amp;"|"&amp;B91</f>
        <v>Audi|S8</v>
      </c>
    </row>
    <row r="92" ht="15" customHeight="1" spans="1:7" x14ac:dyDescent="0.25">
      <c r="A92" s="23" t="s">
        <v>195</v>
      </c>
      <c r="B92" s="23" t="s">
        <v>263</v>
      </c>
      <c r="C92" s="23" t="s">
        <v>167</v>
      </c>
      <c r="D92" s="23" t="s">
        <v>168</v>
      </c>
      <c r="E92" s="23" t="s">
        <v>169</v>
      </c>
      <c r="F92" s="23" t="s">
        <v>170</v>
      </c>
      <c r="G92" s="24" t="str">
        <f>A92&amp;"|"&amp;B92</f>
        <v>Audi|Sportback</v>
      </c>
    </row>
    <row r="93" ht="15" customHeight="1" spans="1:7" x14ac:dyDescent="0.25">
      <c r="A93" s="23" t="s">
        <v>195</v>
      </c>
      <c r="B93" s="23" t="s">
        <v>264</v>
      </c>
      <c r="C93" s="23" t="s">
        <v>167</v>
      </c>
      <c r="D93" s="23" t="s">
        <v>168</v>
      </c>
      <c r="E93" s="23" t="s">
        <v>169</v>
      </c>
      <c r="F93" s="23" t="s">
        <v>170</v>
      </c>
      <c r="G93" s="24" t="str">
        <f>A93&amp;"|"&amp;B93</f>
        <v>Audi|TT Coupe</v>
      </c>
    </row>
    <row r="94" ht="15" customHeight="1" spans="1:7" x14ac:dyDescent="0.25">
      <c r="A94" s="23" t="s">
        <v>195</v>
      </c>
      <c r="B94" s="23" t="s">
        <v>265</v>
      </c>
      <c r="C94" s="23" t="s">
        <v>167</v>
      </c>
      <c r="D94" s="23" t="s">
        <v>168</v>
      </c>
      <c r="E94" s="23" t="s">
        <v>169</v>
      </c>
      <c r="F94" s="23" t="s">
        <v>170</v>
      </c>
      <c r="G94" s="24" t="str">
        <f>A94&amp;"|"&amp;B94</f>
        <v>Audi|TT Roadster</v>
      </c>
    </row>
    <row r="95" ht="15" customHeight="1" spans="1:7" x14ac:dyDescent="0.25">
      <c r="A95" s="23" t="s">
        <v>195</v>
      </c>
      <c r="B95" s="23" t="s">
        <v>266</v>
      </c>
      <c r="C95" s="23" t="s">
        <v>167</v>
      </c>
      <c r="D95" s="23" t="s">
        <v>168</v>
      </c>
      <c r="E95" s="23" t="s">
        <v>169</v>
      </c>
      <c r="F95" s="23" t="s">
        <v>170</v>
      </c>
      <c r="G95" s="24" t="str">
        <f>A95&amp;"|"&amp;B95</f>
        <v>Audi|TTRS Coupe</v>
      </c>
    </row>
    <row r="96" ht="15" customHeight="1" spans="1:7" x14ac:dyDescent="0.25">
      <c r="A96" s="23" t="s">
        <v>195</v>
      </c>
      <c r="B96" s="23" t="s">
        <v>267</v>
      </c>
      <c r="C96" s="23" t="s">
        <v>167</v>
      </c>
      <c r="D96" s="23" t="s">
        <v>168</v>
      </c>
      <c r="E96" s="23" t="s">
        <v>169</v>
      </c>
      <c r="F96" s="23" t="s">
        <v>170</v>
      </c>
      <c r="G96" s="24" t="str">
        <f>A96&amp;"|"&amp;B96</f>
        <v>Audi|TTS Coupe</v>
      </c>
    </row>
    <row r="97" ht="15" customHeight="1" spans="1:7" x14ac:dyDescent="0.25">
      <c r="A97" s="23" t="s">
        <v>195</v>
      </c>
      <c r="B97" s="23" t="s">
        <v>268</v>
      </c>
      <c r="C97" s="23" t="s">
        <v>167</v>
      </c>
      <c r="D97" s="23" t="s">
        <v>168</v>
      </c>
      <c r="E97" s="23" t="s">
        <v>169</v>
      </c>
      <c r="F97" s="23" t="s">
        <v>170</v>
      </c>
      <c r="G97" s="24" t="str">
        <f>A97&amp;"|"&amp;B97</f>
        <v>Audi|TTS Roadster</v>
      </c>
    </row>
    <row r="98" ht="15" customHeight="1" spans="1:7" x14ac:dyDescent="0.25">
      <c r="A98" s="23" t="s">
        <v>269</v>
      </c>
      <c r="B98" s="23" t="s">
        <v>270</v>
      </c>
      <c r="C98" s="23" t="s">
        <v>271</v>
      </c>
      <c r="D98" s="23" t="s">
        <v>168</v>
      </c>
      <c r="E98" s="23" t="s">
        <v>272</v>
      </c>
      <c r="F98" s="23" t="s">
        <v>170</v>
      </c>
      <c r="G98" s="24" t="str">
        <f>A98&amp;"|"&amp;B98</f>
        <v>Auteco|D2S 150</v>
      </c>
    </row>
    <row r="99" ht="15" customHeight="1" spans="1:7" x14ac:dyDescent="0.25">
      <c r="A99" s="23" t="s">
        <v>269</v>
      </c>
      <c r="B99" s="23" t="s">
        <v>273</v>
      </c>
      <c r="C99" s="23" t="s">
        <v>271</v>
      </c>
      <c r="D99" s="23" t="s">
        <v>168</v>
      </c>
      <c r="E99" s="23" t="s">
        <v>272</v>
      </c>
      <c r="F99" s="23" t="s">
        <v>170</v>
      </c>
      <c r="G99" s="24" t="str">
        <f>A99&amp;"|"&amp;B99</f>
        <v>Auteco|D2S 250</v>
      </c>
    </row>
    <row r="100" ht="15" customHeight="1" spans="1:7" x14ac:dyDescent="0.25">
      <c r="A100" s="23" t="s">
        <v>269</v>
      </c>
      <c r="B100" s="23" t="s">
        <v>274</v>
      </c>
      <c r="C100" s="23" t="s">
        <v>162</v>
      </c>
      <c r="D100" s="23" t="s">
        <v>163</v>
      </c>
      <c r="E100" s="23" t="s">
        <v>275</v>
      </c>
      <c r="F100" s="23" t="s">
        <v>165</v>
      </c>
      <c r="G100" s="24" t="str">
        <f>A100&amp;"|"&amp;B100</f>
        <v>Auteco|E-TRUCK B2.0T</v>
      </c>
    </row>
    <row r="101" ht="15" customHeight="1" spans="1:7" x14ac:dyDescent="0.25">
      <c r="A101" s="23" t="s">
        <v>269</v>
      </c>
      <c r="B101" s="23" t="s">
        <v>276</v>
      </c>
      <c r="C101" s="23" t="s">
        <v>271</v>
      </c>
      <c r="D101" s="23" t="s">
        <v>163</v>
      </c>
      <c r="E101" s="23" t="s">
        <v>277</v>
      </c>
      <c r="F101" s="23" t="s">
        <v>165</v>
      </c>
      <c r="G101" s="24" t="str">
        <f>A101&amp;"|"&amp;B101</f>
        <v>Auteco|E-Van B2.4T</v>
      </c>
    </row>
    <row r="102" ht="15" customHeight="1" spans="1:7" x14ac:dyDescent="0.25">
      <c r="A102" s="23" t="s">
        <v>269</v>
      </c>
      <c r="B102" s="23" t="s">
        <v>278</v>
      </c>
      <c r="C102" s="23" t="s">
        <v>271</v>
      </c>
      <c r="D102" s="23" t="s">
        <v>163</v>
      </c>
      <c r="E102" s="23" t="s">
        <v>277</v>
      </c>
      <c r="F102" s="23" t="s">
        <v>165</v>
      </c>
      <c r="G102" s="24" t="str">
        <f>A102&amp;"|"&amp;B102</f>
        <v>Auteco|E-VAN S1.0T PRO</v>
      </c>
    </row>
    <row r="103" ht="15" customHeight="1" spans="1:7" x14ac:dyDescent="0.25">
      <c r="A103" s="23" t="s">
        <v>269</v>
      </c>
      <c r="B103" s="23" t="s">
        <v>279</v>
      </c>
      <c r="C103" s="23" t="s">
        <v>162</v>
      </c>
      <c r="D103" s="23" t="s">
        <v>163</v>
      </c>
      <c r="E103" s="23" t="s">
        <v>275</v>
      </c>
      <c r="F103" s="23" t="s">
        <v>165</v>
      </c>
      <c r="G103" s="24" t="str">
        <f>A103&amp;"|"&amp;B103</f>
        <v>Auteco|RICH 6 EV</v>
      </c>
    </row>
    <row r="104" ht="15" customHeight="1" spans="1:7" x14ac:dyDescent="0.25">
      <c r="A104" s="23" t="s">
        <v>269</v>
      </c>
      <c r="B104" s="23" t="s">
        <v>280</v>
      </c>
      <c r="C104" s="23" t="s">
        <v>162</v>
      </c>
      <c r="D104" s="23" t="s">
        <v>163</v>
      </c>
      <c r="E104" s="23" t="s">
        <v>275</v>
      </c>
      <c r="F104" s="23" t="s">
        <v>165</v>
      </c>
      <c r="G104" s="24" t="str">
        <f>A104&amp;"|"&amp;B104</f>
        <v>Auteco|Rich 7EV 4x4</v>
      </c>
    </row>
    <row r="105" ht="15" customHeight="1" spans="1:7" x14ac:dyDescent="0.25">
      <c r="A105" s="23" t="s">
        <v>281</v>
      </c>
      <c r="B105" s="23" t="s">
        <v>282</v>
      </c>
      <c r="C105" s="23" t="s">
        <v>167</v>
      </c>
      <c r="D105" s="23" t="s">
        <v>168</v>
      </c>
      <c r="E105" s="23" t="s">
        <v>169</v>
      </c>
      <c r="F105" s="23" t="s">
        <v>170</v>
      </c>
      <c r="G105" s="24" t="str">
        <f>A105&amp;"|"&amp;B105</f>
        <v>Bentley|Arnage R</v>
      </c>
    </row>
    <row r="106" ht="15" customHeight="1" spans="1:7" x14ac:dyDescent="0.25">
      <c r="A106" s="23" t="s">
        <v>281</v>
      </c>
      <c r="B106" s="23" t="s">
        <v>283</v>
      </c>
      <c r="C106" s="23" t="s">
        <v>167</v>
      </c>
      <c r="D106" s="23" t="s">
        <v>168</v>
      </c>
      <c r="E106" s="23" t="s">
        <v>169</v>
      </c>
      <c r="F106" s="23" t="s">
        <v>170</v>
      </c>
      <c r="G106" s="24" t="str">
        <f>A106&amp;"|"&amp;B106</f>
        <v>Bentley|Azure</v>
      </c>
    </row>
    <row r="107" ht="15" customHeight="1" spans="1:7" x14ac:dyDescent="0.25">
      <c r="A107" s="23" t="s">
        <v>281</v>
      </c>
      <c r="B107" s="23" t="s">
        <v>284</v>
      </c>
      <c r="C107" s="23" t="s">
        <v>167</v>
      </c>
      <c r="D107" s="23" t="s">
        <v>168</v>
      </c>
      <c r="E107" s="23" t="s">
        <v>169</v>
      </c>
      <c r="F107" s="23" t="s">
        <v>170</v>
      </c>
      <c r="G107" s="24" t="str">
        <f>A107&amp;"|"&amp;B107</f>
        <v>Bentley|Bentayga</v>
      </c>
    </row>
    <row r="108" ht="15" customHeight="1" spans="1:7" x14ac:dyDescent="0.25">
      <c r="A108" s="23" t="s">
        <v>281</v>
      </c>
      <c r="B108" s="23" t="s">
        <v>285</v>
      </c>
      <c r="C108" s="23" t="s">
        <v>167</v>
      </c>
      <c r="D108" s="23" t="s">
        <v>168</v>
      </c>
      <c r="E108" s="23" t="s">
        <v>169</v>
      </c>
      <c r="F108" s="23" t="s">
        <v>170</v>
      </c>
      <c r="G108" s="24" t="str">
        <f>A108&amp;"|"&amp;B108</f>
        <v>Bentley|Continental</v>
      </c>
    </row>
    <row r="109" ht="15" customHeight="1" spans="1:7" x14ac:dyDescent="0.25">
      <c r="A109" s="23" t="s">
        <v>281</v>
      </c>
      <c r="B109" s="23" t="s">
        <v>286</v>
      </c>
      <c r="C109" s="23" t="s">
        <v>167</v>
      </c>
      <c r="D109" s="23" t="s">
        <v>168</v>
      </c>
      <c r="E109" s="23" t="s">
        <v>169</v>
      </c>
      <c r="F109" s="23" t="s">
        <v>170</v>
      </c>
      <c r="G109" s="24" t="str">
        <f>A109&amp;"|"&amp;B109</f>
        <v>Bentley|Flying Spur</v>
      </c>
    </row>
    <row r="110" ht="15" customHeight="1" spans="1:7" x14ac:dyDescent="0.25">
      <c r="A110" s="23" t="s">
        <v>281</v>
      </c>
      <c r="B110" s="23" t="s">
        <v>287</v>
      </c>
      <c r="C110" s="23" t="s">
        <v>167</v>
      </c>
      <c r="D110" s="23" t="s">
        <v>168</v>
      </c>
      <c r="E110" s="23" t="s">
        <v>169</v>
      </c>
      <c r="F110" s="23" t="s">
        <v>170</v>
      </c>
      <c r="G110" s="24" t="str">
        <f>A110&amp;"|"&amp;B110</f>
        <v>Bentley|Mulsanne</v>
      </c>
    </row>
    <row r="111" ht="15" customHeight="1" spans="1:7" x14ac:dyDescent="0.25">
      <c r="A111" s="23" t="s">
        <v>288</v>
      </c>
      <c r="B111" s="23" t="s">
        <v>289</v>
      </c>
      <c r="C111" s="23" t="s">
        <v>167</v>
      </c>
      <c r="D111" s="23" t="s">
        <v>168</v>
      </c>
      <c r="E111" s="23" t="s">
        <v>169</v>
      </c>
      <c r="F111" s="23" t="s">
        <v>170</v>
      </c>
      <c r="G111" s="24" t="str">
        <f>A111&amp;"|"&amp;B111</f>
        <v>BMW|118I</v>
      </c>
    </row>
    <row r="112" ht="15" customHeight="1" spans="1:7" x14ac:dyDescent="0.25">
      <c r="A112" s="23" t="s">
        <v>288</v>
      </c>
      <c r="B112" s="23" t="s">
        <v>290</v>
      </c>
      <c r="C112" s="23" t="s">
        <v>167</v>
      </c>
      <c r="D112" s="23" t="s">
        <v>168</v>
      </c>
      <c r="E112" s="23" t="s">
        <v>169</v>
      </c>
      <c r="F112" s="23" t="s">
        <v>170</v>
      </c>
      <c r="G112" s="24" t="str">
        <f>A112&amp;"|"&amp;B112</f>
        <v>BMW|120I</v>
      </c>
    </row>
    <row r="113" ht="15" customHeight="1" spans="1:7" x14ac:dyDescent="0.25">
      <c r="A113" s="23" t="s">
        <v>288</v>
      </c>
      <c r="B113" s="23" t="s">
        <v>291</v>
      </c>
      <c r="C113" s="23" t="s">
        <v>167</v>
      </c>
      <c r="D113" s="23" t="s">
        <v>168</v>
      </c>
      <c r="E113" s="23" t="s">
        <v>169</v>
      </c>
      <c r="F113" s="23" t="s">
        <v>170</v>
      </c>
      <c r="G113" s="24" t="str">
        <f>A113&amp;"|"&amp;B113</f>
        <v>BMW|120i 3p</v>
      </c>
    </row>
    <row r="114" ht="15" customHeight="1" spans="1:7" x14ac:dyDescent="0.25">
      <c r="A114" s="23" t="s">
        <v>288</v>
      </c>
      <c r="B114" s="23" t="s">
        <v>292</v>
      </c>
      <c r="C114" s="23" t="s">
        <v>167</v>
      </c>
      <c r="D114" s="23" t="s">
        <v>168</v>
      </c>
      <c r="E114" s="23" t="s">
        <v>169</v>
      </c>
      <c r="F114" s="23" t="s">
        <v>170</v>
      </c>
      <c r="G114" s="24" t="str">
        <f>A114&amp;"|"&amp;B114</f>
        <v>BMW|125i Coupe</v>
      </c>
    </row>
    <row r="115" ht="15" customHeight="1" spans="1:7" x14ac:dyDescent="0.25">
      <c r="A115" s="23" t="s">
        <v>288</v>
      </c>
      <c r="B115" s="23" t="s">
        <v>293</v>
      </c>
      <c r="C115" s="23" t="s">
        <v>167</v>
      </c>
      <c r="D115" s="23" t="s">
        <v>168</v>
      </c>
      <c r="E115" s="23" t="s">
        <v>169</v>
      </c>
      <c r="F115" s="23" t="s">
        <v>170</v>
      </c>
      <c r="G115" s="24" t="str">
        <f>A115&amp;"|"&amp;B115</f>
        <v>BMW|130I</v>
      </c>
    </row>
    <row r="116" ht="15" customHeight="1" spans="1:7" x14ac:dyDescent="0.25">
      <c r="A116" s="23" t="s">
        <v>288</v>
      </c>
      <c r="B116" s="23" t="s">
        <v>294</v>
      </c>
      <c r="C116" s="23" t="s">
        <v>167</v>
      </c>
      <c r="D116" s="23" t="s">
        <v>168</v>
      </c>
      <c r="E116" s="23" t="s">
        <v>169</v>
      </c>
      <c r="F116" s="23" t="s">
        <v>170</v>
      </c>
      <c r="G116" s="24" t="str">
        <f>A116&amp;"|"&amp;B116</f>
        <v>BMW|130i 3p</v>
      </c>
    </row>
    <row r="117" ht="15" customHeight="1" spans="1:7" x14ac:dyDescent="0.25">
      <c r="A117" s="23" t="s">
        <v>288</v>
      </c>
      <c r="B117" s="23" t="s">
        <v>295</v>
      </c>
      <c r="C117" s="23" t="s">
        <v>167</v>
      </c>
      <c r="D117" s="23" t="s">
        <v>168</v>
      </c>
      <c r="E117" s="23" t="s">
        <v>169</v>
      </c>
      <c r="F117" s="23" t="s">
        <v>170</v>
      </c>
      <c r="G117" s="24" t="str">
        <f>A117&amp;"|"&amp;B117</f>
        <v>BMW|135i Coupe</v>
      </c>
    </row>
    <row r="118" ht="15" customHeight="1" spans="1:7" x14ac:dyDescent="0.25">
      <c r="A118" s="23" t="s">
        <v>288</v>
      </c>
      <c r="B118" s="23" t="s">
        <v>296</v>
      </c>
      <c r="C118" s="23" t="s">
        <v>167</v>
      </c>
      <c r="D118" s="23" t="s">
        <v>168</v>
      </c>
      <c r="E118" s="23" t="s">
        <v>169</v>
      </c>
      <c r="F118" s="23" t="s">
        <v>170</v>
      </c>
      <c r="G118" s="24" t="str">
        <f>A118&amp;"|"&amp;B118</f>
        <v>BMW|320I</v>
      </c>
    </row>
    <row r="119" ht="15" customHeight="1" spans="1:7" x14ac:dyDescent="0.25">
      <c r="A119" s="23" t="s">
        <v>288</v>
      </c>
      <c r="B119" s="23" t="s">
        <v>297</v>
      </c>
      <c r="C119" s="23" t="s">
        <v>167</v>
      </c>
      <c r="D119" s="23" t="s">
        <v>168</v>
      </c>
      <c r="E119" s="23" t="s">
        <v>169</v>
      </c>
      <c r="F119" s="23" t="s">
        <v>170</v>
      </c>
      <c r="G119" s="24" t="str">
        <f>A119&amp;"|"&amp;B119</f>
        <v>BMW|325CI</v>
      </c>
    </row>
    <row r="120" ht="15" customHeight="1" spans="1:7" x14ac:dyDescent="0.25">
      <c r="A120" s="23" t="s">
        <v>288</v>
      </c>
      <c r="B120" s="23" t="s">
        <v>298</v>
      </c>
      <c r="C120" s="23" t="s">
        <v>167</v>
      </c>
      <c r="D120" s="23" t="s">
        <v>168</v>
      </c>
      <c r="E120" s="23" t="s">
        <v>169</v>
      </c>
      <c r="F120" s="23" t="s">
        <v>170</v>
      </c>
      <c r="G120" s="24" t="str">
        <f>A120&amp;"|"&amp;B120</f>
        <v>BMW|325CI Cabrio</v>
      </c>
    </row>
    <row r="121" ht="15" customHeight="1" spans="1:7" x14ac:dyDescent="0.25">
      <c r="A121" s="23" t="s">
        <v>288</v>
      </c>
      <c r="B121" s="23" t="s">
        <v>299</v>
      </c>
      <c r="C121" s="23" t="s">
        <v>167</v>
      </c>
      <c r="D121" s="23" t="s">
        <v>168</v>
      </c>
      <c r="E121" s="23" t="s">
        <v>169</v>
      </c>
      <c r="F121" s="23" t="s">
        <v>170</v>
      </c>
      <c r="G121" s="24" t="str">
        <f>A121&amp;"|"&amp;B121</f>
        <v>BMW|325I</v>
      </c>
    </row>
    <row r="122" ht="15" customHeight="1" spans="1:7" x14ac:dyDescent="0.25">
      <c r="A122" s="23" t="s">
        <v>288</v>
      </c>
      <c r="B122" s="23" t="s">
        <v>300</v>
      </c>
      <c r="C122" s="23" t="s">
        <v>167</v>
      </c>
      <c r="D122" s="23" t="s">
        <v>168</v>
      </c>
      <c r="E122" s="23" t="s">
        <v>169</v>
      </c>
      <c r="F122" s="23" t="s">
        <v>170</v>
      </c>
      <c r="G122" s="24" t="str">
        <f>A122&amp;"|"&amp;B122</f>
        <v>BMW|325i Cabrio</v>
      </c>
    </row>
    <row r="123" ht="15" customHeight="1" spans="1:7" x14ac:dyDescent="0.25">
      <c r="A123" s="23" t="s">
        <v>288</v>
      </c>
      <c r="B123" s="23" t="s">
        <v>301</v>
      </c>
      <c r="C123" s="23" t="s">
        <v>167</v>
      </c>
      <c r="D123" s="23" t="s">
        <v>168</v>
      </c>
      <c r="E123" s="23" t="s">
        <v>169</v>
      </c>
      <c r="F123" s="23" t="s">
        <v>170</v>
      </c>
      <c r="G123" s="24" t="str">
        <f>A123&amp;"|"&amp;B123</f>
        <v>BMW|325i Coupe</v>
      </c>
    </row>
    <row r="124" ht="15" customHeight="1" spans="1:7" x14ac:dyDescent="0.25">
      <c r="A124" s="23" t="s">
        <v>288</v>
      </c>
      <c r="B124" s="23" t="s">
        <v>302</v>
      </c>
      <c r="C124" s="23" t="s">
        <v>167</v>
      </c>
      <c r="D124" s="23" t="s">
        <v>168</v>
      </c>
      <c r="E124" s="23" t="s">
        <v>169</v>
      </c>
      <c r="F124" s="23" t="s">
        <v>170</v>
      </c>
      <c r="G124" s="24" t="str">
        <f>A124&amp;"|"&amp;B124</f>
        <v>BMW|325I SDK</v>
      </c>
    </row>
    <row r="125" ht="15" customHeight="1" spans="1:7" x14ac:dyDescent="0.25">
      <c r="A125" s="23" t="s">
        <v>288</v>
      </c>
      <c r="B125" s="23" t="s">
        <v>303</v>
      </c>
      <c r="C125" s="23" t="s">
        <v>167</v>
      </c>
      <c r="D125" s="23" t="s">
        <v>168</v>
      </c>
      <c r="E125" s="23" t="s">
        <v>169</v>
      </c>
      <c r="F125" s="23" t="s">
        <v>170</v>
      </c>
      <c r="G125" s="24" t="str">
        <f>A125&amp;"|"&amp;B125</f>
        <v>BMW|330CI</v>
      </c>
    </row>
    <row r="126" ht="15" customHeight="1" spans="1:7" x14ac:dyDescent="0.25">
      <c r="A126" s="23" t="s">
        <v>288</v>
      </c>
      <c r="B126" s="23" t="s">
        <v>304</v>
      </c>
      <c r="C126" s="23" t="s">
        <v>167</v>
      </c>
      <c r="D126" s="23" t="s">
        <v>168</v>
      </c>
      <c r="E126" s="23" t="s">
        <v>169</v>
      </c>
      <c r="F126" s="23" t="s">
        <v>170</v>
      </c>
      <c r="G126" s="24" t="str">
        <f>A126&amp;"|"&amp;B126</f>
        <v>BMW|330CI Cabrio</v>
      </c>
    </row>
    <row r="127" ht="15" customHeight="1" spans="1:7" x14ac:dyDescent="0.25">
      <c r="A127" s="23" t="s">
        <v>288</v>
      </c>
      <c r="B127" s="23" t="s">
        <v>305</v>
      </c>
      <c r="C127" s="23" t="s">
        <v>167</v>
      </c>
      <c r="D127" s="23" t="s">
        <v>168</v>
      </c>
      <c r="E127" s="23" t="s">
        <v>169</v>
      </c>
      <c r="F127" s="23" t="s">
        <v>170</v>
      </c>
      <c r="G127" s="24" t="str">
        <f>A127&amp;"|"&amp;B127</f>
        <v>BMW|330I</v>
      </c>
    </row>
    <row r="128" ht="15" customHeight="1" spans="1:7" x14ac:dyDescent="0.25">
      <c r="A128" s="23" t="s">
        <v>288</v>
      </c>
      <c r="B128" s="23" t="s">
        <v>306</v>
      </c>
      <c r="C128" s="23" t="s">
        <v>167</v>
      </c>
      <c r="D128" s="23" t="s">
        <v>168</v>
      </c>
      <c r="E128" s="23" t="s">
        <v>169</v>
      </c>
      <c r="F128" s="23" t="s">
        <v>170</v>
      </c>
      <c r="G128" s="24" t="str">
        <f>A128&amp;"|"&amp;B128</f>
        <v>BMW|335i</v>
      </c>
    </row>
    <row r="129" ht="15" customHeight="1" spans="1:7" x14ac:dyDescent="0.25">
      <c r="A129" s="23" t="s">
        <v>288</v>
      </c>
      <c r="B129" s="23" t="s">
        <v>307</v>
      </c>
      <c r="C129" s="23" t="s">
        <v>167</v>
      </c>
      <c r="D129" s="23" t="s">
        <v>168</v>
      </c>
      <c r="E129" s="23" t="s">
        <v>169</v>
      </c>
      <c r="F129" s="23" t="s">
        <v>170</v>
      </c>
      <c r="G129" s="24" t="str">
        <f>A129&amp;"|"&amp;B129</f>
        <v>BMW|335i Cabrio</v>
      </c>
    </row>
    <row r="130" ht="15" customHeight="1" spans="1:7" x14ac:dyDescent="0.25">
      <c r="A130" s="23" t="s">
        <v>288</v>
      </c>
      <c r="B130" s="23" t="s">
        <v>308</v>
      </c>
      <c r="C130" s="23" t="s">
        <v>167</v>
      </c>
      <c r="D130" s="23" t="s">
        <v>168</v>
      </c>
      <c r="E130" s="23" t="s">
        <v>169</v>
      </c>
      <c r="F130" s="23" t="s">
        <v>170</v>
      </c>
      <c r="G130" s="24" t="str">
        <f>A130&amp;"|"&amp;B130</f>
        <v>BMW|335i Coupe</v>
      </c>
    </row>
    <row r="131" ht="15" customHeight="1" spans="1:7" x14ac:dyDescent="0.25">
      <c r="A131" s="23" t="s">
        <v>288</v>
      </c>
      <c r="B131" s="23" t="s">
        <v>309</v>
      </c>
      <c r="C131" s="23" t="s">
        <v>167</v>
      </c>
      <c r="D131" s="23" t="s">
        <v>168</v>
      </c>
      <c r="E131" s="23" t="s">
        <v>169</v>
      </c>
      <c r="F131" s="23" t="s">
        <v>170</v>
      </c>
      <c r="G131" s="24" t="str">
        <f>A131&amp;"|"&amp;B131</f>
        <v>BMW|525I</v>
      </c>
    </row>
    <row r="132" ht="15" customHeight="1" spans="1:7" x14ac:dyDescent="0.25">
      <c r="A132" s="23" t="s">
        <v>288</v>
      </c>
      <c r="B132" s="23" t="s">
        <v>310</v>
      </c>
      <c r="C132" s="23" t="s">
        <v>167</v>
      </c>
      <c r="D132" s="23" t="s">
        <v>168</v>
      </c>
      <c r="E132" s="23" t="s">
        <v>169</v>
      </c>
      <c r="F132" s="23" t="s">
        <v>170</v>
      </c>
      <c r="G132" s="24" t="str">
        <f>A132&amp;"|"&amp;B132</f>
        <v>BMW|528I</v>
      </c>
    </row>
    <row r="133" ht="15" customHeight="1" spans="1:7" x14ac:dyDescent="0.25">
      <c r="A133" s="23" t="s">
        <v>288</v>
      </c>
      <c r="B133" s="23" t="s">
        <v>311</v>
      </c>
      <c r="C133" s="23" t="s">
        <v>167</v>
      </c>
      <c r="D133" s="23" t="s">
        <v>168</v>
      </c>
      <c r="E133" s="23" t="s">
        <v>169</v>
      </c>
      <c r="F133" s="23" t="s">
        <v>170</v>
      </c>
      <c r="G133" s="24" t="str">
        <f>A133&amp;"|"&amp;B133</f>
        <v>BMW|530I</v>
      </c>
    </row>
    <row r="134" ht="15" customHeight="1" spans="1:7" x14ac:dyDescent="0.25">
      <c r="A134" s="23" t="s">
        <v>288</v>
      </c>
      <c r="B134" s="23" t="s">
        <v>312</v>
      </c>
      <c r="C134" s="23" t="s">
        <v>167</v>
      </c>
      <c r="D134" s="23" t="s">
        <v>168</v>
      </c>
      <c r="E134" s="23" t="s">
        <v>169</v>
      </c>
      <c r="F134" s="23" t="s">
        <v>170</v>
      </c>
      <c r="G134" s="24" t="str">
        <f>A134&amp;"|"&amp;B134</f>
        <v>BMW|535I</v>
      </c>
    </row>
    <row r="135" ht="15" customHeight="1" spans="1:7" x14ac:dyDescent="0.25">
      <c r="A135" s="23" t="s">
        <v>288</v>
      </c>
      <c r="B135" s="23" t="s">
        <v>313</v>
      </c>
      <c r="C135" s="23" t="s">
        <v>167</v>
      </c>
      <c r="D135" s="23" t="s">
        <v>168</v>
      </c>
      <c r="E135" s="23" t="s">
        <v>169</v>
      </c>
      <c r="F135" s="23" t="s">
        <v>170</v>
      </c>
      <c r="G135" s="24" t="str">
        <f>A135&amp;"|"&amp;B135</f>
        <v>BMW|535i Gran Turismo</v>
      </c>
    </row>
    <row r="136" ht="15" customHeight="1" spans="1:7" x14ac:dyDescent="0.25">
      <c r="A136" s="23" t="s">
        <v>288</v>
      </c>
      <c r="B136" s="23" t="s">
        <v>314</v>
      </c>
      <c r="C136" s="23" t="s">
        <v>167</v>
      </c>
      <c r="D136" s="23" t="s">
        <v>168</v>
      </c>
      <c r="E136" s="23" t="s">
        <v>169</v>
      </c>
      <c r="F136" s="23" t="s">
        <v>170</v>
      </c>
      <c r="G136" s="24" t="str">
        <f>A136&amp;"|"&amp;B136</f>
        <v>BMW|540I</v>
      </c>
    </row>
    <row r="137" ht="15" customHeight="1" spans="1:7" x14ac:dyDescent="0.25">
      <c r="A137" s="23" t="s">
        <v>288</v>
      </c>
      <c r="B137" s="23" t="s">
        <v>315</v>
      </c>
      <c r="C137" s="23" t="s">
        <v>167</v>
      </c>
      <c r="D137" s="23" t="s">
        <v>168</v>
      </c>
      <c r="E137" s="23" t="s">
        <v>169</v>
      </c>
      <c r="F137" s="23" t="s">
        <v>170</v>
      </c>
      <c r="G137" s="24" t="str">
        <f>A137&amp;"|"&amp;B137</f>
        <v>BMW|545I</v>
      </c>
    </row>
    <row r="138" ht="15" customHeight="1" spans="1:7" x14ac:dyDescent="0.25">
      <c r="A138" s="23" t="s">
        <v>288</v>
      </c>
      <c r="B138" s="23" t="s">
        <v>316</v>
      </c>
      <c r="C138" s="23" t="s">
        <v>167</v>
      </c>
      <c r="D138" s="23" t="s">
        <v>168</v>
      </c>
      <c r="E138" s="23" t="s">
        <v>169</v>
      </c>
      <c r="F138" s="23" t="s">
        <v>170</v>
      </c>
      <c r="G138" s="24" t="str">
        <f>A138&amp;"|"&amp;B138</f>
        <v>BMW|550I</v>
      </c>
    </row>
    <row r="139" ht="15" customHeight="1" spans="1:7" x14ac:dyDescent="0.25">
      <c r="A139" s="23" t="s">
        <v>288</v>
      </c>
      <c r="B139" s="23" t="s">
        <v>317</v>
      </c>
      <c r="C139" s="23" t="s">
        <v>167</v>
      </c>
      <c r="D139" s="23" t="s">
        <v>168</v>
      </c>
      <c r="E139" s="23" t="s">
        <v>169</v>
      </c>
      <c r="F139" s="23" t="s">
        <v>170</v>
      </c>
      <c r="G139" s="24" t="str">
        <f>A139&amp;"|"&amp;B139</f>
        <v>BMW|550i Gran Turismo</v>
      </c>
    </row>
    <row r="140" ht="15" customHeight="1" spans="1:7" x14ac:dyDescent="0.25">
      <c r="A140" s="23" t="s">
        <v>288</v>
      </c>
      <c r="B140" s="23" t="s">
        <v>318</v>
      </c>
      <c r="C140" s="23" t="s">
        <v>167</v>
      </c>
      <c r="D140" s="23" t="s">
        <v>168</v>
      </c>
      <c r="E140" s="23" t="s">
        <v>169</v>
      </c>
      <c r="F140" s="23" t="s">
        <v>170</v>
      </c>
      <c r="G140" s="24" t="str">
        <f>A140&amp;"|"&amp;B140</f>
        <v>BMW|645CI</v>
      </c>
    </row>
    <row r="141" ht="15" customHeight="1" spans="1:7" x14ac:dyDescent="0.25">
      <c r="A141" s="23" t="s">
        <v>288</v>
      </c>
      <c r="B141" s="23" t="s">
        <v>319</v>
      </c>
      <c r="C141" s="23" t="s">
        <v>167</v>
      </c>
      <c r="D141" s="23" t="s">
        <v>168</v>
      </c>
      <c r="E141" s="23" t="s">
        <v>169</v>
      </c>
      <c r="F141" s="23" t="s">
        <v>170</v>
      </c>
      <c r="G141" s="24" t="str">
        <f>A141&amp;"|"&amp;B141</f>
        <v>BMW|645CI Cabrio</v>
      </c>
    </row>
    <row r="142" ht="15" customHeight="1" spans="1:7" x14ac:dyDescent="0.25">
      <c r="A142" s="23" t="s">
        <v>288</v>
      </c>
      <c r="B142" s="23" t="s">
        <v>320</v>
      </c>
      <c r="C142" s="23" t="s">
        <v>167</v>
      </c>
      <c r="D142" s="23" t="s">
        <v>168</v>
      </c>
      <c r="E142" s="23" t="s">
        <v>169</v>
      </c>
      <c r="F142" s="23" t="s">
        <v>170</v>
      </c>
      <c r="G142" s="24" t="str">
        <f>A142&amp;"|"&amp;B142</f>
        <v>BMW|650I</v>
      </c>
    </row>
    <row r="143" ht="15" customHeight="1" spans="1:7" x14ac:dyDescent="0.25">
      <c r="A143" s="23" t="s">
        <v>288</v>
      </c>
      <c r="B143" s="23" t="s">
        <v>321</v>
      </c>
      <c r="C143" s="23" t="s">
        <v>167</v>
      </c>
      <c r="D143" s="23" t="s">
        <v>168</v>
      </c>
      <c r="E143" s="23" t="s">
        <v>169</v>
      </c>
      <c r="F143" s="23" t="s">
        <v>170</v>
      </c>
      <c r="G143" s="24" t="str">
        <f>A143&amp;"|"&amp;B143</f>
        <v>BMW|650i Cabrio</v>
      </c>
    </row>
    <row r="144" ht="15" customHeight="1" spans="1:7" x14ac:dyDescent="0.25">
      <c r="A144" s="23" t="s">
        <v>288</v>
      </c>
      <c r="B144" s="23" t="s">
        <v>322</v>
      </c>
      <c r="C144" s="23" t="s">
        <v>167</v>
      </c>
      <c r="D144" s="23" t="s">
        <v>168</v>
      </c>
      <c r="E144" s="23" t="s">
        <v>169</v>
      </c>
      <c r="F144" s="23" t="s">
        <v>170</v>
      </c>
      <c r="G144" s="24" t="str">
        <f>A144&amp;"|"&amp;B144</f>
        <v>BMW|740I</v>
      </c>
    </row>
    <row r="145" ht="15" customHeight="1" spans="1:7" x14ac:dyDescent="0.25">
      <c r="A145" s="23" t="s">
        <v>288</v>
      </c>
      <c r="B145" s="23" t="s">
        <v>323</v>
      </c>
      <c r="C145" s="23" t="s">
        <v>167</v>
      </c>
      <c r="D145" s="23" t="s">
        <v>168</v>
      </c>
      <c r="E145" s="23" t="s">
        <v>169</v>
      </c>
      <c r="F145" s="23" t="s">
        <v>170</v>
      </c>
      <c r="G145" s="24" t="str">
        <f>A145&amp;"|"&amp;B145</f>
        <v>BMW|745I</v>
      </c>
    </row>
    <row r="146" ht="15" customHeight="1" spans="1:7" x14ac:dyDescent="0.25">
      <c r="A146" s="23" t="s">
        <v>288</v>
      </c>
      <c r="B146" s="23" t="s">
        <v>324</v>
      </c>
      <c r="C146" s="23" t="s">
        <v>167</v>
      </c>
      <c r="D146" s="23" t="s">
        <v>168</v>
      </c>
      <c r="E146" s="23" t="s">
        <v>169</v>
      </c>
      <c r="F146" s="23" t="s">
        <v>170</v>
      </c>
      <c r="G146" s="24" t="str">
        <f>A146&amp;"|"&amp;B146</f>
        <v>BMW|750I</v>
      </c>
    </row>
    <row r="147" ht="15" customHeight="1" spans="1:7" x14ac:dyDescent="0.25">
      <c r="A147" s="23" t="s">
        <v>288</v>
      </c>
      <c r="B147" s="23" t="s">
        <v>325</v>
      </c>
      <c r="C147" s="23" t="s">
        <v>167</v>
      </c>
      <c r="D147" s="23" t="s">
        <v>168</v>
      </c>
      <c r="E147" s="23" t="s">
        <v>169</v>
      </c>
      <c r="F147" s="23" t="s">
        <v>170</v>
      </c>
      <c r="G147" s="24" t="str">
        <f>A147&amp;"|"&amp;B147</f>
        <v>BMW|760LI</v>
      </c>
    </row>
    <row r="148" ht="15" customHeight="1" spans="1:7" x14ac:dyDescent="0.25">
      <c r="A148" s="23" t="s">
        <v>288</v>
      </c>
      <c r="B148" s="23" t="s">
        <v>326</v>
      </c>
      <c r="C148" s="23" t="s">
        <v>167</v>
      </c>
      <c r="D148" s="23" t="s">
        <v>168</v>
      </c>
      <c r="E148" s="23" t="s">
        <v>169</v>
      </c>
      <c r="F148" s="23" t="s">
        <v>170</v>
      </c>
      <c r="G148" s="24" t="str">
        <f>A148&amp;"|"&amp;B148</f>
        <v>BMW|i3</v>
      </c>
    </row>
    <row r="149" ht="15" customHeight="1" spans="1:7" x14ac:dyDescent="0.25">
      <c r="A149" s="23" t="s">
        <v>288</v>
      </c>
      <c r="B149" s="23" t="s">
        <v>327</v>
      </c>
      <c r="C149" s="23" t="s">
        <v>167</v>
      </c>
      <c r="D149" s="23" t="s">
        <v>168</v>
      </c>
      <c r="E149" s="23" t="s">
        <v>169</v>
      </c>
      <c r="F149" s="23" t="s">
        <v>170</v>
      </c>
      <c r="G149" s="24" t="str">
        <f>A149&amp;"|"&amp;B149</f>
        <v>BMW|i4</v>
      </c>
    </row>
    <row r="150" ht="15" customHeight="1" spans="1:7" x14ac:dyDescent="0.25">
      <c r="A150" s="23" t="s">
        <v>288</v>
      </c>
      <c r="B150" s="23" t="s">
        <v>328</v>
      </c>
      <c r="C150" s="23" t="s">
        <v>167</v>
      </c>
      <c r="D150" s="23" t="s">
        <v>168</v>
      </c>
      <c r="E150" s="23" t="s">
        <v>169</v>
      </c>
      <c r="F150" s="23" t="s">
        <v>170</v>
      </c>
      <c r="G150" s="24" t="str">
        <f>A150&amp;"|"&amp;B150</f>
        <v>BMW|i5</v>
      </c>
    </row>
    <row r="151" ht="15" customHeight="1" spans="1:7" x14ac:dyDescent="0.25">
      <c r="A151" s="23" t="s">
        <v>288</v>
      </c>
      <c r="B151" s="23" t="s">
        <v>329</v>
      </c>
      <c r="C151" s="23" t="s">
        <v>167</v>
      </c>
      <c r="D151" s="23" t="s">
        <v>168</v>
      </c>
      <c r="E151" s="23" t="s">
        <v>169</v>
      </c>
      <c r="F151" s="23" t="s">
        <v>170</v>
      </c>
      <c r="G151" s="24" t="str">
        <f>A151&amp;"|"&amp;B151</f>
        <v>BMW|i7</v>
      </c>
    </row>
    <row r="152" ht="15" customHeight="1" spans="1:7" x14ac:dyDescent="0.25">
      <c r="A152" s="23" t="s">
        <v>288</v>
      </c>
      <c r="B152" s="23" t="s">
        <v>330</v>
      </c>
      <c r="C152" s="23" t="s">
        <v>167</v>
      </c>
      <c r="D152" s="23" t="s">
        <v>168</v>
      </c>
      <c r="E152" s="23" t="s">
        <v>175</v>
      </c>
      <c r="F152" s="23" t="s">
        <v>170</v>
      </c>
      <c r="G152" s="24" t="str">
        <f>A152&amp;"|"&amp;B152</f>
        <v>BMW|i8</v>
      </c>
    </row>
    <row r="153" ht="15" customHeight="1" spans="1:7" x14ac:dyDescent="0.25">
      <c r="A153" s="23" t="s">
        <v>288</v>
      </c>
      <c r="B153" s="23" t="s">
        <v>331</v>
      </c>
      <c r="C153" s="23" t="s">
        <v>162</v>
      </c>
      <c r="D153" s="23" t="s">
        <v>163</v>
      </c>
      <c r="E153" s="23" t="s">
        <v>164</v>
      </c>
      <c r="F153" s="23" t="s">
        <v>165</v>
      </c>
      <c r="G153" s="24" t="str">
        <f>A153&amp;"|"&amp;B153</f>
        <v>BMW|iX</v>
      </c>
    </row>
    <row r="154" ht="15" customHeight="1" spans="1:7" x14ac:dyDescent="0.25">
      <c r="A154" s="23" t="s">
        <v>288</v>
      </c>
      <c r="B154" s="23" t="s">
        <v>332</v>
      </c>
      <c r="C154" s="23" t="s">
        <v>167</v>
      </c>
      <c r="D154" s="23" t="s">
        <v>168</v>
      </c>
      <c r="E154" s="23" t="s">
        <v>169</v>
      </c>
      <c r="F154" s="23" t="s">
        <v>170</v>
      </c>
      <c r="G154" s="24" t="str">
        <f>A154&amp;"|"&amp;B154</f>
        <v>BMW|iX1</v>
      </c>
    </row>
    <row r="155" ht="15" customHeight="1" spans="1:7" x14ac:dyDescent="0.25">
      <c r="A155" s="23" t="s">
        <v>288</v>
      </c>
      <c r="B155" s="23" t="s">
        <v>333</v>
      </c>
      <c r="C155" s="23" t="s">
        <v>162</v>
      </c>
      <c r="D155" s="23" t="s">
        <v>163</v>
      </c>
      <c r="E155" s="23" t="s">
        <v>164</v>
      </c>
      <c r="F155" s="23" t="s">
        <v>165</v>
      </c>
      <c r="G155" s="24" t="str">
        <f>A155&amp;"|"&amp;B155</f>
        <v>BMW|iX2</v>
      </c>
    </row>
    <row r="156" ht="15" customHeight="1" spans="1:7" x14ac:dyDescent="0.25">
      <c r="A156" s="23" t="s">
        <v>288</v>
      </c>
      <c r="B156" s="23" t="s">
        <v>334</v>
      </c>
      <c r="C156" s="23" t="s">
        <v>162</v>
      </c>
      <c r="D156" s="23" t="s">
        <v>163</v>
      </c>
      <c r="E156" s="23" t="s">
        <v>164</v>
      </c>
      <c r="F156" s="23" t="s">
        <v>165</v>
      </c>
      <c r="G156" s="24" t="str">
        <f>A156&amp;"|"&amp;B156</f>
        <v>BMW|iX3</v>
      </c>
    </row>
    <row r="157" ht="15" customHeight="1" spans="1:7" x14ac:dyDescent="0.25">
      <c r="A157" s="23" t="s">
        <v>288</v>
      </c>
      <c r="B157" s="23" t="s">
        <v>335</v>
      </c>
      <c r="C157" s="23" t="s">
        <v>167</v>
      </c>
      <c r="D157" s="23" t="s">
        <v>168</v>
      </c>
      <c r="E157" s="23" t="s">
        <v>169</v>
      </c>
      <c r="F157" s="23" t="s">
        <v>170</v>
      </c>
      <c r="G157" s="24" t="str">
        <f>A157&amp;"|"&amp;B157</f>
        <v>BMW|M3</v>
      </c>
    </row>
    <row r="158" ht="15" customHeight="1" spans="1:7" x14ac:dyDescent="0.25">
      <c r="A158" s="23" t="s">
        <v>288</v>
      </c>
      <c r="B158" s="23" t="s">
        <v>336</v>
      </c>
      <c r="C158" s="23" t="s">
        <v>167</v>
      </c>
      <c r="D158" s="23" t="s">
        <v>168</v>
      </c>
      <c r="E158" s="23" t="s">
        <v>169</v>
      </c>
      <c r="F158" s="23" t="s">
        <v>170</v>
      </c>
      <c r="G158" s="24" t="str">
        <f>A158&amp;"|"&amp;B158</f>
        <v>BMW|M3 Cabrio</v>
      </c>
    </row>
    <row r="159" ht="15" customHeight="1" spans="1:7" x14ac:dyDescent="0.25">
      <c r="A159" s="23" t="s">
        <v>288</v>
      </c>
      <c r="B159" s="23" t="s">
        <v>337</v>
      </c>
      <c r="C159" s="23" t="s">
        <v>167</v>
      </c>
      <c r="D159" s="23" t="s">
        <v>168</v>
      </c>
      <c r="E159" s="23" t="s">
        <v>169</v>
      </c>
      <c r="F159" s="23" t="s">
        <v>170</v>
      </c>
      <c r="G159" s="24" t="str">
        <f>A159&amp;"|"&amp;B159</f>
        <v>BMW|M3 Sedan</v>
      </c>
    </row>
    <row r="160" ht="15" customHeight="1" spans="1:7" x14ac:dyDescent="0.25">
      <c r="A160" s="23" t="s">
        <v>288</v>
      </c>
      <c r="B160" s="23" t="s">
        <v>338</v>
      </c>
      <c r="C160" s="23" t="s">
        <v>167</v>
      </c>
      <c r="D160" s="23" t="s">
        <v>168</v>
      </c>
      <c r="E160" s="23" t="s">
        <v>169</v>
      </c>
      <c r="F160" s="23" t="s">
        <v>170</v>
      </c>
      <c r="G160" s="24" t="str">
        <f>A160&amp;"|"&amp;B160</f>
        <v>BMW|M5</v>
      </c>
    </row>
    <row r="161" ht="15" customHeight="1" spans="1:7" x14ac:dyDescent="0.25">
      <c r="A161" s="23" t="s">
        <v>288</v>
      </c>
      <c r="B161" s="23" t="s">
        <v>339</v>
      </c>
      <c r="C161" s="23" t="s">
        <v>167</v>
      </c>
      <c r="D161" s="23" t="s">
        <v>168</v>
      </c>
      <c r="E161" s="23" t="s">
        <v>169</v>
      </c>
      <c r="F161" s="23" t="s">
        <v>170</v>
      </c>
      <c r="G161" s="24" t="str">
        <f>A161&amp;"|"&amp;B161</f>
        <v>BMW|M6</v>
      </c>
    </row>
    <row r="162" ht="15" customHeight="1" spans="1:7" x14ac:dyDescent="0.25">
      <c r="A162" s="23" t="s">
        <v>288</v>
      </c>
      <c r="B162" s="23" t="s">
        <v>340</v>
      </c>
      <c r="C162" s="23" t="s">
        <v>167</v>
      </c>
      <c r="D162" s="23" t="s">
        <v>168</v>
      </c>
      <c r="E162" s="23" t="s">
        <v>169</v>
      </c>
      <c r="F162" s="23" t="s">
        <v>170</v>
      </c>
      <c r="G162" s="24" t="str">
        <f>A162&amp;"|"&amp;B162</f>
        <v>BMW|Serie 1 Hatch</v>
      </c>
    </row>
    <row r="163" ht="15" customHeight="1" spans="1:7" x14ac:dyDescent="0.25">
      <c r="A163" s="23" t="s">
        <v>288</v>
      </c>
      <c r="B163" s="23" t="s">
        <v>341</v>
      </c>
      <c r="C163" s="23" t="s">
        <v>167</v>
      </c>
      <c r="D163" s="23" t="s">
        <v>168</v>
      </c>
      <c r="E163" s="23" t="s">
        <v>169</v>
      </c>
      <c r="F163" s="23" t="s">
        <v>170</v>
      </c>
      <c r="G163" s="24" t="str">
        <f>A163&amp;"|"&amp;B163</f>
        <v>BMW|Serie 1 M Coupe</v>
      </c>
    </row>
    <row r="164" ht="15" customHeight="1" spans="1:7" x14ac:dyDescent="0.25">
      <c r="A164" s="23" t="s">
        <v>288</v>
      </c>
      <c r="B164" s="23" t="s">
        <v>342</v>
      </c>
      <c r="C164" s="23" t="s">
        <v>167</v>
      </c>
      <c r="D164" s="23" t="s">
        <v>168</v>
      </c>
      <c r="E164" s="23" t="s">
        <v>169</v>
      </c>
      <c r="F164" s="23" t="s">
        <v>170</v>
      </c>
      <c r="G164" s="24" t="str">
        <f>A164&amp;"|"&amp;B164</f>
        <v>BMW|Serie 1 Sedán</v>
      </c>
    </row>
    <row r="165" ht="15" customHeight="1" spans="1:7" x14ac:dyDescent="0.25">
      <c r="A165" s="23" t="s">
        <v>288</v>
      </c>
      <c r="B165" s="23" t="s">
        <v>343</v>
      </c>
      <c r="C165" s="23" t="s">
        <v>167</v>
      </c>
      <c r="D165" s="23" t="s">
        <v>168</v>
      </c>
      <c r="E165" s="23" t="s">
        <v>169</v>
      </c>
      <c r="F165" s="23" t="s">
        <v>170</v>
      </c>
      <c r="G165" s="24" t="str">
        <f>A165&amp;"|"&amp;B165</f>
        <v>BMW|Serie 2</v>
      </c>
    </row>
    <row r="166" ht="15" customHeight="1" spans="1:7" x14ac:dyDescent="0.25">
      <c r="A166" s="23" t="s">
        <v>288</v>
      </c>
      <c r="B166" s="23" t="s">
        <v>344</v>
      </c>
      <c r="C166" s="23" t="s">
        <v>167</v>
      </c>
      <c r="D166" s="23" t="s">
        <v>168</v>
      </c>
      <c r="E166" s="23" t="s">
        <v>169</v>
      </c>
      <c r="F166" s="23" t="s">
        <v>170</v>
      </c>
      <c r="G166" s="24" t="str">
        <f>A166&amp;"|"&amp;B166</f>
        <v>BMW|Serie 3</v>
      </c>
    </row>
    <row r="167" ht="15" customHeight="1" spans="1:7" x14ac:dyDescent="0.25">
      <c r="A167" s="23" t="s">
        <v>288</v>
      </c>
      <c r="B167" s="23" t="s">
        <v>345</v>
      </c>
      <c r="C167" s="23" t="s">
        <v>167</v>
      </c>
      <c r="D167" s="23" t="s">
        <v>168</v>
      </c>
      <c r="E167" s="23" t="s">
        <v>169</v>
      </c>
      <c r="F167" s="23" t="s">
        <v>170</v>
      </c>
      <c r="G167" s="24" t="str">
        <f>A167&amp;"|"&amp;B167</f>
        <v>BMW|Serie 3-</v>
      </c>
    </row>
    <row r="168" ht="15" customHeight="1" spans="1:7" x14ac:dyDescent="0.25">
      <c r="A168" s="23" t="s">
        <v>288</v>
      </c>
      <c r="B168" s="23" t="s">
        <v>346</v>
      </c>
      <c r="C168" s="23" t="s">
        <v>167</v>
      </c>
      <c r="D168" s="23" t="s">
        <v>168</v>
      </c>
      <c r="E168" s="23" t="s">
        <v>169</v>
      </c>
      <c r="F168" s="23" t="s">
        <v>170</v>
      </c>
      <c r="G168" s="24" t="str">
        <f>A168&amp;"|"&amp;B168</f>
        <v>BMW|Serie 4</v>
      </c>
    </row>
    <row r="169" ht="15" customHeight="1" spans="1:7" x14ac:dyDescent="0.25">
      <c r="A169" s="23" t="s">
        <v>288</v>
      </c>
      <c r="B169" s="23" t="s">
        <v>347</v>
      </c>
      <c r="C169" s="23" t="s">
        <v>167</v>
      </c>
      <c r="D169" s="23" t="s">
        <v>168</v>
      </c>
      <c r="E169" s="23" t="s">
        <v>169</v>
      </c>
      <c r="F169" s="23" t="s">
        <v>170</v>
      </c>
      <c r="G169" s="24" t="str">
        <f>A169&amp;"|"&amp;B169</f>
        <v>BMW|Serie 5</v>
      </c>
    </row>
    <row r="170" ht="15" customHeight="1" spans="1:7" x14ac:dyDescent="0.25">
      <c r="A170" s="23" t="s">
        <v>288</v>
      </c>
      <c r="B170" s="23" t="s">
        <v>348</v>
      </c>
      <c r="C170" s="23" t="s">
        <v>167</v>
      </c>
      <c r="D170" s="23" t="s">
        <v>168</v>
      </c>
      <c r="E170" s="23" t="s">
        <v>169</v>
      </c>
      <c r="F170" s="23" t="s">
        <v>170</v>
      </c>
      <c r="G170" s="24" t="str">
        <f>A170&amp;"|"&amp;B170</f>
        <v>BMW|Serie 6</v>
      </c>
    </row>
    <row r="171" ht="15" customHeight="1" spans="1:7" x14ac:dyDescent="0.25">
      <c r="A171" s="23" t="s">
        <v>288</v>
      </c>
      <c r="B171" s="23" t="s">
        <v>349</v>
      </c>
      <c r="C171" s="23" t="s">
        <v>167</v>
      </c>
      <c r="D171" s="23" t="s">
        <v>168</v>
      </c>
      <c r="E171" s="23" t="s">
        <v>169</v>
      </c>
      <c r="F171" s="23" t="s">
        <v>170</v>
      </c>
      <c r="G171" s="24" t="str">
        <f>A171&amp;"|"&amp;B171</f>
        <v>BMW|Serie 7</v>
      </c>
    </row>
    <row r="172" ht="15" customHeight="1" spans="1:7" x14ac:dyDescent="0.25">
      <c r="A172" s="23" t="s">
        <v>288</v>
      </c>
      <c r="B172" s="23" t="s">
        <v>350</v>
      </c>
      <c r="C172" s="23" t="s">
        <v>167</v>
      </c>
      <c r="D172" s="23" t="s">
        <v>168</v>
      </c>
      <c r="E172" s="23" t="s">
        <v>169</v>
      </c>
      <c r="F172" s="23" t="s">
        <v>170</v>
      </c>
      <c r="G172" s="24" t="str">
        <f>A172&amp;"|"&amp;B172</f>
        <v>BMW|Serie 8</v>
      </c>
    </row>
    <row r="173" ht="15" customHeight="1" spans="1:7" x14ac:dyDescent="0.25">
      <c r="A173" s="23" t="s">
        <v>288</v>
      </c>
      <c r="B173" s="23" t="s">
        <v>351</v>
      </c>
      <c r="C173" s="23" t="s">
        <v>162</v>
      </c>
      <c r="D173" s="23" t="s">
        <v>163</v>
      </c>
      <c r="E173" s="23" t="s">
        <v>164</v>
      </c>
      <c r="F173" s="23" t="s">
        <v>165</v>
      </c>
      <c r="G173" s="24" t="str">
        <f>A173&amp;"|"&amp;B173</f>
        <v>BMW|X1</v>
      </c>
    </row>
    <row r="174" ht="15" customHeight="1" spans="1:7" x14ac:dyDescent="0.25">
      <c r="A174" s="23" t="s">
        <v>288</v>
      </c>
      <c r="B174" s="23" t="s">
        <v>352</v>
      </c>
      <c r="C174" s="23" t="s">
        <v>167</v>
      </c>
      <c r="D174" s="23" t="s">
        <v>168</v>
      </c>
      <c r="E174" s="23" t="s">
        <v>169</v>
      </c>
      <c r="F174" s="23" t="s">
        <v>170</v>
      </c>
      <c r="G174" s="24" t="str">
        <f>A174&amp;"|"&amp;B174</f>
        <v>BMW|X1 Sdrive20i</v>
      </c>
    </row>
    <row r="175" ht="15" customHeight="1" spans="1:7" x14ac:dyDescent="0.25">
      <c r="A175" s="23" t="s">
        <v>288</v>
      </c>
      <c r="B175" s="23" t="s">
        <v>353</v>
      </c>
      <c r="C175" s="23" t="s">
        <v>167</v>
      </c>
      <c r="D175" s="23" t="s">
        <v>168</v>
      </c>
      <c r="E175" s="23" t="s">
        <v>169</v>
      </c>
      <c r="F175" s="23" t="s">
        <v>170</v>
      </c>
      <c r="G175" s="24" t="str">
        <f>A175&amp;"|"&amp;B175</f>
        <v>BMW|X1 Xdrive 28i</v>
      </c>
    </row>
    <row r="176" ht="15" customHeight="1" spans="1:7" x14ac:dyDescent="0.25">
      <c r="A176" s="23" t="s">
        <v>288</v>
      </c>
      <c r="B176" s="23" t="s">
        <v>354</v>
      </c>
      <c r="C176" s="23" t="s">
        <v>167</v>
      </c>
      <c r="D176" s="23" t="s">
        <v>168</v>
      </c>
      <c r="E176" s="23" t="s">
        <v>169</v>
      </c>
      <c r="F176" s="23" t="s">
        <v>170</v>
      </c>
      <c r="G176" s="24" t="str">
        <f>A176&amp;"|"&amp;B176</f>
        <v>BMW|X1 Xdrive25i</v>
      </c>
    </row>
    <row r="177" ht="15" customHeight="1" spans="1:7" x14ac:dyDescent="0.25">
      <c r="A177" s="23" t="s">
        <v>288</v>
      </c>
      <c r="B177" s="23" t="s">
        <v>355</v>
      </c>
      <c r="C177" s="23" t="s">
        <v>162</v>
      </c>
      <c r="D177" s="23" t="s">
        <v>163</v>
      </c>
      <c r="E177" s="23" t="s">
        <v>164</v>
      </c>
      <c r="F177" s="23" t="s">
        <v>165</v>
      </c>
      <c r="G177" s="24" t="str">
        <f>A177&amp;"|"&amp;B177</f>
        <v>BMW|X2</v>
      </c>
    </row>
    <row r="178" ht="15" customHeight="1" spans="1:7" x14ac:dyDescent="0.25">
      <c r="A178" s="23" t="s">
        <v>288</v>
      </c>
      <c r="B178" s="23" t="s">
        <v>356</v>
      </c>
      <c r="C178" s="23" t="s">
        <v>162</v>
      </c>
      <c r="D178" s="23" t="s">
        <v>163</v>
      </c>
      <c r="E178" s="23" t="s">
        <v>164</v>
      </c>
      <c r="F178" s="23" t="s">
        <v>165</v>
      </c>
      <c r="G178" s="24" t="str">
        <f>A178&amp;"|"&amp;B178</f>
        <v>BMW|X3</v>
      </c>
    </row>
    <row r="179" ht="15" customHeight="1" spans="1:7" x14ac:dyDescent="0.25">
      <c r="A179" s="23" t="s">
        <v>288</v>
      </c>
      <c r="B179" s="23" t="s">
        <v>357</v>
      </c>
      <c r="C179" s="23" t="s">
        <v>162</v>
      </c>
      <c r="D179" s="23" t="s">
        <v>163</v>
      </c>
      <c r="E179" s="23" t="s">
        <v>164</v>
      </c>
      <c r="F179" s="23" t="s">
        <v>165</v>
      </c>
      <c r="G179" s="24" t="str">
        <f>A179&amp;"|"&amp;B179</f>
        <v>BMW|X3 2.5I</v>
      </c>
    </row>
    <row r="180" ht="15" customHeight="1" spans="1:7" x14ac:dyDescent="0.25">
      <c r="A180" s="23" t="s">
        <v>288</v>
      </c>
      <c r="B180" s="23" t="s">
        <v>358</v>
      </c>
      <c r="C180" s="23" t="s">
        <v>162</v>
      </c>
      <c r="D180" s="23" t="s">
        <v>163</v>
      </c>
      <c r="E180" s="23" t="s">
        <v>164</v>
      </c>
      <c r="F180" s="23" t="s">
        <v>165</v>
      </c>
      <c r="G180" s="24" t="str">
        <f>A180&amp;"|"&amp;B180</f>
        <v>BMW|X3 3.0I</v>
      </c>
    </row>
    <row r="181" ht="15" customHeight="1" spans="1:7" x14ac:dyDescent="0.25">
      <c r="A181" s="23" t="s">
        <v>288</v>
      </c>
      <c r="B181" s="23" t="s">
        <v>359</v>
      </c>
      <c r="C181" s="23" t="s">
        <v>162</v>
      </c>
      <c r="D181" s="23" t="s">
        <v>163</v>
      </c>
      <c r="E181" s="23" t="s">
        <v>164</v>
      </c>
      <c r="F181" s="23" t="s">
        <v>165</v>
      </c>
      <c r="G181" s="24" t="str">
        <f>A181&amp;"|"&amp;B181</f>
        <v>BMW|X3 Xdrive 28ia</v>
      </c>
    </row>
    <row r="182" ht="15" customHeight="1" spans="1:7" x14ac:dyDescent="0.25">
      <c r="A182" s="23" t="s">
        <v>288</v>
      </c>
      <c r="B182" s="23" t="s">
        <v>360</v>
      </c>
      <c r="C182" s="23" t="s">
        <v>162</v>
      </c>
      <c r="D182" s="23" t="s">
        <v>163</v>
      </c>
      <c r="E182" s="23" t="s">
        <v>164</v>
      </c>
      <c r="F182" s="23" t="s">
        <v>165</v>
      </c>
      <c r="G182" s="24" t="str">
        <f>A182&amp;"|"&amp;B182</f>
        <v>BMW|X3 Xdrive35ia</v>
      </c>
    </row>
    <row r="183" ht="15" customHeight="1" spans="1:7" x14ac:dyDescent="0.25">
      <c r="A183" s="23" t="s">
        <v>288</v>
      </c>
      <c r="B183" s="23" t="s">
        <v>361</v>
      </c>
      <c r="C183" s="23" t="s">
        <v>162</v>
      </c>
      <c r="D183" s="23" t="s">
        <v>163</v>
      </c>
      <c r="E183" s="23" t="s">
        <v>164</v>
      </c>
      <c r="F183" s="23" t="s">
        <v>165</v>
      </c>
      <c r="G183" s="24" t="str">
        <f>A183&amp;"|"&amp;B183</f>
        <v>BMW|X4</v>
      </c>
    </row>
    <row r="184" ht="15" customHeight="1" spans="1:7" x14ac:dyDescent="0.25">
      <c r="A184" s="23" t="s">
        <v>288</v>
      </c>
      <c r="B184" s="23" t="s">
        <v>362</v>
      </c>
      <c r="C184" s="23" t="s">
        <v>162</v>
      </c>
      <c r="D184" s="23" t="s">
        <v>163</v>
      </c>
      <c r="E184" s="23" t="s">
        <v>164</v>
      </c>
      <c r="F184" s="23" t="s">
        <v>165</v>
      </c>
      <c r="G184" s="24" t="str">
        <f>A184&amp;"|"&amp;B184</f>
        <v>BMW|X5</v>
      </c>
    </row>
    <row r="185" ht="15" customHeight="1" spans="1:7" x14ac:dyDescent="0.25">
      <c r="A185" s="23" t="s">
        <v>288</v>
      </c>
      <c r="B185" s="23" t="s">
        <v>363</v>
      </c>
      <c r="C185" s="23" t="s">
        <v>162</v>
      </c>
      <c r="D185" s="23" t="s">
        <v>163</v>
      </c>
      <c r="E185" s="23" t="s">
        <v>164</v>
      </c>
      <c r="F185" s="23" t="s">
        <v>165</v>
      </c>
      <c r="G185" s="24" t="str">
        <f>A185&amp;"|"&amp;B185</f>
        <v>BMW|X5 3.0I</v>
      </c>
    </row>
    <row r="186" ht="15" customHeight="1" spans="1:7" x14ac:dyDescent="0.25">
      <c r="A186" s="23" t="s">
        <v>288</v>
      </c>
      <c r="B186" s="23" t="s">
        <v>364</v>
      </c>
      <c r="C186" s="23" t="s">
        <v>162</v>
      </c>
      <c r="D186" s="23" t="s">
        <v>163</v>
      </c>
      <c r="E186" s="23" t="s">
        <v>164</v>
      </c>
      <c r="F186" s="23" t="s">
        <v>165</v>
      </c>
      <c r="G186" s="24" t="str">
        <f>A186&amp;"|"&amp;B186</f>
        <v>BMW|X5 4.4I</v>
      </c>
    </row>
    <row r="187" ht="15" customHeight="1" spans="1:7" x14ac:dyDescent="0.25">
      <c r="A187" s="23" t="s">
        <v>288</v>
      </c>
      <c r="B187" s="23" t="s">
        <v>365</v>
      </c>
      <c r="C187" s="23" t="s">
        <v>162</v>
      </c>
      <c r="D187" s="23" t="s">
        <v>163</v>
      </c>
      <c r="E187" s="23" t="s">
        <v>164</v>
      </c>
      <c r="F187" s="23" t="s">
        <v>165</v>
      </c>
      <c r="G187" s="24" t="str">
        <f>A187&amp;"|"&amp;B187</f>
        <v>BMW|X5 4.8I</v>
      </c>
    </row>
    <row r="188" ht="15" customHeight="1" spans="1:7" x14ac:dyDescent="0.25">
      <c r="A188" s="23" t="s">
        <v>288</v>
      </c>
      <c r="B188" s="23" t="s">
        <v>366</v>
      </c>
      <c r="C188" s="23" t="s">
        <v>162</v>
      </c>
      <c r="D188" s="23" t="s">
        <v>163</v>
      </c>
      <c r="E188" s="23" t="s">
        <v>164</v>
      </c>
      <c r="F188" s="23" t="s">
        <v>165</v>
      </c>
      <c r="G188" s="24" t="str">
        <f>A188&amp;"|"&amp;B188</f>
        <v>BMW|X5 M</v>
      </c>
    </row>
    <row r="189" ht="15" customHeight="1" spans="1:7" x14ac:dyDescent="0.25">
      <c r="A189" s="23" t="s">
        <v>288</v>
      </c>
      <c r="B189" s="23" t="s">
        <v>367</v>
      </c>
      <c r="C189" s="23" t="s">
        <v>162</v>
      </c>
      <c r="D189" s="23" t="s">
        <v>163</v>
      </c>
      <c r="E189" s="23" t="s">
        <v>164</v>
      </c>
      <c r="F189" s="23" t="s">
        <v>165</v>
      </c>
      <c r="G189" s="24" t="str">
        <f>A189&amp;"|"&amp;B189</f>
        <v>BMW|X5 Xdrive35I</v>
      </c>
    </row>
    <row r="190" ht="15" customHeight="1" spans="1:7" x14ac:dyDescent="0.25">
      <c r="A190" s="23" t="s">
        <v>288</v>
      </c>
      <c r="B190" s="23" t="s">
        <v>368</v>
      </c>
      <c r="C190" s="23" t="s">
        <v>162</v>
      </c>
      <c r="D190" s="23" t="s">
        <v>163</v>
      </c>
      <c r="E190" s="23" t="s">
        <v>164</v>
      </c>
      <c r="F190" s="23" t="s">
        <v>165</v>
      </c>
      <c r="G190" s="24" t="str">
        <f>A190&amp;"|"&amp;B190</f>
        <v>BMW|X5 Xdrive50I</v>
      </c>
    </row>
    <row r="191" ht="15" customHeight="1" spans="1:7" x14ac:dyDescent="0.25">
      <c r="A191" s="23" t="s">
        <v>288</v>
      </c>
      <c r="B191" s="23" t="s">
        <v>369</v>
      </c>
      <c r="C191" s="23" t="s">
        <v>162</v>
      </c>
      <c r="D191" s="23" t="s">
        <v>163</v>
      </c>
      <c r="E191" s="23" t="s">
        <v>164</v>
      </c>
      <c r="F191" s="23" t="s">
        <v>165</v>
      </c>
      <c r="G191" s="24" t="str">
        <f>A191&amp;"|"&amp;B191</f>
        <v>BMW|X6</v>
      </c>
    </row>
    <row r="192" ht="15" customHeight="1" spans="1:7" x14ac:dyDescent="0.25">
      <c r="A192" s="23" t="s">
        <v>288</v>
      </c>
      <c r="B192" s="23" t="s">
        <v>370</v>
      </c>
      <c r="C192" s="23" t="s">
        <v>162</v>
      </c>
      <c r="D192" s="23" t="s">
        <v>163</v>
      </c>
      <c r="E192" s="23" t="s">
        <v>164</v>
      </c>
      <c r="F192" s="23" t="s">
        <v>165</v>
      </c>
      <c r="G192" s="24" t="str">
        <f>A192&amp;"|"&amp;B192</f>
        <v>BMW|X6 M</v>
      </c>
    </row>
    <row r="193" ht="15" customHeight="1" spans="1:7" x14ac:dyDescent="0.25">
      <c r="A193" s="23" t="s">
        <v>288</v>
      </c>
      <c r="B193" s="23" t="s">
        <v>371</v>
      </c>
      <c r="C193" s="23" t="s">
        <v>162</v>
      </c>
      <c r="D193" s="23" t="s">
        <v>163</v>
      </c>
      <c r="E193" s="23" t="s">
        <v>164</v>
      </c>
      <c r="F193" s="23" t="s">
        <v>165</v>
      </c>
      <c r="G193" s="24" t="str">
        <f>A193&amp;"|"&amp;B193</f>
        <v>BMW|X7</v>
      </c>
    </row>
    <row r="194" ht="15" customHeight="1" spans="1:7" x14ac:dyDescent="0.25">
      <c r="A194" s="23" t="s">
        <v>288</v>
      </c>
      <c r="B194" s="23" t="s">
        <v>372</v>
      </c>
      <c r="C194" s="23" t="s">
        <v>167</v>
      </c>
      <c r="D194" s="23" t="s">
        <v>168</v>
      </c>
      <c r="E194" s="23" t="s">
        <v>169</v>
      </c>
      <c r="F194" s="23" t="s">
        <v>170</v>
      </c>
      <c r="G194" s="24" t="str">
        <f>A194&amp;"|"&amp;B194</f>
        <v>BMW|XM</v>
      </c>
    </row>
    <row r="195" ht="15" customHeight="1" spans="1:7" x14ac:dyDescent="0.25">
      <c r="A195" s="23" t="s">
        <v>288</v>
      </c>
      <c r="B195" s="23" t="s">
        <v>373</v>
      </c>
      <c r="C195" s="23" t="s">
        <v>167</v>
      </c>
      <c r="D195" s="23" t="s">
        <v>168</v>
      </c>
      <c r="E195" s="23" t="s">
        <v>169</v>
      </c>
      <c r="F195" s="23" t="s">
        <v>170</v>
      </c>
      <c r="G195" s="24" t="str">
        <f>A195&amp;"|"&amp;B195</f>
        <v>BMW|Z4</v>
      </c>
    </row>
    <row r="196" ht="15" customHeight="1" spans="1:7" x14ac:dyDescent="0.25">
      <c r="A196" s="23" t="s">
        <v>288</v>
      </c>
      <c r="B196" s="23" t="s">
        <v>374</v>
      </c>
      <c r="C196" s="23" t="s">
        <v>167</v>
      </c>
      <c r="D196" s="23" t="s">
        <v>168</v>
      </c>
      <c r="E196" s="23" t="s">
        <v>169</v>
      </c>
      <c r="F196" s="23" t="s">
        <v>170</v>
      </c>
      <c r="G196" s="24" t="str">
        <f>A196&amp;"|"&amp;B196</f>
        <v>BMW|Z4-</v>
      </c>
    </row>
    <row r="197" ht="15" customHeight="1" spans="1:7" x14ac:dyDescent="0.25">
      <c r="A197" s="23" t="s">
        <v>375</v>
      </c>
      <c r="B197" s="23" t="s">
        <v>376</v>
      </c>
      <c r="C197" s="23" t="s">
        <v>271</v>
      </c>
      <c r="D197" s="23" t="s">
        <v>168</v>
      </c>
      <c r="E197" s="23" t="s">
        <v>272</v>
      </c>
      <c r="F197" s="23" t="s">
        <v>170</v>
      </c>
      <c r="G197" s="24" t="str">
        <f>A197&amp;"|"&amp;B197</f>
        <v>Changan|ALSVIN</v>
      </c>
    </row>
    <row r="198" ht="15" customHeight="1" spans="1:7" x14ac:dyDescent="0.25">
      <c r="A198" s="23" t="s">
        <v>375</v>
      </c>
      <c r="B198" s="23" t="s">
        <v>377</v>
      </c>
      <c r="C198" s="23" t="s">
        <v>162</v>
      </c>
      <c r="D198" s="23" t="s">
        <v>163</v>
      </c>
      <c r="E198" s="23" t="s">
        <v>164</v>
      </c>
      <c r="F198" s="23" t="s">
        <v>165</v>
      </c>
      <c r="G198" s="24" t="str">
        <f>A198&amp;"|"&amp;B198</f>
        <v>Changan|CS35 PLUS</v>
      </c>
    </row>
    <row r="199" ht="15" customHeight="1" spans="1:7" x14ac:dyDescent="0.25">
      <c r="A199" s="23" t="s">
        <v>375</v>
      </c>
      <c r="B199" s="23" t="s">
        <v>378</v>
      </c>
      <c r="C199" s="23" t="s">
        <v>162</v>
      </c>
      <c r="D199" s="23" t="s">
        <v>163</v>
      </c>
      <c r="E199" s="23" t="s">
        <v>164</v>
      </c>
      <c r="F199" s="23" t="s">
        <v>165</v>
      </c>
      <c r="G199" s="24" t="str">
        <f>A199&amp;"|"&amp;B199</f>
        <v>Changan|CS55 PLUS</v>
      </c>
    </row>
    <row r="200" ht="15" customHeight="1" spans="1:7" x14ac:dyDescent="0.25">
      <c r="A200" s="23" t="s">
        <v>375</v>
      </c>
      <c r="B200" s="23" t="s">
        <v>379</v>
      </c>
      <c r="C200" s="23" t="s">
        <v>162</v>
      </c>
      <c r="D200" s="23" t="s">
        <v>163</v>
      </c>
      <c r="E200" s="23" t="s">
        <v>164</v>
      </c>
      <c r="F200" s="23" t="s">
        <v>165</v>
      </c>
      <c r="G200" s="24" t="str">
        <f>A200&amp;"|"&amp;B200</f>
        <v>Changan|CS55 Plus IDD</v>
      </c>
    </row>
    <row r="201" ht="15" customHeight="1" spans="1:7" x14ac:dyDescent="0.25">
      <c r="A201" s="23" t="s">
        <v>375</v>
      </c>
      <c r="B201" s="23" t="s">
        <v>380</v>
      </c>
      <c r="C201" s="23" t="s">
        <v>162</v>
      </c>
      <c r="D201" s="23" t="s">
        <v>163</v>
      </c>
      <c r="E201" s="23" t="s">
        <v>164</v>
      </c>
      <c r="F201" s="23" t="s">
        <v>165</v>
      </c>
      <c r="G201" s="24" t="str">
        <f>A201&amp;"|"&amp;B201</f>
        <v>Changan|CS75</v>
      </c>
    </row>
    <row r="202" ht="15" customHeight="1" spans="1:7" x14ac:dyDescent="0.25">
      <c r="A202" s="23" t="s">
        <v>375</v>
      </c>
      <c r="B202" s="23" t="s">
        <v>381</v>
      </c>
      <c r="C202" s="23" t="s">
        <v>162</v>
      </c>
      <c r="D202" s="23" t="s">
        <v>163</v>
      </c>
      <c r="E202" s="23" t="s">
        <v>164</v>
      </c>
      <c r="F202" s="23" t="s">
        <v>165</v>
      </c>
      <c r="G202" s="24" t="str">
        <f>A202&amp;"|"&amp;B202</f>
        <v>Changan|CS95</v>
      </c>
    </row>
    <row r="203" ht="15" customHeight="1" spans="1:7" x14ac:dyDescent="0.25">
      <c r="A203" s="23" t="s">
        <v>375</v>
      </c>
      <c r="B203" s="23" t="s">
        <v>382</v>
      </c>
      <c r="C203" s="23" t="s">
        <v>162</v>
      </c>
      <c r="D203" s="23" t="s">
        <v>163</v>
      </c>
      <c r="E203" s="23" t="s">
        <v>164</v>
      </c>
      <c r="F203" s="23" t="s">
        <v>165</v>
      </c>
      <c r="G203" s="24" t="str">
        <f>A203&amp;"|"&amp;B203</f>
        <v>Changan|DEEPAL S07 BEV</v>
      </c>
    </row>
    <row r="204" ht="15" customHeight="1" spans="1:7" x14ac:dyDescent="0.25">
      <c r="A204" s="23" t="s">
        <v>375</v>
      </c>
      <c r="B204" s="23" t="s">
        <v>383</v>
      </c>
      <c r="C204" s="23" t="s">
        <v>162</v>
      </c>
      <c r="D204" s="23" t="s">
        <v>163</v>
      </c>
      <c r="E204" s="23" t="s">
        <v>164</v>
      </c>
      <c r="F204" s="23" t="s">
        <v>165</v>
      </c>
      <c r="G204" s="24" t="str">
        <f>A204&amp;"|"&amp;B204</f>
        <v>Changan|DEEPAL S07 REEV</v>
      </c>
    </row>
    <row r="205" ht="15" customHeight="1" spans="1:7" x14ac:dyDescent="0.25">
      <c r="A205" s="23" t="s">
        <v>375</v>
      </c>
      <c r="B205" s="23" t="s">
        <v>384</v>
      </c>
      <c r="C205" s="23" t="s">
        <v>162</v>
      </c>
      <c r="D205" s="23" t="s">
        <v>168</v>
      </c>
      <c r="E205" s="23" t="s">
        <v>385</v>
      </c>
      <c r="F205" s="23" t="s">
        <v>170</v>
      </c>
      <c r="G205" s="24" t="str">
        <f>A205&amp;"|"&amp;B205</f>
        <v>Changan|Eado Plus</v>
      </c>
    </row>
    <row r="206" ht="15" customHeight="1" spans="1:7" x14ac:dyDescent="0.25">
      <c r="A206" s="23" t="s">
        <v>375</v>
      </c>
      <c r="B206" s="23" t="s">
        <v>386</v>
      </c>
      <c r="C206" s="23" t="s">
        <v>162</v>
      </c>
      <c r="D206" s="23" t="s">
        <v>168</v>
      </c>
      <c r="E206" s="23" t="s">
        <v>385</v>
      </c>
      <c r="F206" s="23" t="s">
        <v>170</v>
      </c>
      <c r="G206" s="24" t="str">
        <f>A206&amp;"|"&amp;B206</f>
        <v>Changan|Eado Plus IDD</v>
      </c>
    </row>
    <row r="207" ht="15" customHeight="1" spans="1:7" x14ac:dyDescent="0.25">
      <c r="A207" s="23" t="s">
        <v>375</v>
      </c>
      <c r="B207" s="23" t="s">
        <v>387</v>
      </c>
      <c r="C207" s="23" t="s">
        <v>271</v>
      </c>
      <c r="D207" s="23" t="s">
        <v>163</v>
      </c>
      <c r="E207" s="23" t="s">
        <v>277</v>
      </c>
      <c r="F207" s="23" t="s">
        <v>165</v>
      </c>
      <c r="G207" s="24" t="str">
        <f>A207&amp;"|"&amp;B207</f>
        <v>Changan|HONOR S</v>
      </c>
    </row>
    <row r="208" ht="15" customHeight="1" spans="1:7" x14ac:dyDescent="0.25">
      <c r="A208" s="23" t="s">
        <v>375</v>
      </c>
      <c r="B208" s="23" t="s">
        <v>388</v>
      </c>
      <c r="C208" s="23" t="s">
        <v>162</v>
      </c>
      <c r="D208" s="23" t="s">
        <v>163</v>
      </c>
      <c r="E208" s="23" t="s">
        <v>275</v>
      </c>
      <c r="F208" s="23" t="s">
        <v>165</v>
      </c>
      <c r="G208" s="24" t="str">
        <f>A208&amp;"|"&amp;B208</f>
        <v>Changan|HUNTER CHASIS</v>
      </c>
    </row>
    <row r="209" ht="15" customHeight="1" spans="1:7" x14ac:dyDescent="0.25">
      <c r="A209" s="23" t="s">
        <v>375</v>
      </c>
      <c r="B209" s="23" t="s">
        <v>389</v>
      </c>
      <c r="C209" s="23" t="s">
        <v>162</v>
      </c>
      <c r="D209" s="23" t="s">
        <v>163</v>
      </c>
      <c r="E209" s="23" t="s">
        <v>275</v>
      </c>
      <c r="F209" s="23" t="s">
        <v>165</v>
      </c>
      <c r="G209" s="24" t="str">
        <f>A209&amp;"|"&amp;B209</f>
        <v>Changan|HUNTER PLUS</v>
      </c>
    </row>
    <row r="210" ht="15" customHeight="1" spans="1:7" x14ac:dyDescent="0.25">
      <c r="A210" s="23" t="s">
        <v>375</v>
      </c>
      <c r="B210" s="23" t="s">
        <v>390</v>
      </c>
      <c r="C210" s="23" t="s">
        <v>162</v>
      </c>
      <c r="D210" s="23" t="s">
        <v>163</v>
      </c>
      <c r="E210" s="23" t="s">
        <v>275</v>
      </c>
      <c r="F210" s="23" t="s">
        <v>165</v>
      </c>
      <c r="G210" s="24" t="str">
        <f>A210&amp;"|"&amp;B210</f>
        <v>Changan|HUNTER WORK</v>
      </c>
    </row>
    <row r="211" ht="15" customHeight="1" spans="1:7" x14ac:dyDescent="0.25">
      <c r="A211" s="23" t="s">
        <v>375</v>
      </c>
      <c r="B211" s="23" t="s">
        <v>391</v>
      </c>
      <c r="C211" s="23" t="s">
        <v>162</v>
      </c>
      <c r="D211" s="23" t="s">
        <v>163</v>
      </c>
      <c r="E211" s="23" t="s">
        <v>275</v>
      </c>
      <c r="F211" s="23" t="s">
        <v>165</v>
      </c>
      <c r="G211" s="24" t="str">
        <f>A211&amp;"|"&amp;B211</f>
        <v>Changan|NEW STAR TRUCK</v>
      </c>
    </row>
    <row r="212" ht="15" customHeight="1" spans="1:7" x14ac:dyDescent="0.25">
      <c r="A212" s="23" t="s">
        <v>375</v>
      </c>
      <c r="B212" s="23" t="s">
        <v>392</v>
      </c>
      <c r="C212" s="23" t="s">
        <v>162</v>
      </c>
      <c r="D212" s="23" t="s">
        <v>163</v>
      </c>
      <c r="E212" s="23" t="s">
        <v>164</v>
      </c>
      <c r="F212" s="23" t="s">
        <v>165</v>
      </c>
      <c r="G212" s="24" t="str">
        <f>A212&amp;"|"&amp;B212</f>
        <v>Changan|UNI-K</v>
      </c>
    </row>
    <row r="213" ht="15" customHeight="1" spans="1:7" x14ac:dyDescent="0.25">
      <c r="A213" s="23" t="s">
        <v>393</v>
      </c>
      <c r="B213" s="23" t="s">
        <v>394</v>
      </c>
      <c r="C213" s="23" t="s">
        <v>167</v>
      </c>
      <c r="D213" s="23" t="s">
        <v>168</v>
      </c>
      <c r="E213" s="23" t="s">
        <v>169</v>
      </c>
      <c r="F213" s="23" t="s">
        <v>170</v>
      </c>
      <c r="G213" s="24" t="str">
        <f>A213&amp;"|"&amp;B213</f>
        <v>Chirey|Arrizo 8</v>
      </c>
    </row>
    <row r="214" ht="15" customHeight="1" spans="1:7" x14ac:dyDescent="0.25">
      <c r="A214" s="23" t="s">
        <v>393</v>
      </c>
      <c r="B214" s="23" t="s">
        <v>395</v>
      </c>
      <c r="C214" s="23" t="s">
        <v>162</v>
      </c>
      <c r="D214" s="23" t="s">
        <v>163</v>
      </c>
      <c r="E214" s="23" t="s">
        <v>164</v>
      </c>
      <c r="F214" s="23" t="s">
        <v>165</v>
      </c>
      <c r="G214" s="24" t="str">
        <f>A214&amp;"|"&amp;B214</f>
        <v>Chirey|Tiggo 2</v>
      </c>
    </row>
    <row r="215" ht="15" customHeight="1" spans="1:7" x14ac:dyDescent="0.25">
      <c r="A215" s="23" t="s">
        <v>393</v>
      </c>
      <c r="B215" s="23" t="s">
        <v>396</v>
      </c>
      <c r="C215" s="23" t="s">
        <v>162</v>
      </c>
      <c r="D215" s="23" t="s">
        <v>163</v>
      </c>
      <c r="E215" s="23" t="s">
        <v>164</v>
      </c>
      <c r="F215" s="23" t="s">
        <v>165</v>
      </c>
      <c r="G215" s="24" t="str">
        <f>A215&amp;"|"&amp;B215</f>
        <v>Chirey|Tiggo 4</v>
      </c>
    </row>
    <row r="216" ht="15" customHeight="1" spans="1:7" x14ac:dyDescent="0.25">
      <c r="A216" s="23" t="s">
        <v>393</v>
      </c>
      <c r="B216" s="23" t="s">
        <v>397</v>
      </c>
      <c r="C216" s="23" t="s">
        <v>162</v>
      </c>
      <c r="D216" s="23" t="s">
        <v>163</v>
      </c>
      <c r="E216" s="23" t="s">
        <v>164</v>
      </c>
      <c r="F216" s="23" t="s">
        <v>165</v>
      </c>
      <c r="G216" s="24" t="str">
        <f>A216&amp;"|"&amp;B216</f>
        <v>Chirey|Tiggo 7</v>
      </c>
    </row>
    <row r="217" ht="15" customHeight="1" spans="1:7" x14ac:dyDescent="0.25">
      <c r="A217" s="23" t="s">
        <v>393</v>
      </c>
      <c r="B217" s="23" t="s">
        <v>398</v>
      </c>
      <c r="C217" s="23" t="s">
        <v>162</v>
      </c>
      <c r="D217" s="23" t="s">
        <v>163</v>
      </c>
      <c r="E217" s="23" t="s">
        <v>164</v>
      </c>
      <c r="F217" s="23" t="s">
        <v>165</v>
      </c>
      <c r="G217" s="24" t="str">
        <f>A217&amp;"|"&amp;B217</f>
        <v>Chirey|Tiggo 7 Pro e+</v>
      </c>
    </row>
    <row r="218" ht="15" customHeight="1" spans="1:7" x14ac:dyDescent="0.25">
      <c r="A218" s="23" t="s">
        <v>393</v>
      </c>
      <c r="B218" s="23" t="s">
        <v>399</v>
      </c>
      <c r="C218" s="23" t="s">
        <v>162</v>
      </c>
      <c r="D218" s="23" t="s">
        <v>163</v>
      </c>
      <c r="E218" s="23" t="s">
        <v>164</v>
      </c>
      <c r="F218" s="23" t="s">
        <v>165</v>
      </c>
      <c r="G218" s="24" t="str">
        <f>A218&amp;"|"&amp;B218</f>
        <v>Chirey|Tiggo 8</v>
      </c>
    </row>
    <row r="219" ht="15" customHeight="1" spans="1:7" x14ac:dyDescent="0.25">
      <c r="A219" s="23" t="s">
        <v>393</v>
      </c>
      <c r="B219" s="23" t="s">
        <v>400</v>
      </c>
      <c r="C219" s="23" t="s">
        <v>162</v>
      </c>
      <c r="D219" s="23" t="s">
        <v>163</v>
      </c>
      <c r="E219" s="23" t="s">
        <v>164</v>
      </c>
      <c r="F219" s="23" t="s">
        <v>165</v>
      </c>
      <c r="G219" s="24" t="str">
        <f>A219&amp;"|"&amp;B219</f>
        <v>Chirey|Tiggo 8 Pro e+</v>
      </c>
    </row>
    <row r="220" ht="15" customHeight="1" spans="1:7" x14ac:dyDescent="0.25">
      <c r="A220" s="23" t="s">
        <v>401</v>
      </c>
      <c r="B220" s="23" t="s">
        <v>402</v>
      </c>
      <c r="C220" s="23" t="s">
        <v>162</v>
      </c>
      <c r="D220" s="23" t="s">
        <v>163</v>
      </c>
      <c r="E220" s="23" t="s">
        <v>164</v>
      </c>
      <c r="F220" s="23" t="s">
        <v>165</v>
      </c>
      <c r="G220" s="24" t="str">
        <f>A220&amp;"|"&amp;B220</f>
        <v>Chrysler|Aspen</v>
      </c>
    </row>
    <row r="221" ht="15" customHeight="1" spans="1:7" x14ac:dyDescent="0.25">
      <c r="A221" s="23" t="s">
        <v>401</v>
      </c>
      <c r="B221" s="23" t="s">
        <v>403</v>
      </c>
      <c r="C221" s="23" t="s">
        <v>271</v>
      </c>
      <c r="D221" s="23" t="s">
        <v>168</v>
      </c>
      <c r="E221" s="23" t="s">
        <v>272</v>
      </c>
      <c r="F221" s="23" t="s">
        <v>170</v>
      </c>
      <c r="G221" s="24" t="str">
        <f>A221&amp;"|"&amp;B221</f>
        <v>Chrysler|Atos</v>
      </c>
    </row>
    <row r="222" ht="15" customHeight="1" spans="1:7" x14ac:dyDescent="0.25">
      <c r="A222" s="23" t="s">
        <v>401</v>
      </c>
      <c r="B222" s="23" t="s">
        <v>404</v>
      </c>
      <c r="C222" s="23" t="s">
        <v>271</v>
      </c>
      <c r="D222" s="23" t="s">
        <v>168</v>
      </c>
      <c r="E222" s="23" t="s">
        <v>272</v>
      </c>
      <c r="F222" s="23" t="s">
        <v>170</v>
      </c>
      <c r="G222" s="24" t="str">
        <f>A222&amp;"|"&amp;B222</f>
        <v>Chrysler|Attitude</v>
      </c>
    </row>
    <row r="223" ht="15" customHeight="1" spans="1:7" x14ac:dyDescent="0.25">
      <c r="A223" s="23" t="s">
        <v>401</v>
      </c>
      <c r="B223" s="23" t="s">
        <v>405</v>
      </c>
      <c r="C223" s="23" t="s">
        <v>162</v>
      </c>
      <c r="D223" s="23" t="s">
        <v>168</v>
      </c>
      <c r="E223" s="23" t="s">
        <v>385</v>
      </c>
      <c r="F223" s="23" t="s">
        <v>170</v>
      </c>
      <c r="G223" s="24" t="str">
        <f>A223&amp;"|"&amp;B223</f>
        <v>Chrysler|Avenger</v>
      </c>
    </row>
    <row r="224" ht="15" customHeight="1" spans="1:7" x14ac:dyDescent="0.25">
      <c r="A224" s="23" t="s">
        <v>401</v>
      </c>
      <c r="B224" s="23" t="s">
        <v>406</v>
      </c>
      <c r="C224" s="23" t="s">
        <v>162</v>
      </c>
      <c r="D224" s="23" t="s">
        <v>168</v>
      </c>
      <c r="E224" s="23" t="s">
        <v>385</v>
      </c>
      <c r="F224" s="23" t="s">
        <v>170</v>
      </c>
      <c r="G224" s="24" t="str">
        <f>A224&amp;"|"&amp;B224</f>
        <v>Chrysler|Caliber</v>
      </c>
    </row>
    <row r="225" ht="15" customHeight="1" spans="1:7" x14ac:dyDescent="0.25">
      <c r="A225" s="23" t="s">
        <v>401</v>
      </c>
      <c r="B225" s="23" t="s">
        <v>407</v>
      </c>
      <c r="C225" s="23" t="s">
        <v>167</v>
      </c>
      <c r="D225" s="23" t="s">
        <v>168</v>
      </c>
      <c r="E225" s="23" t="s">
        <v>175</v>
      </c>
      <c r="F225" s="23" t="s">
        <v>170</v>
      </c>
      <c r="G225" s="24" t="str">
        <f>A225&amp;"|"&amp;B225</f>
        <v>Chrysler|Challenger</v>
      </c>
    </row>
    <row r="226" ht="15" customHeight="1" spans="1:7" x14ac:dyDescent="0.25">
      <c r="A226" s="23" t="s">
        <v>401</v>
      </c>
      <c r="B226" s="23" t="s">
        <v>408</v>
      </c>
      <c r="C226" s="23" t="s">
        <v>167</v>
      </c>
      <c r="D226" s="23" t="s">
        <v>168</v>
      </c>
      <c r="E226" s="23" t="s">
        <v>169</v>
      </c>
      <c r="F226" s="23" t="s">
        <v>170</v>
      </c>
      <c r="G226" s="24" t="str">
        <f>A226&amp;"|"&amp;B226</f>
        <v>Chrysler|Charger</v>
      </c>
    </row>
    <row r="227" ht="15" customHeight="1" spans="1:7" x14ac:dyDescent="0.25">
      <c r="A227" s="23" t="s">
        <v>401</v>
      </c>
      <c r="B227" s="23" t="s">
        <v>409</v>
      </c>
      <c r="C227" s="23" t="s">
        <v>162</v>
      </c>
      <c r="D227" s="23" t="s">
        <v>163</v>
      </c>
      <c r="E227" s="23" t="s">
        <v>164</v>
      </c>
      <c r="F227" s="23" t="s">
        <v>165</v>
      </c>
      <c r="G227" s="24" t="str">
        <f>A227&amp;"|"&amp;B227</f>
        <v>Chrysler|Cherokee</v>
      </c>
    </row>
    <row r="228" ht="15" customHeight="1" spans="1:7" x14ac:dyDescent="0.25">
      <c r="A228" s="23" t="s">
        <v>401</v>
      </c>
      <c r="B228" s="23" t="s">
        <v>410</v>
      </c>
      <c r="C228" s="23" t="s">
        <v>167</v>
      </c>
      <c r="D228" s="23" t="s">
        <v>168</v>
      </c>
      <c r="E228" s="23" t="s">
        <v>169</v>
      </c>
      <c r="F228" s="23" t="s">
        <v>170</v>
      </c>
      <c r="G228" s="24" t="str">
        <f>A228&amp;"|"&amp;B228</f>
        <v>Chrysler|Chrysler 200</v>
      </c>
    </row>
    <row r="229" ht="15" customHeight="1" spans="1:7" x14ac:dyDescent="0.25">
      <c r="A229" s="23" t="s">
        <v>401</v>
      </c>
      <c r="B229" s="23" t="s">
        <v>411</v>
      </c>
      <c r="C229" s="23" t="s">
        <v>167</v>
      </c>
      <c r="D229" s="23" t="s">
        <v>168</v>
      </c>
      <c r="E229" s="23" t="s">
        <v>169</v>
      </c>
      <c r="F229" s="23" t="s">
        <v>170</v>
      </c>
      <c r="G229" s="24" t="str">
        <f>A229&amp;"|"&amp;B229</f>
        <v>Chrysler|Chrysler 300</v>
      </c>
    </row>
    <row r="230" ht="15" customHeight="1" spans="1:7" x14ac:dyDescent="0.25">
      <c r="A230" s="23" t="s">
        <v>401</v>
      </c>
      <c r="B230" s="23" t="s">
        <v>412</v>
      </c>
      <c r="C230" s="23" t="s">
        <v>167</v>
      </c>
      <c r="D230" s="23" t="s">
        <v>168</v>
      </c>
      <c r="E230" s="23" t="s">
        <v>169</v>
      </c>
      <c r="F230" s="23" t="s">
        <v>170</v>
      </c>
      <c r="G230" s="24" t="str">
        <f>A230&amp;"|"&amp;B230</f>
        <v>Chrysler|CHRYSLER 300C</v>
      </c>
    </row>
    <row r="231" ht="15" customHeight="1" spans="1:7" x14ac:dyDescent="0.25">
      <c r="A231" s="23" t="s">
        <v>401</v>
      </c>
      <c r="B231" s="23" t="s">
        <v>413</v>
      </c>
      <c r="C231" s="23" t="s">
        <v>271</v>
      </c>
      <c r="D231" s="23" t="s">
        <v>163</v>
      </c>
      <c r="E231" s="23" t="s">
        <v>277</v>
      </c>
      <c r="F231" s="23" t="s">
        <v>165</v>
      </c>
      <c r="G231" s="24" t="str">
        <f>A231&amp;"|"&amp;B231</f>
        <v>Chrysler|Chrysler Pacifica</v>
      </c>
    </row>
    <row r="232" ht="15" customHeight="1" spans="1:7" x14ac:dyDescent="0.25">
      <c r="A232" s="23" t="s">
        <v>401</v>
      </c>
      <c r="B232" s="23" t="s">
        <v>414</v>
      </c>
      <c r="C232" s="23" t="s">
        <v>162</v>
      </c>
      <c r="D232" s="23" t="s">
        <v>168</v>
      </c>
      <c r="E232" s="23" t="s">
        <v>385</v>
      </c>
      <c r="F232" s="23" t="s">
        <v>170</v>
      </c>
      <c r="G232" s="24" t="str">
        <f>A232&amp;"|"&amp;B232</f>
        <v>Chrysler|Cirrus</v>
      </c>
    </row>
    <row r="233" ht="15" customHeight="1" spans="1:7" x14ac:dyDescent="0.25">
      <c r="A233" s="23" t="s">
        <v>401</v>
      </c>
      <c r="B233" s="23" t="s">
        <v>415</v>
      </c>
      <c r="C233" s="23" t="s">
        <v>162</v>
      </c>
      <c r="D233" s="23" t="s">
        <v>168</v>
      </c>
      <c r="E233" s="23" t="s">
        <v>385</v>
      </c>
      <c r="F233" s="23" t="s">
        <v>170</v>
      </c>
      <c r="G233" s="24" t="str">
        <f>A233&amp;"|"&amp;B233</f>
        <v>Chrysler|Cirrus Coupe</v>
      </c>
    </row>
    <row r="234" ht="15" customHeight="1" spans="1:7" x14ac:dyDescent="0.25">
      <c r="A234" s="23" t="s">
        <v>401</v>
      </c>
      <c r="B234" s="23" t="s">
        <v>416</v>
      </c>
      <c r="C234" s="23" t="s">
        <v>162</v>
      </c>
      <c r="D234" s="23" t="s">
        <v>163</v>
      </c>
      <c r="E234" s="23" t="s">
        <v>164</v>
      </c>
      <c r="F234" s="23" t="s">
        <v>165</v>
      </c>
      <c r="G234" s="24" t="str">
        <f>A234&amp;"|"&amp;B234</f>
        <v>Chrysler|Commander</v>
      </c>
    </row>
    <row r="235" ht="15" customHeight="1" spans="1:7" x14ac:dyDescent="0.25">
      <c r="A235" s="23" t="s">
        <v>401</v>
      </c>
      <c r="B235" s="23" t="s">
        <v>417</v>
      </c>
      <c r="C235" s="23" t="s">
        <v>162</v>
      </c>
      <c r="D235" s="23" t="s">
        <v>163</v>
      </c>
      <c r="E235" s="23" t="s">
        <v>164</v>
      </c>
      <c r="F235" s="23" t="s">
        <v>165</v>
      </c>
      <c r="G235" s="24" t="str">
        <f>A235&amp;"|"&amp;B235</f>
        <v>Chrysler|Commander Xk</v>
      </c>
    </row>
    <row r="236" ht="15" customHeight="1" spans="1:7" x14ac:dyDescent="0.25">
      <c r="A236" s="23" t="s">
        <v>401</v>
      </c>
      <c r="B236" s="23" t="s">
        <v>418</v>
      </c>
      <c r="C236" s="23" t="s">
        <v>162</v>
      </c>
      <c r="D236" s="23" t="s">
        <v>163</v>
      </c>
      <c r="E236" s="23" t="s">
        <v>275</v>
      </c>
      <c r="F236" s="23" t="s">
        <v>165</v>
      </c>
      <c r="G236" s="24" t="str">
        <f>A236&amp;"|"&amp;B236</f>
        <v>Chrysler|Crew Cab</v>
      </c>
    </row>
    <row r="237" ht="15" customHeight="1" spans="1:7" x14ac:dyDescent="0.25">
      <c r="A237" s="23" t="s">
        <v>401</v>
      </c>
      <c r="B237" s="23" t="s">
        <v>419</v>
      </c>
      <c r="C237" s="23" t="s">
        <v>162</v>
      </c>
      <c r="D237" s="23" t="s">
        <v>163</v>
      </c>
      <c r="E237" s="23" t="s">
        <v>275</v>
      </c>
      <c r="F237" s="23" t="s">
        <v>165</v>
      </c>
      <c r="G237" s="24" t="str">
        <f>A237&amp;"|"&amp;B237</f>
        <v>Chrysler|Crew Cab-</v>
      </c>
    </row>
    <row r="238" ht="15" customHeight="1" spans="1:7" x14ac:dyDescent="0.25">
      <c r="A238" s="23" t="s">
        <v>401</v>
      </c>
      <c r="B238" s="23" t="s">
        <v>420</v>
      </c>
      <c r="C238" s="23" t="s">
        <v>167</v>
      </c>
      <c r="D238" s="23" t="s">
        <v>168</v>
      </c>
      <c r="E238" s="23" t="s">
        <v>175</v>
      </c>
      <c r="F238" s="23" t="s">
        <v>170</v>
      </c>
      <c r="G238" s="24" t="str">
        <f>A238&amp;"|"&amp;B238</f>
        <v>Chrysler|Crossfire</v>
      </c>
    </row>
    <row r="239" ht="15" customHeight="1" spans="1:7" x14ac:dyDescent="0.25">
      <c r="A239" s="23" t="s">
        <v>401</v>
      </c>
      <c r="B239" s="23" t="s">
        <v>421</v>
      </c>
      <c r="C239" s="23" t="s">
        <v>162</v>
      </c>
      <c r="D239" s="23" t="s">
        <v>163</v>
      </c>
      <c r="E239" s="23" t="s">
        <v>275</v>
      </c>
      <c r="F239" s="23" t="s">
        <v>165</v>
      </c>
      <c r="G239" s="24" t="str">
        <f>A239&amp;"|"&amp;B239</f>
        <v>Chrysler|Dakota</v>
      </c>
    </row>
    <row r="240" ht="15" customHeight="1" spans="1:7" x14ac:dyDescent="0.25">
      <c r="A240" s="23" t="s">
        <v>401</v>
      </c>
      <c r="B240" s="23" t="s">
        <v>422</v>
      </c>
      <c r="C240" s="23" t="s">
        <v>162</v>
      </c>
      <c r="D240" s="23" t="s">
        <v>168</v>
      </c>
      <c r="E240" s="23" t="s">
        <v>385</v>
      </c>
      <c r="F240" s="23" t="s">
        <v>170</v>
      </c>
      <c r="G240" s="24" t="str">
        <f>A240&amp;"|"&amp;B240</f>
        <v>Chrysler|Dart</v>
      </c>
    </row>
    <row r="241" ht="15" customHeight="1" spans="1:7" x14ac:dyDescent="0.25">
      <c r="A241" s="23" t="s">
        <v>401</v>
      </c>
      <c r="B241" s="23" t="s">
        <v>423</v>
      </c>
      <c r="C241" s="23" t="s">
        <v>162</v>
      </c>
      <c r="D241" s="23" t="s">
        <v>163</v>
      </c>
      <c r="E241" s="23" t="s">
        <v>275</v>
      </c>
      <c r="F241" s="23" t="s">
        <v>165</v>
      </c>
      <c r="G241" s="24" t="str">
        <f>A241&amp;"|"&amp;B241</f>
        <v>Chrysler|Dodge 1000</v>
      </c>
    </row>
    <row r="242" ht="15" customHeight="1" spans="1:7" x14ac:dyDescent="0.25">
      <c r="A242" s="23" t="s">
        <v>401</v>
      </c>
      <c r="B242" s="23" t="s">
        <v>424</v>
      </c>
      <c r="C242" s="23" t="s">
        <v>162</v>
      </c>
      <c r="D242" s="23" t="s">
        <v>168</v>
      </c>
      <c r="E242" s="23" t="s">
        <v>385</v>
      </c>
      <c r="F242" s="23" t="s">
        <v>170</v>
      </c>
      <c r="G242" s="24" t="str">
        <f>A242&amp;"|"&amp;B242</f>
        <v>Chrysler|Dodge Neon</v>
      </c>
    </row>
    <row r="243" ht="15" customHeight="1" spans="1:7" x14ac:dyDescent="0.25">
      <c r="A243" s="23" t="s">
        <v>401</v>
      </c>
      <c r="B243" s="23" t="s">
        <v>425</v>
      </c>
      <c r="C243" s="23" t="s">
        <v>162</v>
      </c>
      <c r="D243" s="23" t="s">
        <v>163</v>
      </c>
      <c r="E243" s="23" t="s">
        <v>164</v>
      </c>
      <c r="F243" s="23" t="s">
        <v>165</v>
      </c>
      <c r="G243" s="24" t="str">
        <f>A243&amp;"|"&amp;B243</f>
        <v>Chrysler|Durango</v>
      </c>
    </row>
    <row r="244" ht="15" customHeight="1" spans="1:7" x14ac:dyDescent="0.25">
      <c r="A244" s="23" t="s">
        <v>401</v>
      </c>
      <c r="B244" s="23" t="s">
        <v>426</v>
      </c>
      <c r="C244" s="23" t="s">
        <v>271</v>
      </c>
      <c r="D244" s="23" t="s">
        <v>163</v>
      </c>
      <c r="E244" s="23" t="s">
        <v>277</v>
      </c>
      <c r="F244" s="23" t="s">
        <v>165</v>
      </c>
      <c r="G244" s="24" t="str">
        <f>A244&amp;"|"&amp;B244</f>
        <v>Chrysler|Grand Caravan</v>
      </c>
    </row>
    <row r="245" ht="15" customHeight="1" spans="1:7" x14ac:dyDescent="0.25">
      <c r="A245" s="23" t="s">
        <v>401</v>
      </c>
      <c r="B245" s="23" t="s">
        <v>427</v>
      </c>
      <c r="C245" s="23" t="s">
        <v>162</v>
      </c>
      <c r="D245" s="23" t="s">
        <v>163</v>
      </c>
      <c r="E245" s="23" t="s">
        <v>164</v>
      </c>
      <c r="F245" s="23" t="s">
        <v>165</v>
      </c>
      <c r="G245" s="24" t="str">
        <f>A245&amp;"|"&amp;B245</f>
        <v>Chrysler|Grand Cherokee</v>
      </c>
    </row>
    <row r="246" ht="15" customHeight="1" spans="1:7" x14ac:dyDescent="0.25">
      <c r="A246" s="23" t="s">
        <v>401</v>
      </c>
      <c r="B246" s="23" t="s">
        <v>428</v>
      </c>
      <c r="C246" s="23" t="s">
        <v>162</v>
      </c>
      <c r="D246" s="23" t="s">
        <v>163</v>
      </c>
      <c r="E246" s="23" t="s">
        <v>275</v>
      </c>
      <c r="F246" s="23" t="s">
        <v>165</v>
      </c>
      <c r="G246" s="24" t="str">
        <f>A246&amp;"|"&amp;B246</f>
        <v>Chrysler|H100</v>
      </c>
    </row>
    <row r="247" ht="15" customHeight="1" spans="1:7" x14ac:dyDescent="0.25">
      <c r="A247" s="23" t="s">
        <v>401</v>
      </c>
      <c r="B247" s="23" t="s">
        <v>429</v>
      </c>
      <c r="C247" s="23" t="s">
        <v>162</v>
      </c>
      <c r="D247" s="23" t="s">
        <v>163</v>
      </c>
      <c r="E247" s="23" t="s">
        <v>164</v>
      </c>
      <c r="F247" s="23" t="s">
        <v>165</v>
      </c>
      <c r="G247" s="24" t="str">
        <f>A247&amp;"|"&amp;B247</f>
        <v>Chrysler|H100 Van</v>
      </c>
    </row>
    <row r="248" ht="15" customHeight="1" spans="1:7" x14ac:dyDescent="0.25">
      <c r="A248" s="23" t="s">
        <v>401</v>
      </c>
      <c r="B248" s="23" t="s">
        <v>430</v>
      </c>
      <c r="C248" s="23" t="s">
        <v>162</v>
      </c>
      <c r="D248" s="23" t="s">
        <v>163</v>
      </c>
      <c r="E248" s="23" t="s">
        <v>164</v>
      </c>
      <c r="F248" s="23" t="s">
        <v>165</v>
      </c>
      <c r="G248" s="24" t="str">
        <f>A248&amp;"|"&amp;B248</f>
        <v>Chrysler|H100 Wagon</v>
      </c>
    </row>
    <row r="249" ht="15" customHeight="1" spans="1:7" x14ac:dyDescent="0.25">
      <c r="A249" s="23" t="s">
        <v>401</v>
      </c>
      <c r="B249" s="23" t="s">
        <v>431</v>
      </c>
      <c r="C249" s="23" t="s">
        <v>271</v>
      </c>
      <c r="D249" s="23" t="s">
        <v>168</v>
      </c>
      <c r="E249" s="23" t="s">
        <v>272</v>
      </c>
      <c r="F249" s="23" t="s">
        <v>170</v>
      </c>
      <c r="G249" s="24" t="str">
        <f>A249&amp;"|"&amp;B249</f>
        <v>Chrysler|I10</v>
      </c>
    </row>
    <row r="250" ht="15" customHeight="1" spans="1:7" x14ac:dyDescent="0.25">
      <c r="A250" s="23" t="s">
        <v>401</v>
      </c>
      <c r="B250" s="23" t="s">
        <v>432</v>
      </c>
      <c r="C250" s="23" t="s">
        <v>162</v>
      </c>
      <c r="D250" s="23" t="s">
        <v>163</v>
      </c>
      <c r="E250" s="23" t="s">
        <v>164</v>
      </c>
      <c r="F250" s="23" t="s">
        <v>165</v>
      </c>
      <c r="G250" s="24" t="str">
        <f>A250&amp;"|"&amp;B250</f>
        <v>Chrysler|Jeep Compass</v>
      </c>
    </row>
    <row r="251" ht="15" customHeight="1" spans="1:7" x14ac:dyDescent="0.25">
      <c r="A251" s="23" t="s">
        <v>401</v>
      </c>
      <c r="B251" s="23" t="s">
        <v>433</v>
      </c>
      <c r="C251" s="23" t="s">
        <v>162</v>
      </c>
      <c r="D251" s="23" t="s">
        <v>163</v>
      </c>
      <c r="E251" s="23" t="s">
        <v>164</v>
      </c>
      <c r="F251" s="23" t="s">
        <v>165</v>
      </c>
      <c r="G251" s="24" t="str">
        <f>A251&amp;"|"&amp;B251</f>
        <v>Chrysler|Jeep Compass-</v>
      </c>
    </row>
    <row r="252" ht="15" customHeight="1" spans="1:7" x14ac:dyDescent="0.25">
      <c r="A252" s="23" t="s">
        <v>401</v>
      </c>
      <c r="B252" s="23" t="s">
        <v>434</v>
      </c>
      <c r="C252" s="23" t="s">
        <v>162</v>
      </c>
      <c r="D252" s="23" t="s">
        <v>163</v>
      </c>
      <c r="E252" s="23" t="s">
        <v>164</v>
      </c>
      <c r="F252" s="23" t="s">
        <v>165</v>
      </c>
      <c r="G252" s="24" t="str">
        <f>A252&amp;"|"&amp;B252</f>
        <v>Chrysler|Journey</v>
      </c>
    </row>
    <row r="253" ht="15" customHeight="1" spans="1:7" x14ac:dyDescent="0.25">
      <c r="A253" s="23" t="s">
        <v>401</v>
      </c>
      <c r="B253" s="23" t="s">
        <v>435</v>
      </c>
      <c r="C253" s="23" t="s">
        <v>162</v>
      </c>
      <c r="D253" s="23" t="s">
        <v>163</v>
      </c>
      <c r="E253" s="23" t="s">
        <v>275</v>
      </c>
      <c r="F253" s="23" t="s">
        <v>165</v>
      </c>
      <c r="G253" s="24" t="str">
        <f>A253&amp;"|"&amp;B253</f>
        <v>Chrysler|JT</v>
      </c>
    </row>
    <row r="254" ht="15" customHeight="1" spans="1:7" x14ac:dyDescent="0.25">
      <c r="A254" s="23" t="s">
        <v>401</v>
      </c>
      <c r="B254" s="23" t="s">
        <v>436</v>
      </c>
      <c r="C254" s="23" t="s">
        <v>162</v>
      </c>
      <c r="D254" s="23" t="s">
        <v>163</v>
      </c>
      <c r="E254" s="23" t="s">
        <v>164</v>
      </c>
      <c r="F254" s="23" t="s">
        <v>165</v>
      </c>
      <c r="G254" s="24" t="str">
        <f>A254&amp;"|"&amp;B254</f>
        <v>Chrysler|Liberty</v>
      </c>
    </row>
    <row r="255" ht="15" customHeight="1" spans="1:7" x14ac:dyDescent="0.25">
      <c r="A255" s="23" t="s">
        <v>401</v>
      </c>
      <c r="B255" s="23" t="s">
        <v>437</v>
      </c>
      <c r="C255" s="23" t="s">
        <v>162</v>
      </c>
      <c r="D255" s="23" t="s">
        <v>163</v>
      </c>
      <c r="E255" s="23" t="s">
        <v>275</v>
      </c>
      <c r="F255" s="23" t="s">
        <v>165</v>
      </c>
      <c r="G255" s="24" t="str">
        <f>A255&amp;"|"&amp;B255</f>
        <v>Chrysler|Mega Cab</v>
      </c>
    </row>
    <row r="256" ht="15" customHeight="1" spans="1:7" x14ac:dyDescent="0.25">
      <c r="A256" s="23" t="s">
        <v>401</v>
      </c>
      <c r="B256" s="23" t="s">
        <v>438</v>
      </c>
      <c r="C256" s="23" t="s">
        <v>162</v>
      </c>
      <c r="D256" s="23" t="s">
        <v>168</v>
      </c>
      <c r="E256" s="23" t="s">
        <v>385</v>
      </c>
      <c r="F256" s="23" t="s">
        <v>170</v>
      </c>
      <c r="G256" s="24" t="str">
        <f>A256&amp;"|"&amp;B256</f>
        <v>Chrysler|Neon</v>
      </c>
    </row>
    <row r="257" ht="15" customHeight="1" spans="1:7" x14ac:dyDescent="0.25">
      <c r="A257" s="23" t="s">
        <v>401</v>
      </c>
      <c r="B257" s="23" t="s">
        <v>439</v>
      </c>
      <c r="C257" s="23" t="s">
        <v>162</v>
      </c>
      <c r="D257" s="23" t="s">
        <v>163</v>
      </c>
      <c r="E257" s="23" t="s">
        <v>164</v>
      </c>
      <c r="F257" s="23" t="s">
        <v>165</v>
      </c>
      <c r="G257" s="24" t="str">
        <f>A257&amp;"|"&amp;B257</f>
        <v>Chrysler|Nitro</v>
      </c>
    </row>
    <row r="258" ht="15" customHeight="1" spans="1:7" x14ac:dyDescent="0.25">
      <c r="A258" s="23" t="s">
        <v>401</v>
      </c>
      <c r="B258" s="23" t="s">
        <v>440</v>
      </c>
      <c r="C258" s="23" t="s">
        <v>162</v>
      </c>
      <c r="D258" s="23" t="s">
        <v>168</v>
      </c>
      <c r="E258" s="23" t="s">
        <v>385</v>
      </c>
      <c r="F258" s="23" t="s">
        <v>170</v>
      </c>
      <c r="G258" s="24" t="str">
        <f>A258&amp;"|"&amp;B258</f>
        <v>Chrysler|Nuevo Attitude</v>
      </c>
    </row>
    <row r="259" ht="15" customHeight="1" spans="1:7" x14ac:dyDescent="0.25">
      <c r="A259" s="23" t="s">
        <v>401</v>
      </c>
      <c r="B259" s="23" t="s">
        <v>441</v>
      </c>
      <c r="C259" s="23" t="s">
        <v>162</v>
      </c>
      <c r="D259" s="23" t="s">
        <v>163</v>
      </c>
      <c r="E259" s="23" t="s">
        <v>164</v>
      </c>
      <c r="F259" s="23" t="s">
        <v>165</v>
      </c>
      <c r="G259" s="24" t="str">
        <f>A259&amp;"|"&amp;B259</f>
        <v>Chrysler|Pacifica</v>
      </c>
    </row>
    <row r="260" ht="15" customHeight="1" spans="1:7" x14ac:dyDescent="0.25">
      <c r="A260" s="23" t="s">
        <v>401</v>
      </c>
      <c r="B260" s="23" t="s">
        <v>442</v>
      </c>
      <c r="C260" s="23" t="s">
        <v>162</v>
      </c>
      <c r="D260" s="23" t="s">
        <v>163</v>
      </c>
      <c r="E260" s="23" t="s">
        <v>164</v>
      </c>
      <c r="F260" s="23" t="s">
        <v>165</v>
      </c>
      <c r="G260" s="24" t="str">
        <f>A260&amp;"|"&amp;B260</f>
        <v>Chrysler|Patriot</v>
      </c>
    </row>
    <row r="261" ht="15" customHeight="1" spans="1:7" x14ac:dyDescent="0.25">
      <c r="A261" s="23" t="s">
        <v>401</v>
      </c>
      <c r="B261" s="23" t="s">
        <v>443</v>
      </c>
      <c r="C261" s="23" t="s">
        <v>162</v>
      </c>
      <c r="D261" s="23" t="s">
        <v>163</v>
      </c>
      <c r="E261" s="23" t="s">
        <v>164</v>
      </c>
      <c r="F261" s="23" t="s">
        <v>165</v>
      </c>
      <c r="G261" s="24" t="str">
        <f>A261&amp;"|"&amp;B261</f>
        <v>Chrysler|Promaster</v>
      </c>
    </row>
    <row r="262" ht="15" customHeight="1" spans="1:7" x14ac:dyDescent="0.25">
      <c r="A262" s="23" t="s">
        <v>401</v>
      </c>
      <c r="B262" s="23" t="s">
        <v>444</v>
      </c>
      <c r="C262" s="23" t="s">
        <v>162</v>
      </c>
      <c r="D262" s="23" t="s">
        <v>163</v>
      </c>
      <c r="E262" s="23" t="s">
        <v>275</v>
      </c>
      <c r="F262" s="23" t="s">
        <v>165</v>
      </c>
      <c r="G262" s="24" t="str">
        <f>A262&amp;"|"&amp;B262</f>
        <v>Chrysler|Promaster Rapid</v>
      </c>
    </row>
    <row r="263" ht="15" customHeight="1" spans="1:7" x14ac:dyDescent="0.25">
      <c r="A263" s="23" t="s">
        <v>401</v>
      </c>
      <c r="B263" s="23" t="s">
        <v>445</v>
      </c>
      <c r="C263" s="23" t="s">
        <v>162</v>
      </c>
      <c r="D263" s="23" t="s">
        <v>168</v>
      </c>
      <c r="E263" s="23" t="s">
        <v>385</v>
      </c>
      <c r="F263" s="23" t="s">
        <v>170</v>
      </c>
      <c r="G263" s="24" t="str">
        <f>A263&amp;"|"&amp;B263</f>
        <v>Chrysler|PT Cruiser</v>
      </c>
    </row>
    <row r="264" ht="15" customHeight="1" spans="1:7" x14ac:dyDescent="0.25">
      <c r="A264" s="23" t="s">
        <v>401</v>
      </c>
      <c r="B264" s="23" t="s">
        <v>446</v>
      </c>
      <c r="C264" s="23" t="s">
        <v>162</v>
      </c>
      <c r="D264" s="23" t="s">
        <v>168</v>
      </c>
      <c r="E264" s="23" t="s">
        <v>385</v>
      </c>
      <c r="F264" s="23" t="s">
        <v>170</v>
      </c>
      <c r="G264" s="24" t="str">
        <f>A264&amp;"|"&amp;B264</f>
        <v>Chrysler|Pt Cruiser Conv</v>
      </c>
    </row>
    <row r="265" ht="15" customHeight="1" spans="1:7" x14ac:dyDescent="0.25">
      <c r="A265" s="23" t="s">
        <v>401</v>
      </c>
      <c r="B265" s="23" t="s">
        <v>447</v>
      </c>
      <c r="C265" s="23" t="s">
        <v>162</v>
      </c>
      <c r="D265" s="23" t="s">
        <v>163</v>
      </c>
      <c r="E265" s="23" t="s">
        <v>275</v>
      </c>
      <c r="F265" s="23" t="s">
        <v>165</v>
      </c>
      <c r="G265" s="24" t="str">
        <f>A265&amp;"|"&amp;B265</f>
        <v>Chrysler|Quad Cab</v>
      </c>
    </row>
    <row r="266" ht="15" customHeight="1" spans="1:7" x14ac:dyDescent="0.25">
      <c r="A266" s="23" t="s">
        <v>401</v>
      </c>
      <c r="B266" s="23" t="s">
        <v>448</v>
      </c>
      <c r="C266" s="23" t="s">
        <v>162</v>
      </c>
      <c r="D266" s="23" t="s">
        <v>163</v>
      </c>
      <c r="E266" s="23" t="s">
        <v>275</v>
      </c>
      <c r="F266" s="23" t="s">
        <v>165</v>
      </c>
      <c r="G266" s="24" t="str">
        <f>A266&amp;"|"&amp;B266</f>
        <v>Chrysler|RAM 1200</v>
      </c>
    </row>
    <row r="267" ht="15" customHeight="1" spans="1:7" x14ac:dyDescent="0.25">
      <c r="A267" s="23" t="s">
        <v>401</v>
      </c>
      <c r="B267" s="23" t="s">
        <v>449</v>
      </c>
      <c r="C267" s="23" t="s">
        <v>162</v>
      </c>
      <c r="D267" s="23" t="s">
        <v>163</v>
      </c>
      <c r="E267" s="23" t="s">
        <v>275</v>
      </c>
      <c r="F267" s="23" t="s">
        <v>165</v>
      </c>
      <c r="G267" s="24" t="str">
        <f>A267&amp;"|"&amp;B267</f>
        <v>Chrysler|Ram 1500</v>
      </c>
    </row>
    <row r="268" ht="15" customHeight="1" spans="1:7" x14ac:dyDescent="0.25">
      <c r="A268" s="23" t="s">
        <v>401</v>
      </c>
      <c r="B268" s="23" t="s">
        <v>450</v>
      </c>
      <c r="C268" s="23" t="s">
        <v>162</v>
      </c>
      <c r="D268" s="23" t="s">
        <v>163</v>
      </c>
      <c r="E268" s="23" t="s">
        <v>275</v>
      </c>
      <c r="F268" s="23" t="s">
        <v>165</v>
      </c>
      <c r="G268" s="24" t="str">
        <f>A268&amp;"|"&amp;B268</f>
        <v>Chrysler|RAM 1500-</v>
      </c>
    </row>
    <row r="269" ht="15" customHeight="1" spans="1:7" x14ac:dyDescent="0.25">
      <c r="A269" s="23" t="s">
        <v>401</v>
      </c>
      <c r="B269" s="23" t="s">
        <v>451</v>
      </c>
      <c r="C269" s="23" t="s">
        <v>162</v>
      </c>
      <c r="D269" s="23" t="s">
        <v>163</v>
      </c>
      <c r="E269" s="23" t="s">
        <v>275</v>
      </c>
      <c r="F269" s="23" t="s">
        <v>165</v>
      </c>
      <c r="G269" s="24" t="str">
        <f>A269&amp;"|"&amp;B269</f>
        <v>Chrysler|Ram 2500</v>
      </c>
    </row>
    <row r="270" ht="15" customHeight="1" spans="1:7" x14ac:dyDescent="0.25">
      <c r="A270" s="23" t="s">
        <v>401</v>
      </c>
      <c r="B270" s="23" t="s">
        <v>452</v>
      </c>
      <c r="C270" s="23" t="s">
        <v>162</v>
      </c>
      <c r="D270" s="23" t="s">
        <v>163</v>
      </c>
      <c r="E270" s="23" t="s">
        <v>275</v>
      </c>
      <c r="F270" s="23" t="s">
        <v>165</v>
      </c>
      <c r="G270" s="24" t="str">
        <f>A270&amp;"|"&amp;B270</f>
        <v>Chrysler|RAM 2500-</v>
      </c>
    </row>
    <row r="271" ht="15" customHeight="1" spans="1:7" x14ac:dyDescent="0.25">
      <c r="A271" s="23" t="s">
        <v>401</v>
      </c>
      <c r="B271" s="23" t="s">
        <v>453</v>
      </c>
      <c r="C271" s="23" t="s">
        <v>162</v>
      </c>
      <c r="D271" s="23" t="s">
        <v>163</v>
      </c>
      <c r="E271" s="23" t="s">
        <v>275</v>
      </c>
      <c r="F271" s="23" t="s">
        <v>165</v>
      </c>
      <c r="G271" s="24" t="str">
        <f>A271&amp;"|"&amp;B271</f>
        <v>Chrysler|RAM 4000</v>
      </c>
    </row>
    <row r="272" ht="15" customHeight="1" spans="1:7" x14ac:dyDescent="0.25">
      <c r="A272" s="23" t="s">
        <v>401</v>
      </c>
      <c r="B272" s="23" t="s">
        <v>454</v>
      </c>
      <c r="C272" s="23" t="s">
        <v>162</v>
      </c>
      <c r="D272" s="23" t="s">
        <v>163</v>
      </c>
      <c r="E272" s="23" t="s">
        <v>275</v>
      </c>
      <c r="F272" s="23" t="s">
        <v>165</v>
      </c>
      <c r="G272" s="24" t="str">
        <f>A272&amp;"|"&amp;B272</f>
        <v>Chrysler|RAM 4000 Diesel</v>
      </c>
    </row>
    <row r="273" ht="15" customHeight="1" spans="1:7" x14ac:dyDescent="0.25">
      <c r="A273" s="23" t="s">
        <v>401</v>
      </c>
      <c r="B273" s="23" t="s">
        <v>455</v>
      </c>
      <c r="C273" s="23" t="s">
        <v>162</v>
      </c>
      <c r="D273" s="23" t="s">
        <v>163</v>
      </c>
      <c r="E273" s="23" t="s">
        <v>275</v>
      </c>
      <c r="F273" s="23" t="s">
        <v>165</v>
      </c>
      <c r="G273" s="24" t="str">
        <f>A273&amp;"|"&amp;B273</f>
        <v>Chrysler|RAM 700</v>
      </c>
    </row>
    <row r="274" ht="15" customHeight="1" spans="1:7" x14ac:dyDescent="0.25">
      <c r="A274" s="23" t="s">
        <v>401</v>
      </c>
      <c r="B274" s="23" t="s">
        <v>456</v>
      </c>
      <c r="C274" s="23" t="s">
        <v>162</v>
      </c>
      <c r="D274" s="23" t="s">
        <v>163</v>
      </c>
      <c r="E274" s="23" t="s">
        <v>275</v>
      </c>
      <c r="F274" s="23" t="s">
        <v>165</v>
      </c>
      <c r="G274" s="24" t="str">
        <f>A274&amp;"|"&amp;B274</f>
        <v>Chrysler|RAM DS</v>
      </c>
    </row>
    <row r="275" ht="15" customHeight="1" spans="1:7" x14ac:dyDescent="0.25">
      <c r="A275" s="23" t="s">
        <v>401</v>
      </c>
      <c r="B275" s="23" t="s">
        <v>457</v>
      </c>
      <c r="C275" s="23" t="s">
        <v>162</v>
      </c>
      <c r="D275" s="23" t="s">
        <v>163</v>
      </c>
      <c r="E275" s="23" t="s">
        <v>164</v>
      </c>
      <c r="F275" s="23" t="s">
        <v>165</v>
      </c>
      <c r="G275" s="24" t="str">
        <f>A275&amp;"|"&amp;B275</f>
        <v>Chrysler|Renegade</v>
      </c>
    </row>
    <row r="276" ht="15" customHeight="1" spans="1:7" x14ac:dyDescent="0.25">
      <c r="A276" s="23" t="s">
        <v>401</v>
      </c>
      <c r="B276" s="23" t="s">
        <v>458</v>
      </c>
      <c r="C276" s="23" t="s">
        <v>162</v>
      </c>
      <c r="D276" s="23" t="s">
        <v>168</v>
      </c>
      <c r="E276" s="23" t="s">
        <v>385</v>
      </c>
      <c r="F276" s="23" t="s">
        <v>170</v>
      </c>
      <c r="G276" s="24" t="str">
        <f>A276&amp;"|"&amp;B276</f>
        <v>Chrysler|Stratus</v>
      </c>
    </row>
    <row r="277" ht="15" customHeight="1" spans="1:7" x14ac:dyDescent="0.25">
      <c r="A277" s="23" t="s">
        <v>401</v>
      </c>
      <c r="B277" s="23" t="s">
        <v>459</v>
      </c>
      <c r="C277" s="23" t="s">
        <v>271</v>
      </c>
      <c r="D277" s="23" t="s">
        <v>168</v>
      </c>
      <c r="E277" s="23" t="s">
        <v>272</v>
      </c>
      <c r="F277" s="23" t="s">
        <v>170</v>
      </c>
      <c r="G277" s="24" t="str">
        <f>A277&amp;"|"&amp;B277</f>
        <v>Chrysler|Verna 3 Ptas</v>
      </c>
    </row>
    <row r="278" ht="15" customHeight="1" spans="1:7" x14ac:dyDescent="0.25">
      <c r="A278" s="23" t="s">
        <v>401</v>
      </c>
      <c r="B278" s="23" t="s">
        <v>460</v>
      </c>
      <c r="C278" s="23" t="s">
        <v>271</v>
      </c>
      <c r="D278" s="23" t="s">
        <v>168</v>
      </c>
      <c r="E278" s="23" t="s">
        <v>272</v>
      </c>
      <c r="F278" s="23" t="s">
        <v>170</v>
      </c>
      <c r="G278" s="24" t="str">
        <f>A278&amp;"|"&amp;B278</f>
        <v>Chrysler|Verna 4 Ptas</v>
      </c>
    </row>
    <row r="279" ht="15" customHeight="1" spans="1:7" x14ac:dyDescent="0.25">
      <c r="A279" s="23" t="s">
        <v>401</v>
      </c>
      <c r="B279" s="23" t="s">
        <v>461</v>
      </c>
      <c r="C279" s="23" t="s">
        <v>167</v>
      </c>
      <c r="D279" s="23" t="s">
        <v>168</v>
      </c>
      <c r="E279" s="23" t="s">
        <v>175</v>
      </c>
      <c r="F279" s="23" t="s">
        <v>170</v>
      </c>
      <c r="G279" s="24" t="str">
        <f>A279&amp;"|"&amp;B279</f>
        <v>Chrysler|Viper</v>
      </c>
    </row>
    <row r="280" ht="15" customHeight="1" spans="1:7" x14ac:dyDescent="0.25">
      <c r="A280" s="23" t="s">
        <v>401</v>
      </c>
      <c r="B280" s="23" t="s">
        <v>462</v>
      </c>
      <c r="C280" s="23" t="s">
        <v>271</v>
      </c>
      <c r="D280" s="23" t="s">
        <v>168</v>
      </c>
      <c r="E280" s="23" t="s">
        <v>272</v>
      </c>
      <c r="F280" s="23" t="s">
        <v>170</v>
      </c>
      <c r="G280" s="24" t="str">
        <f>A280&amp;"|"&amp;B280</f>
        <v>Chrysler|Vision</v>
      </c>
    </row>
    <row r="281" ht="15" customHeight="1" spans="1:7" x14ac:dyDescent="0.25">
      <c r="A281" s="23" t="s">
        <v>401</v>
      </c>
      <c r="B281" s="23" t="s">
        <v>463</v>
      </c>
      <c r="C281" s="23" t="s">
        <v>271</v>
      </c>
      <c r="D281" s="23" t="s">
        <v>163</v>
      </c>
      <c r="E281" s="23" t="s">
        <v>277</v>
      </c>
      <c r="F281" s="23" t="s">
        <v>165</v>
      </c>
      <c r="G281" s="24" t="str">
        <f>A281&amp;"|"&amp;B281</f>
        <v>Chrysler|Voyager</v>
      </c>
    </row>
    <row r="282" ht="15" customHeight="1" spans="1:7" x14ac:dyDescent="0.25">
      <c r="A282" s="23" t="s">
        <v>401</v>
      </c>
      <c r="B282" s="23" t="s">
        <v>464</v>
      </c>
      <c r="C282" s="23" t="s">
        <v>271</v>
      </c>
      <c r="D282" s="23" t="s">
        <v>163</v>
      </c>
      <c r="E282" s="23" t="s">
        <v>277</v>
      </c>
      <c r="F282" s="23" t="s">
        <v>165</v>
      </c>
      <c r="G282" s="24" t="str">
        <f>A282&amp;"|"&amp;B282</f>
        <v>Chrysler|Voyager Town&amp;Country LTD</v>
      </c>
    </row>
    <row r="283" ht="15" customHeight="1" spans="1:7" x14ac:dyDescent="0.25">
      <c r="A283" s="23" t="s">
        <v>401</v>
      </c>
      <c r="B283" s="23" t="s">
        <v>465</v>
      </c>
      <c r="C283" s="23" t="s">
        <v>271</v>
      </c>
      <c r="D283" s="23" t="s">
        <v>163</v>
      </c>
      <c r="E283" s="23" t="s">
        <v>277</v>
      </c>
      <c r="F283" s="23" t="s">
        <v>165</v>
      </c>
      <c r="G283" s="24" t="str">
        <f>A283&amp;"|"&amp;B283</f>
        <v>Chrysler|Voyager Town&amp;Country LX</v>
      </c>
    </row>
    <row r="284" ht="15" customHeight="1" spans="1:7" x14ac:dyDescent="0.25">
      <c r="A284" s="23" t="s">
        <v>401</v>
      </c>
      <c r="B284" s="23" t="s">
        <v>466</v>
      </c>
      <c r="C284" s="23" t="s">
        <v>162</v>
      </c>
      <c r="D284" s="23" t="s">
        <v>163</v>
      </c>
      <c r="E284" s="23" t="s">
        <v>164</v>
      </c>
      <c r="F284" s="23" t="s">
        <v>165</v>
      </c>
      <c r="G284" s="24" t="str">
        <f>A284&amp;"|"&amp;B284</f>
        <v>Chrysler|Wagoneer</v>
      </c>
    </row>
    <row r="285" ht="15" customHeight="1" spans="1:7" x14ac:dyDescent="0.25">
      <c r="A285" s="23" t="s">
        <v>401</v>
      </c>
      <c r="B285" s="23" t="s">
        <v>467</v>
      </c>
      <c r="C285" s="23" t="s">
        <v>162</v>
      </c>
      <c r="D285" s="23" t="s">
        <v>163</v>
      </c>
      <c r="E285" s="23" t="s">
        <v>164</v>
      </c>
      <c r="F285" s="23" t="s">
        <v>165</v>
      </c>
      <c r="G285" s="24" t="str">
        <f>A285&amp;"|"&amp;B285</f>
        <v>Chrysler|Wrangler</v>
      </c>
    </row>
    <row r="286" ht="15" customHeight="1" spans="1:7" x14ac:dyDescent="0.25">
      <c r="A286" s="23" t="s">
        <v>468</v>
      </c>
      <c r="B286" s="23" t="s">
        <v>469</v>
      </c>
      <c r="C286" s="23" t="s">
        <v>167</v>
      </c>
      <c r="D286" s="23" t="s">
        <v>168</v>
      </c>
      <c r="E286" s="23" t="s">
        <v>169</v>
      </c>
      <c r="F286" s="23" t="s">
        <v>170</v>
      </c>
      <c r="G286" s="24" t="str">
        <f>A286&amp;"|"&amp;B286</f>
        <v>Fiat|124 Spider</v>
      </c>
    </row>
    <row r="287" ht="15" customHeight="1" spans="1:7" x14ac:dyDescent="0.25">
      <c r="A287" s="23" t="s">
        <v>468</v>
      </c>
      <c r="B287" s="23" t="s">
        <v>470</v>
      </c>
      <c r="C287" s="23" t="s">
        <v>162</v>
      </c>
      <c r="D287" s="23" t="s">
        <v>168</v>
      </c>
      <c r="E287" s="23" t="s">
        <v>385</v>
      </c>
      <c r="F287" s="23" t="s">
        <v>170</v>
      </c>
      <c r="G287" s="24" t="str">
        <f>A287&amp;"|"&amp;B287</f>
        <v>Fiat|500L</v>
      </c>
    </row>
    <row r="288" ht="15" customHeight="1" spans="1:7" x14ac:dyDescent="0.25">
      <c r="A288" s="23" t="s">
        <v>468</v>
      </c>
      <c r="B288" s="23" t="s">
        <v>471</v>
      </c>
      <c r="C288" s="23" t="s">
        <v>167</v>
      </c>
      <c r="D288" s="23" t="s">
        <v>168</v>
      </c>
      <c r="E288" s="23" t="s">
        <v>175</v>
      </c>
      <c r="F288" s="23" t="s">
        <v>170</v>
      </c>
      <c r="G288" s="24" t="str">
        <f>A288&amp;"|"&amp;B288</f>
        <v>Fiat|500X</v>
      </c>
    </row>
    <row r="289" ht="15" customHeight="1" spans="1:7" x14ac:dyDescent="0.25">
      <c r="A289" s="23" t="s">
        <v>468</v>
      </c>
      <c r="B289" s="23" t="s">
        <v>472</v>
      </c>
      <c r="C289" s="23" t="s">
        <v>271</v>
      </c>
      <c r="D289" s="23" t="s">
        <v>168</v>
      </c>
      <c r="E289" s="23" t="s">
        <v>272</v>
      </c>
      <c r="F289" s="23" t="s">
        <v>170</v>
      </c>
      <c r="G289" s="24" t="str">
        <f>A289&amp;"|"&amp;B289</f>
        <v>Fiat|Albea Sedan</v>
      </c>
    </row>
    <row r="290" ht="15" customHeight="1" spans="1:7" x14ac:dyDescent="0.25">
      <c r="A290" s="23" t="s">
        <v>468</v>
      </c>
      <c r="B290" s="23" t="s">
        <v>473</v>
      </c>
      <c r="C290" s="23" t="s">
        <v>271</v>
      </c>
      <c r="D290" s="23" t="s">
        <v>168</v>
      </c>
      <c r="E290" s="23" t="s">
        <v>272</v>
      </c>
      <c r="F290" s="23" t="s">
        <v>170</v>
      </c>
      <c r="G290" s="24" t="str">
        <f>A290&amp;"|"&amp;B290</f>
        <v>Fiat|Argo</v>
      </c>
    </row>
    <row r="291" ht="15" customHeight="1" spans="1:7" x14ac:dyDescent="0.25">
      <c r="A291" s="23" t="s">
        <v>468</v>
      </c>
      <c r="B291" s="23" t="s">
        <v>474</v>
      </c>
      <c r="C291" s="23" t="s">
        <v>271</v>
      </c>
      <c r="D291" s="23" t="s">
        <v>168</v>
      </c>
      <c r="E291" s="23" t="s">
        <v>272</v>
      </c>
      <c r="F291" s="23" t="s">
        <v>170</v>
      </c>
      <c r="G291" s="24" t="str">
        <f>A291&amp;"|"&amp;B291</f>
        <v>Fiat|Bravo</v>
      </c>
    </row>
    <row r="292" ht="15" customHeight="1" spans="1:7" x14ac:dyDescent="0.25">
      <c r="A292" s="23" t="s">
        <v>468</v>
      </c>
      <c r="B292" s="23" t="s">
        <v>475</v>
      </c>
      <c r="C292" s="23" t="s">
        <v>162</v>
      </c>
      <c r="D292" s="23" t="s">
        <v>163</v>
      </c>
      <c r="E292" s="23" t="s">
        <v>275</v>
      </c>
      <c r="F292" s="23" t="s">
        <v>165</v>
      </c>
      <c r="G292" s="24" t="str">
        <f>A292&amp;"|"&amp;B292</f>
        <v>Fiat|Ducato</v>
      </c>
    </row>
    <row r="293" ht="15" customHeight="1" spans="1:7" x14ac:dyDescent="0.25">
      <c r="A293" s="23" t="s">
        <v>468</v>
      </c>
      <c r="B293" s="23" t="s">
        <v>476</v>
      </c>
      <c r="C293" s="23" t="s">
        <v>162</v>
      </c>
      <c r="D293" s="23" t="s">
        <v>163</v>
      </c>
      <c r="E293" s="23" t="s">
        <v>164</v>
      </c>
      <c r="F293" s="23" t="s">
        <v>165</v>
      </c>
      <c r="G293" s="24" t="str">
        <f>A293&amp;"|"&amp;B293</f>
        <v>Fiat|FASTBACK</v>
      </c>
    </row>
    <row r="294" ht="15" customHeight="1" spans="1:7" x14ac:dyDescent="0.25">
      <c r="A294" s="23" t="s">
        <v>468</v>
      </c>
      <c r="B294" s="23" t="s">
        <v>477</v>
      </c>
      <c r="C294" s="23" t="s">
        <v>271</v>
      </c>
      <c r="D294" s="23" t="s">
        <v>168</v>
      </c>
      <c r="E294" s="23" t="s">
        <v>272</v>
      </c>
      <c r="F294" s="23" t="s">
        <v>170</v>
      </c>
      <c r="G294" s="24" t="str">
        <f>A294&amp;"|"&amp;B294</f>
        <v>Fiat|Fiat 500</v>
      </c>
    </row>
    <row r="295" ht="15" customHeight="1" spans="1:7" x14ac:dyDescent="0.25">
      <c r="A295" s="23" t="s">
        <v>468</v>
      </c>
      <c r="B295" s="23" t="s">
        <v>478</v>
      </c>
      <c r="C295" s="23" t="s">
        <v>271</v>
      </c>
      <c r="D295" s="23" t="s">
        <v>168</v>
      </c>
      <c r="E295" s="23" t="s">
        <v>272</v>
      </c>
      <c r="F295" s="23" t="s">
        <v>170</v>
      </c>
      <c r="G295" s="24" t="str">
        <f>A295&amp;"|"&amp;B295</f>
        <v>Fiat|Fiat 500-</v>
      </c>
    </row>
    <row r="296" ht="15" customHeight="1" spans="1:7" x14ac:dyDescent="0.25">
      <c r="A296" s="23" t="s">
        <v>468</v>
      </c>
      <c r="B296" s="23" t="s">
        <v>479</v>
      </c>
      <c r="C296" s="23" t="s">
        <v>162</v>
      </c>
      <c r="D296" s="23" t="s">
        <v>168</v>
      </c>
      <c r="E296" s="23" t="s">
        <v>385</v>
      </c>
      <c r="F296" s="23" t="s">
        <v>170</v>
      </c>
      <c r="G296" s="24" t="str">
        <f>A296&amp;"|"&amp;B296</f>
        <v>Fiat|Grande Punto 3 Ptas</v>
      </c>
    </row>
    <row r="297" ht="15" customHeight="1" spans="1:7" x14ac:dyDescent="0.25">
      <c r="A297" s="23" t="s">
        <v>468</v>
      </c>
      <c r="B297" s="23" t="s">
        <v>480</v>
      </c>
      <c r="C297" s="23" t="s">
        <v>162</v>
      </c>
      <c r="D297" s="23" t="s">
        <v>168</v>
      </c>
      <c r="E297" s="23" t="s">
        <v>385</v>
      </c>
      <c r="F297" s="23" t="s">
        <v>170</v>
      </c>
      <c r="G297" s="24" t="str">
        <f>A297&amp;"|"&amp;B297</f>
        <v>Fiat|Grande Punto 5 Ptas</v>
      </c>
    </row>
    <row r="298" ht="15" customHeight="1" spans="1:7" x14ac:dyDescent="0.25">
      <c r="A298" s="23" t="s">
        <v>468</v>
      </c>
      <c r="B298" s="23" t="s">
        <v>481</v>
      </c>
      <c r="C298" s="23" t="s">
        <v>162</v>
      </c>
      <c r="D298" s="23" t="s">
        <v>168</v>
      </c>
      <c r="E298" s="23" t="s">
        <v>385</v>
      </c>
      <c r="F298" s="23" t="s">
        <v>170</v>
      </c>
      <c r="G298" s="24" t="str">
        <f>A298&amp;"|"&amp;B298</f>
        <v>Fiat|Grande Punto Turbo</v>
      </c>
    </row>
    <row r="299" ht="15" customHeight="1" spans="1:7" x14ac:dyDescent="0.25">
      <c r="A299" s="23" t="s">
        <v>468</v>
      </c>
      <c r="B299" s="23" t="s">
        <v>482</v>
      </c>
      <c r="C299" s="23" t="s">
        <v>162</v>
      </c>
      <c r="D299" s="23" t="s">
        <v>163</v>
      </c>
      <c r="E299" s="23" t="s">
        <v>164</v>
      </c>
      <c r="F299" s="23" t="s">
        <v>165</v>
      </c>
      <c r="G299" s="24" t="str">
        <f>A299&amp;"|"&amp;B299</f>
        <v>Fiat|Idea</v>
      </c>
    </row>
    <row r="300" ht="15" customHeight="1" spans="1:7" x14ac:dyDescent="0.25">
      <c r="A300" s="23" t="s">
        <v>468</v>
      </c>
      <c r="B300" s="23" t="s">
        <v>483</v>
      </c>
      <c r="C300" s="23" t="s">
        <v>162</v>
      </c>
      <c r="D300" s="23" t="s">
        <v>168</v>
      </c>
      <c r="E300" s="23" t="s">
        <v>385</v>
      </c>
      <c r="F300" s="23" t="s">
        <v>170</v>
      </c>
      <c r="G300" s="24" t="str">
        <f>A300&amp;"|"&amp;B300</f>
        <v>Fiat|Linea</v>
      </c>
    </row>
    <row r="301" ht="15" customHeight="1" spans="1:7" x14ac:dyDescent="0.25">
      <c r="A301" s="23" t="s">
        <v>468</v>
      </c>
      <c r="B301" s="23" t="s">
        <v>484</v>
      </c>
      <c r="C301" s="23" t="s">
        <v>271</v>
      </c>
      <c r="D301" s="23" t="s">
        <v>168</v>
      </c>
      <c r="E301" s="23" t="s">
        <v>272</v>
      </c>
      <c r="F301" s="23" t="s">
        <v>170</v>
      </c>
      <c r="G301" s="24" t="str">
        <f>A301&amp;"|"&amp;B301</f>
        <v>Fiat|Mobi</v>
      </c>
    </row>
    <row r="302" ht="15" customHeight="1" spans="1:7" x14ac:dyDescent="0.25">
      <c r="A302" s="23" t="s">
        <v>468</v>
      </c>
      <c r="B302" s="23" t="s">
        <v>485</v>
      </c>
      <c r="C302" s="23" t="s">
        <v>162</v>
      </c>
      <c r="D302" s="23" t="s">
        <v>168</v>
      </c>
      <c r="E302" s="23" t="s">
        <v>385</v>
      </c>
      <c r="F302" s="23" t="s">
        <v>170</v>
      </c>
      <c r="G302" s="24" t="str">
        <f>A302&amp;"|"&amp;B302</f>
        <v>Fiat|Nuevo Palio</v>
      </c>
    </row>
    <row r="303" ht="15" customHeight="1" spans="1:7" x14ac:dyDescent="0.25">
      <c r="A303" s="23" t="s">
        <v>468</v>
      </c>
      <c r="B303" s="23" t="s">
        <v>486</v>
      </c>
      <c r="C303" s="23" t="s">
        <v>271</v>
      </c>
      <c r="D303" s="23" t="s">
        <v>168</v>
      </c>
      <c r="E303" s="23" t="s">
        <v>272</v>
      </c>
      <c r="F303" s="23" t="s">
        <v>170</v>
      </c>
      <c r="G303" s="24" t="str">
        <f>A303&amp;"|"&amp;B303</f>
        <v>Fiat|Palio 1.8r</v>
      </c>
    </row>
    <row r="304" ht="15" customHeight="1" spans="1:7" x14ac:dyDescent="0.25">
      <c r="A304" s="23" t="s">
        <v>468</v>
      </c>
      <c r="B304" s="23" t="s">
        <v>487</v>
      </c>
      <c r="C304" s="23" t="s">
        <v>271</v>
      </c>
      <c r="D304" s="23" t="s">
        <v>168</v>
      </c>
      <c r="E304" s="23" t="s">
        <v>272</v>
      </c>
      <c r="F304" s="23" t="s">
        <v>170</v>
      </c>
      <c r="G304" s="24" t="str">
        <f>A304&amp;"|"&amp;B304</f>
        <v>Fiat|Palio Adventure</v>
      </c>
    </row>
    <row r="305" ht="15" customHeight="1" spans="1:7" x14ac:dyDescent="0.25">
      <c r="A305" s="23" t="s">
        <v>468</v>
      </c>
      <c r="B305" s="23" t="s">
        <v>488</v>
      </c>
      <c r="C305" s="23" t="s">
        <v>271</v>
      </c>
      <c r="D305" s="23" t="s">
        <v>168</v>
      </c>
      <c r="E305" s="23" t="s">
        <v>272</v>
      </c>
      <c r="F305" s="23" t="s">
        <v>170</v>
      </c>
      <c r="G305" s="24" t="str">
        <f>A305&amp;"|"&amp;B305</f>
        <v>Fiat|Palio Hatchback</v>
      </c>
    </row>
    <row r="306" ht="15" customHeight="1" spans="1:7" x14ac:dyDescent="0.25">
      <c r="A306" s="23" t="s">
        <v>468</v>
      </c>
      <c r="B306" s="23" t="s">
        <v>489</v>
      </c>
      <c r="C306" s="23" t="s">
        <v>271</v>
      </c>
      <c r="D306" s="23" t="s">
        <v>168</v>
      </c>
      <c r="E306" s="23" t="s">
        <v>272</v>
      </c>
      <c r="F306" s="23" t="s">
        <v>170</v>
      </c>
      <c r="G306" s="24" t="str">
        <f>A306&amp;"|"&amp;B306</f>
        <v>Fiat|Palio Sedan</v>
      </c>
    </row>
    <row r="307" ht="15" customHeight="1" spans="1:7" x14ac:dyDescent="0.25">
      <c r="A307" s="23" t="s">
        <v>468</v>
      </c>
      <c r="B307" s="23" t="s">
        <v>490</v>
      </c>
      <c r="C307" s="23" t="s">
        <v>271</v>
      </c>
      <c r="D307" s="23" t="s">
        <v>168</v>
      </c>
      <c r="E307" s="23" t="s">
        <v>272</v>
      </c>
      <c r="F307" s="23" t="s">
        <v>170</v>
      </c>
      <c r="G307" s="24" t="str">
        <f>A307&amp;"|"&amp;B307</f>
        <v>Fiat|Panda 4x2d</v>
      </c>
    </row>
    <row r="308" ht="15" customHeight="1" spans="1:7" x14ac:dyDescent="0.25">
      <c r="A308" s="23" t="s">
        <v>468</v>
      </c>
      <c r="B308" s="23" t="s">
        <v>491</v>
      </c>
      <c r="C308" s="23" t="s">
        <v>271</v>
      </c>
      <c r="D308" s="23" t="s">
        <v>168</v>
      </c>
      <c r="E308" s="23" t="s">
        <v>272</v>
      </c>
      <c r="F308" s="23" t="s">
        <v>170</v>
      </c>
      <c r="G308" s="24" t="str">
        <f>A308&amp;"|"&amp;B308</f>
        <v>Fiat|Panda 4x2m</v>
      </c>
    </row>
    <row r="309" ht="15" customHeight="1" spans="1:7" x14ac:dyDescent="0.25">
      <c r="A309" s="23" t="s">
        <v>468</v>
      </c>
      <c r="B309" s="23" t="s">
        <v>492</v>
      </c>
      <c r="C309" s="23" t="s">
        <v>271</v>
      </c>
      <c r="D309" s="23" t="s">
        <v>168</v>
      </c>
      <c r="E309" s="23" t="s">
        <v>272</v>
      </c>
      <c r="F309" s="23" t="s">
        <v>170</v>
      </c>
      <c r="G309" s="24" t="str">
        <f>A309&amp;"|"&amp;B309</f>
        <v>Fiat|Panda 4x4</v>
      </c>
    </row>
    <row r="310" ht="15" customHeight="1" spans="1:7" x14ac:dyDescent="0.25">
      <c r="A310" s="23" t="s">
        <v>468</v>
      </c>
      <c r="B310" s="23" t="s">
        <v>493</v>
      </c>
      <c r="C310" s="23" t="s">
        <v>162</v>
      </c>
      <c r="D310" s="23" t="s">
        <v>163</v>
      </c>
      <c r="E310" s="23" t="s">
        <v>164</v>
      </c>
      <c r="F310" s="23" t="s">
        <v>165</v>
      </c>
      <c r="G310" s="24" t="str">
        <f>A310&amp;"|"&amp;B310</f>
        <v>Fiat|Pulse</v>
      </c>
    </row>
    <row r="311" ht="15" customHeight="1" spans="1:7" x14ac:dyDescent="0.25">
      <c r="A311" s="23" t="s">
        <v>468</v>
      </c>
      <c r="B311" s="23" t="s">
        <v>494</v>
      </c>
      <c r="C311" s="23" t="s">
        <v>167</v>
      </c>
      <c r="D311" s="23" t="s">
        <v>168</v>
      </c>
      <c r="E311" s="23" t="s">
        <v>175</v>
      </c>
      <c r="F311" s="23" t="s">
        <v>170</v>
      </c>
      <c r="G311" s="24" t="str">
        <f>A311&amp;"|"&amp;B311</f>
        <v>Fiat|Stilo</v>
      </c>
    </row>
    <row r="312" ht="15" customHeight="1" spans="1:7" x14ac:dyDescent="0.25">
      <c r="A312" s="23" t="s">
        <v>468</v>
      </c>
      <c r="B312" s="23" t="s">
        <v>495</v>
      </c>
      <c r="C312" s="23" t="s">
        <v>162</v>
      </c>
      <c r="D312" s="23" t="s">
        <v>163</v>
      </c>
      <c r="E312" s="23" t="s">
        <v>275</v>
      </c>
      <c r="F312" s="23" t="s">
        <v>165</v>
      </c>
      <c r="G312" s="24" t="str">
        <f>A312&amp;"|"&amp;B312</f>
        <v>Fiat|Strada Adventure</v>
      </c>
    </row>
    <row r="313" ht="15" customHeight="1" spans="1:7" x14ac:dyDescent="0.25">
      <c r="A313" s="23" t="s">
        <v>468</v>
      </c>
      <c r="B313" s="23" t="s">
        <v>496</v>
      </c>
      <c r="C313" s="23" t="s">
        <v>271</v>
      </c>
      <c r="D313" s="23" t="s">
        <v>168</v>
      </c>
      <c r="E313" s="23" t="s">
        <v>272</v>
      </c>
      <c r="F313" s="23" t="s">
        <v>170</v>
      </c>
      <c r="G313" s="24" t="str">
        <f>A313&amp;"|"&amp;B313</f>
        <v>Fiat|Uno</v>
      </c>
    </row>
    <row r="314" ht="15" customHeight="1" spans="1:7" x14ac:dyDescent="0.25">
      <c r="A314" s="23" t="s">
        <v>497</v>
      </c>
      <c r="B314" s="23" t="s">
        <v>498</v>
      </c>
      <c r="C314" s="23" t="s">
        <v>162</v>
      </c>
      <c r="D314" s="23" t="s">
        <v>163</v>
      </c>
      <c r="E314" s="23" t="s">
        <v>164</v>
      </c>
      <c r="F314" s="23" t="s">
        <v>165</v>
      </c>
      <c r="G314" s="24" t="str">
        <f>A314&amp;"|"&amp;B314</f>
        <v>Ford Motor|Bronco</v>
      </c>
    </row>
    <row r="315" ht="15" customHeight="1" spans="1:7" x14ac:dyDescent="0.25">
      <c r="A315" s="23" t="s">
        <v>497</v>
      </c>
      <c r="B315" s="23" t="s">
        <v>499</v>
      </c>
      <c r="C315" s="23" t="s">
        <v>162</v>
      </c>
      <c r="D315" s="23" t="s">
        <v>163</v>
      </c>
      <c r="E315" s="23" t="s">
        <v>164</v>
      </c>
      <c r="F315" s="23" t="s">
        <v>165</v>
      </c>
      <c r="G315" s="24" t="str">
        <f>A315&amp;"|"&amp;B315</f>
        <v>Ford Motor|Bronco Sport</v>
      </c>
    </row>
    <row r="316" ht="15" customHeight="1" spans="1:7" x14ac:dyDescent="0.25">
      <c r="A316" s="23" t="s">
        <v>497</v>
      </c>
      <c r="B316" s="23" t="s">
        <v>500</v>
      </c>
      <c r="C316" s="23" t="s">
        <v>271</v>
      </c>
      <c r="D316" s="23" t="s">
        <v>163</v>
      </c>
      <c r="E316" s="23" t="s">
        <v>277</v>
      </c>
      <c r="F316" s="23" t="s">
        <v>165</v>
      </c>
      <c r="G316" s="24" t="str">
        <f>A316&amp;"|"&amp;B316</f>
        <v>Ford Motor|Club Wagon</v>
      </c>
    </row>
    <row r="317" ht="15" customHeight="1" spans="1:7" x14ac:dyDescent="0.25">
      <c r="A317" s="23" t="s">
        <v>497</v>
      </c>
      <c r="B317" s="23" t="s">
        <v>501</v>
      </c>
      <c r="C317" s="23" t="s">
        <v>162</v>
      </c>
      <c r="D317" s="23" t="s">
        <v>163</v>
      </c>
      <c r="E317" s="23" t="s">
        <v>275</v>
      </c>
      <c r="F317" s="23" t="s">
        <v>165</v>
      </c>
      <c r="G317" s="24" t="str">
        <f>A317&amp;"|"&amp;B317</f>
        <v>Ford Motor|Courier</v>
      </c>
    </row>
    <row r="318" ht="15" customHeight="1" spans="1:7" x14ac:dyDescent="0.25">
      <c r="A318" s="23" t="s">
        <v>497</v>
      </c>
      <c r="B318" s="23" t="s">
        <v>502</v>
      </c>
      <c r="C318" s="23" t="s">
        <v>167</v>
      </c>
      <c r="D318" s="23" t="s">
        <v>168</v>
      </c>
      <c r="E318" s="23" t="s">
        <v>169</v>
      </c>
      <c r="F318" s="23" t="s">
        <v>170</v>
      </c>
      <c r="G318" s="24" t="str">
        <f>A318&amp;"|"&amp;B318</f>
        <v>Ford Motor|Crown Victoria / Police Interceptor</v>
      </c>
    </row>
    <row r="319" ht="15" customHeight="1" spans="1:7" x14ac:dyDescent="0.25">
      <c r="A319" s="23" t="s">
        <v>497</v>
      </c>
      <c r="B319" s="23" t="s">
        <v>503</v>
      </c>
      <c r="C319" s="23" t="s">
        <v>162</v>
      </c>
      <c r="D319" s="23" t="s">
        <v>163</v>
      </c>
      <c r="E319" s="23" t="s">
        <v>275</v>
      </c>
      <c r="F319" s="23" t="s">
        <v>165</v>
      </c>
      <c r="G319" s="24" t="str">
        <f>A319&amp;"|"&amp;B319</f>
        <v>Ford Motor|E-Transit</v>
      </c>
    </row>
    <row r="320" ht="15" customHeight="1" spans="1:7" x14ac:dyDescent="0.25">
      <c r="A320" s="23" t="s">
        <v>497</v>
      </c>
      <c r="B320" s="23" t="s">
        <v>504</v>
      </c>
      <c r="C320" s="23" t="s">
        <v>271</v>
      </c>
      <c r="D320" s="23" t="s">
        <v>163</v>
      </c>
      <c r="E320" s="23" t="s">
        <v>277</v>
      </c>
      <c r="F320" s="23" t="s">
        <v>165</v>
      </c>
      <c r="G320" s="24" t="str">
        <f>A320&amp;"|"&amp;B320</f>
        <v>Ford Motor|Econoline</v>
      </c>
    </row>
    <row r="321" ht="15" customHeight="1" spans="1:7" x14ac:dyDescent="0.25">
      <c r="A321" s="23" t="s">
        <v>497</v>
      </c>
      <c r="B321" s="23" t="s">
        <v>505</v>
      </c>
      <c r="C321" s="23" t="s">
        <v>162</v>
      </c>
      <c r="D321" s="23" t="s">
        <v>163</v>
      </c>
      <c r="E321" s="23" t="s">
        <v>164</v>
      </c>
      <c r="F321" s="23" t="s">
        <v>165</v>
      </c>
      <c r="G321" s="24" t="str">
        <f>A321&amp;"|"&amp;B321</f>
        <v>Ford Motor|Ecosport</v>
      </c>
    </row>
    <row r="322" ht="15" customHeight="1" spans="1:7" x14ac:dyDescent="0.25">
      <c r="A322" s="23" t="s">
        <v>497</v>
      </c>
      <c r="B322" s="23" t="s">
        <v>506</v>
      </c>
      <c r="C322" s="23" t="s">
        <v>162</v>
      </c>
      <c r="D322" s="23" t="s">
        <v>163</v>
      </c>
      <c r="E322" s="23" t="s">
        <v>164</v>
      </c>
      <c r="F322" s="23" t="s">
        <v>165</v>
      </c>
      <c r="G322" s="24" t="str">
        <f>A322&amp;"|"&amp;B322</f>
        <v>Ford Motor|Edge</v>
      </c>
    </row>
    <row r="323" ht="15" customHeight="1" spans="1:7" x14ac:dyDescent="0.25">
      <c r="A323" s="23" t="s">
        <v>497</v>
      </c>
      <c r="B323" s="23" t="s">
        <v>507</v>
      </c>
      <c r="C323" s="23" t="s">
        <v>162</v>
      </c>
      <c r="D323" s="23" t="s">
        <v>163</v>
      </c>
      <c r="E323" s="23" t="s">
        <v>164</v>
      </c>
      <c r="F323" s="23" t="s">
        <v>165</v>
      </c>
      <c r="G323" s="24" t="str">
        <f>A323&amp;"|"&amp;B323</f>
        <v>Ford Motor|Escape</v>
      </c>
    </row>
    <row r="324" ht="15" customHeight="1" spans="1:7" x14ac:dyDescent="0.25">
      <c r="A324" s="23" t="s">
        <v>497</v>
      </c>
      <c r="B324" s="23" t="s">
        <v>508</v>
      </c>
      <c r="C324" s="23" t="s">
        <v>162</v>
      </c>
      <c r="D324" s="23" t="s">
        <v>163</v>
      </c>
      <c r="E324" s="23" t="s">
        <v>164</v>
      </c>
      <c r="F324" s="23" t="s">
        <v>165</v>
      </c>
      <c r="G324" s="24" t="str">
        <f>A324&amp;"|"&amp;B324</f>
        <v>Ford Motor|Escape HEV</v>
      </c>
    </row>
    <row r="325" ht="15" customHeight="1" spans="1:7" x14ac:dyDescent="0.25">
      <c r="A325" s="23" t="s">
        <v>497</v>
      </c>
      <c r="B325" s="23" t="s">
        <v>509</v>
      </c>
      <c r="C325" s="23" t="s">
        <v>162</v>
      </c>
      <c r="D325" s="23" t="s">
        <v>163</v>
      </c>
      <c r="E325" s="23" t="s">
        <v>164</v>
      </c>
      <c r="F325" s="23" t="s">
        <v>165</v>
      </c>
      <c r="G325" s="24" t="str">
        <f>A325&amp;"|"&amp;B325</f>
        <v>Ford Motor|Excursion</v>
      </c>
    </row>
    <row r="326" ht="15" customHeight="1" spans="1:7" x14ac:dyDescent="0.25">
      <c r="A326" s="23" t="s">
        <v>497</v>
      </c>
      <c r="B326" s="23" t="s">
        <v>510</v>
      </c>
      <c r="C326" s="23" t="s">
        <v>271</v>
      </c>
      <c r="D326" s="23" t="s">
        <v>163</v>
      </c>
      <c r="E326" s="23" t="s">
        <v>277</v>
      </c>
      <c r="F326" s="23" t="s">
        <v>165</v>
      </c>
      <c r="G326" s="24" t="str">
        <f>A326&amp;"|"&amp;B326</f>
        <v>Ford Motor|Expedition</v>
      </c>
    </row>
    <row r="327" ht="15" customHeight="1" spans="1:7" x14ac:dyDescent="0.25">
      <c r="A327" s="23" t="s">
        <v>497</v>
      </c>
      <c r="B327" s="23" t="s">
        <v>511</v>
      </c>
      <c r="C327" s="23" t="s">
        <v>162</v>
      </c>
      <c r="D327" s="23" t="s">
        <v>163</v>
      </c>
      <c r="E327" s="23" t="s">
        <v>164</v>
      </c>
      <c r="F327" s="23" t="s">
        <v>165</v>
      </c>
      <c r="G327" s="24" t="str">
        <f>A327&amp;"|"&amp;B327</f>
        <v>Ford Motor|Explorer</v>
      </c>
    </row>
    <row r="328" ht="15" customHeight="1" spans="1:7" x14ac:dyDescent="0.25">
      <c r="A328" s="23" t="s">
        <v>497</v>
      </c>
      <c r="B328" s="23" t="s">
        <v>512</v>
      </c>
      <c r="C328" s="23" t="s">
        <v>162</v>
      </c>
      <c r="D328" s="23" t="s">
        <v>163</v>
      </c>
      <c r="E328" s="23" t="s">
        <v>164</v>
      </c>
      <c r="F328" s="23" t="s">
        <v>165</v>
      </c>
      <c r="G328" s="24" t="str">
        <f>A328&amp;"|"&amp;B328</f>
        <v>Ford Motor|Explorer Sport Trac</v>
      </c>
    </row>
    <row r="329" ht="15" customHeight="1" spans="1:7" x14ac:dyDescent="0.25">
      <c r="A329" s="23" t="s">
        <v>497</v>
      </c>
      <c r="B329" s="23" t="s">
        <v>513</v>
      </c>
      <c r="C329" s="23" t="s">
        <v>162</v>
      </c>
      <c r="D329" s="23" t="s">
        <v>163</v>
      </c>
      <c r="E329" s="23" t="s">
        <v>275</v>
      </c>
      <c r="F329" s="23" t="s">
        <v>165</v>
      </c>
      <c r="G329" s="24" t="str">
        <f>A329&amp;"|"&amp;B329</f>
        <v>Ford Motor|F 150</v>
      </c>
    </row>
    <row r="330" ht="15" customHeight="1" spans="1:7" x14ac:dyDescent="0.25">
      <c r="A330" s="23" t="s">
        <v>497</v>
      </c>
      <c r="B330" s="23" t="s">
        <v>514</v>
      </c>
      <c r="C330" s="23" t="s">
        <v>162</v>
      </c>
      <c r="D330" s="23" t="s">
        <v>163</v>
      </c>
      <c r="E330" s="23" t="s">
        <v>275</v>
      </c>
      <c r="F330" s="23" t="s">
        <v>165</v>
      </c>
      <c r="G330" s="24" t="str">
        <f>A330&amp;"|"&amp;B330</f>
        <v>Ford Motor|F 250</v>
      </c>
    </row>
    <row r="331" ht="15" customHeight="1" spans="1:7" x14ac:dyDescent="0.25">
      <c r="A331" s="23" t="s">
        <v>497</v>
      </c>
      <c r="B331" s="23" t="s">
        <v>515</v>
      </c>
      <c r="C331" s="23" t="s">
        <v>162</v>
      </c>
      <c r="D331" s="23" t="s">
        <v>163</v>
      </c>
      <c r="E331" s="23" t="s">
        <v>275</v>
      </c>
      <c r="F331" s="23" t="s">
        <v>165</v>
      </c>
      <c r="G331" s="24" t="str">
        <f>A331&amp;"|"&amp;B331</f>
        <v>Ford Motor|F 250 Super Duty</v>
      </c>
    </row>
    <row r="332" ht="15" customHeight="1" spans="1:7" x14ac:dyDescent="0.25">
      <c r="A332" s="23" t="s">
        <v>497</v>
      </c>
      <c r="B332" s="23" t="s">
        <v>516</v>
      </c>
      <c r="C332" s="23" t="s">
        <v>162</v>
      </c>
      <c r="D332" s="23" t="s">
        <v>163</v>
      </c>
      <c r="E332" s="23" t="s">
        <v>275</v>
      </c>
      <c r="F332" s="23" t="s">
        <v>165</v>
      </c>
      <c r="G332" s="24" t="str">
        <f>A332&amp;"|"&amp;B332</f>
        <v>Ford Motor|F 350</v>
      </c>
    </row>
    <row r="333" ht="15" customHeight="1" spans="1:7" x14ac:dyDescent="0.25">
      <c r="A333" s="23" t="s">
        <v>497</v>
      </c>
      <c r="B333" s="23" t="s">
        <v>517</v>
      </c>
      <c r="C333" s="23" t="s">
        <v>162</v>
      </c>
      <c r="D333" s="23" t="s">
        <v>163</v>
      </c>
      <c r="E333" s="23" t="s">
        <v>275</v>
      </c>
      <c r="F333" s="23" t="s">
        <v>165</v>
      </c>
      <c r="G333" s="24" t="str">
        <f>A333&amp;"|"&amp;B333</f>
        <v>Ford Motor|F 450</v>
      </c>
    </row>
    <row r="334" ht="15" customHeight="1" spans="1:7" x14ac:dyDescent="0.25">
      <c r="A334" s="23" t="s">
        <v>497</v>
      </c>
      <c r="B334" s="23" t="s">
        <v>518</v>
      </c>
      <c r="C334" s="23" t="s">
        <v>162</v>
      </c>
      <c r="D334" s="23" t="s">
        <v>163</v>
      </c>
      <c r="E334" s="23" t="s">
        <v>275</v>
      </c>
      <c r="F334" s="23" t="s">
        <v>165</v>
      </c>
      <c r="G334" s="24" t="str">
        <f>A334&amp;"|"&amp;B334</f>
        <v>Ford Motor|F 450 Diesel</v>
      </c>
    </row>
    <row r="335" ht="15" customHeight="1" spans="1:7" x14ac:dyDescent="0.25">
      <c r="A335" s="23" t="s">
        <v>497</v>
      </c>
      <c r="B335" s="23" t="s">
        <v>519</v>
      </c>
      <c r="C335" s="23" t="s">
        <v>162</v>
      </c>
      <c r="D335" s="23" t="s">
        <v>163</v>
      </c>
      <c r="E335" s="23" t="s">
        <v>275</v>
      </c>
      <c r="F335" s="23" t="s">
        <v>165</v>
      </c>
      <c r="G335" s="24" t="str">
        <f>A335&amp;"|"&amp;B335</f>
        <v>Ford Motor|F 550</v>
      </c>
    </row>
    <row r="336" ht="15" customHeight="1" spans="1:7" x14ac:dyDescent="0.25">
      <c r="A336" s="23" t="s">
        <v>497</v>
      </c>
      <c r="B336" s="23" t="s">
        <v>520</v>
      </c>
      <c r="C336" s="23" t="s">
        <v>162</v>
      </c>
      <c r="D336" s="23" t="s">
        <v>163</v>
      </c>
      <c r="E336" s="23" t="s">
        <v>275</v>
      </c>
      <c r="F336" s="23" t="s">
        <v>165</v>
      </c>
      <c r="G336" s="24" t="str">
        <f>A336&amp;"|"&amp;B336</f>
        <v>Ford Motor|F 550 Diesel</v>
      </c>
    </row>
    <row r="337" ht="15" customHeight="1" spans="1:7" x14ac:dyDescent="0.25">
      <c r="A337" s="23" t="s">
        <v>497</v>
      </c>
      <c r="B337" s="23" t="s">
        <v>521</v>
      </c>
      <c r="C337" s="23" t="s">
        <v>162</v>
      </c>
      <c r="D337" s="23" t="s">
        <v>163</v>
      </c>
      <c r="E337" s="23" t="s">
        <v>275</v>
      </c>
      <c r="F337" s="23" t="s">
        <v>165</v>
      </c>
      <c r="G337" s="24" t="str">
        <f>A337&amp;"|"&amp;B337</f>
        <v>Ford Motor|F-350</v>
      </c>
    </row>
    <row r="338" ht="15" customHeight="1" spans="1:7" x14ac:dyDescent="0.25">
      <c r="A338" s="23" t="s">
        <v>497</v>
      </c>
      <c r="B338" s="23" t="s">
        <v>522</v>
      </c>
      <c r="C338" s="23" t="s">
        <v>162</v>
      </c>
      <c r="D338" s="23" t="s">
        <v>163</v>
      </c>
      <c r="E338" s="23" t="s">
        <v>275</v>
      </c>
      <c r="F338" s="23" t="s">
        <v>165</v>
      </c>
      <c r="G338" s="24" t="str">
        <f>A338&amp;"|"&amp;B338</f>
        <v>Ford Motor|F-450</v>
      </c>
    </row>
    <row r="339" ht="15" customHeight="1" spans="1:7" x14ac:dyDescent="0.25">
      <c r="A339" s="23" t="s">
        <v>497</v>
      </c>
      <c r="B339" s="23" t="s">
        <v>523</v>
      </c>
      <c r="C339" s="23" t="s">
        <v>162</v>
      </c>
      <c r="D339" s="23" t="s">
        <v>163</v>
      </c>
      <c r="E339" s="23" t="s">
        <v>275</v>
      </c>
      <c r="F339" s="23" t="s">
        <v>165</v>
      </c>
      <c r="G339" s="24" t="str">
        <f>A339&amp;"|"&amp;B339</f>
        <v>Ford Motor|F-550</v>
      </c>
    </row>
    <row r="340" ht="15" customHeight="1" spans="1:7" x14ac:dyDescent="0.25">
      <c r="A340" s="23" t="s">
        <v>497</v>
      </c>
      <c r="B340" s="23" t="s">
        <v>524</v>
      </c>
      <c r="C340" s="23" t="s">
        <v>162</v>
      </c>
      <c r="D340" s="23" t="s">
        <v>163</v>
      </c>
      <c r="E340" s="23" t="s">
        <v>275</v>
      </c>
      <c r="F340" s="23" t="s">
        <v>165</v>
      </c>
      <c r="G340" s="24" t="str">
        <f>A340&amp;"|"&amp;B340</f>
        <v>Ford Motor|F450 Diesel</v>
      </c>
    </row>
    <row r="341" ht="15" customHeight="1" spans="1:7" x14ac:dyDescent="0.25">
      <c r="A341" s="23" t="s">
        <v>497</v>
      </c>
      <c r="B341" s="23" t="s">
        <v>525</v>
      </c>
      <c r="C341" s="23" t="s">
        <v>162</v>
      </c>
      <c r="D341" s="23" t="s">
        <v>163</v>
      </c>
      <c r="E341" s="23" t="s">
        <v>275</v>
      </c>
      <c r="F341" s="23" t="s">
        <v>165</v>
      </c>
      <c r="G341" s="24" t="str">
        <f>A341&amp;"|"&amp;B341</f>
        <v>Ford Motor|F550 Diesel</v>
      </c>
    </row>
    <row r="342" ht="15" customHeight="1" spans="1:7" x14ac:dyDescent="0.25">
      <c r="A342" s="23" t="s">
        <v>497</v>
      </c>
      <c r="B342" s="23" t="s">
        <v>526</v>
      </c>
      <c r="C342" s="23" t="s">
        <v>271</v>
      </c>
      <c r="D342" s="23" t="s">
        <v>168</v>
      </c>
      <c r="E342" s="23" t="s">
        <v>272</v>
      </c>
      <c r="F342" s="23" t="s">
        <v>170</v>
      </c>
      <c r="G342" s="24" t="str">
        <f>A342&amp;"|"&amp;B342</f>
        <v>Ford Motor|Fiesta</v>
      </c>
    </row>
    <row r="343" ht="15" customHeight="1" spans="1:7" x14ac:dyDescent="0.25">
      <c r="A343" s="23" t="s">
        <v>497</v>
      </c>
      <c r="B343" s="23" t="s">
        <v>527</v>
      </c>
      <c r="C343" s="23" t="s">
        <v>271</v>
      </c>
      <c r="D343" s="23" t="s">
        <v>168</v>
      </c>
      <c r="E343" s="23" t="s">
        <v>272</v>
      </c>
      <c r="F343" s="23" t="s">
        <v>170</v>
      </c>
      <c r="G343" s="24" t="str">
        <f>A343&amp;"|"&amp;B343</f>
        <v>Ford Motor|Fiesta Ikon</v>
      </c>
    </row>
    <row r="344" ht="15" customHeight="1" spans="1:7" x14ac:dyDescent="0.25">
      <c r="A344" s="23" t="s">
        <v>497</v>
      </c>
      <c r="B344" s="23" t="s">
        <v>528</v>
      </c>
      <c r="C344" s="23" t="s">
        <v>271</v>
      </c>
      <c r="D344" s="23" t="s">
        <v>168</v>
      </c>
      <c r="E344" s="23" t="s">
        <v>272</v>
      </c>
      <c r="F344" s="23" t="s">
        <v>170</v>
      </c>
      <c r="G344" s="24" t="str">
        <f>A344&amp;"|"&amp;B344</f>
        <v>Ford Motor|Fiesta NA 5 DR</v>
      </c>
    </row>
    <row r="345" ht="15" customHeight="1" spans="1:7" x14ac:dyDescent="0.25">
      <c r="A345" s="23" t="s">
        <v>497</v>
      </c>
      <c r="B345" s="23" t="s">
        <v>529</v>
      </c>
      <c r="C345" s="23" t="s">
        <v>271</v>
      </c>
      <c r="D345" s="23" t="s">
        <v>168</v>
      </c>
      <c r="E345" s="23" t="s">
        <v>272</v>
      </c>
      <c r="F345" s="23" t="s">
        <v>170</v>
      </c>
      <c r="G345" s="24" t="str">
        <f>A345&amp;"|"&amp;B345</f>
        <v>Ford Motor|Fiesta NA Sedan</v>
      </c>
    </row>
    <row r="346" ht="15" customHeight="1" spans="1:7" x14ac:dyDescent="0.25">
      <c r="A346" s="23" t="s">
        <v>497</v>
      </c>
      <c r="B346" s="23" t="s">
        <v>530</v>
      </c>
      <c r="C346" s="23" t="s">
        <v>271</v>
      </c>
      <c r="D346" s="23" t="s">
        <v>168</v>
      </c>
      <c r="E346" s="23" t="s">
        <v>272</v>
      </c>
      <c r="F346" s="23" t="s">
        <v>170</v>
      </c>
      <c r="G346" s="24" t="str">
        <f>A346&amp;"|"&amp;B346</f>
        <v>Ford Motor|Fiesta Sedan / Ikon Notch</v>
      </c>
    </row>
    <row r="347" ht="15" customHeight="1" spans="1:7" x14ac:dyDescent="0.25">
      <c r="A347" s="23" t="s">
        <v>497</v>
      </c>
      <c r="B347" s="23" t="s">
        <v>531</v>
      </c>
      <c r="C347" s="23" t="s">
        <v>271</v>
      </c>
      <c r="D347" s="23" t="s">
        <v>168</v>
      </c>
      <c r="E347" s="23" t="s">
        <v>272</v>
      </c>
      <c r="F347" s="23" t="s">
        <v>170</v>
      </c>
      <c r="G347" s="24" t="str">
        <f>A347&amp;"|"&amp;B347</f>
        <v>Ford Motor|Fiesta St</v>
      </c>
    </row>
    <row r="348" ht="15" customHeight="1" spans="1:7" x14ac:dyDescent="0.25">
      <c r="A348" s="23" t="s">
        <v>497</v>
      </c>
      <c r="B348" s="23" t="s">
        <v>532</v>
      </c>
      <c r="C348" s="23" t="s">
        <v>271</v>
      </c>
      <c r="D348" s="23" t="s">
        <v>168</v>
      </c>
      <c r="E348" s="23" t="s">
        <v>272</v>
      </c>
      <c r="F348" s="23" t="s">
        <v>170</v>
      </c>
      <c r="G348" s="24" t="str">
        <f>A348&amp;"|"&amp;B348</f>
        <v>Ford Motor|Figo 5 DR</v>
      </c>
    </row>
    <row r="349" ht="15" customHeight="1" spans="1:7" x14ac:dyDescent="0.25">
      <c r="A349" s="23" t="s">
        <v>497</v>
      </c>
      <c r="B349" s="23" t="s">
        <v>533</v>
      </c>
      <c r="C349" s="23" t="s">
        <v>271</v>
      </c>
      <c r="D349" s="23" t="s">
        <v>168</v>
      </c>
      <c r="E349" s="23" t="s">
        <v>272</v>
      </c>
      <c r="F349" s="23" t="s">
        <v>170</v>
      </c>
      <c r="G349" s="24" t="str">
        <f>A349&amp;"|"&amp;B349</f>
        <v>Ford Motor|Figo Sedan</v>
      </c>
    </row>
    <row r="350" ht="15" customHeight="1" spans="1:7" x14ac:dyDescent="0.25">
      <c r="A350" s="23" t="s">
        <v>497</v>
      </c>
      <c r="B350" s="23" t="s">
        <v>534</v>
      </c>
      <c r="C350" s="23" t="s">
        <v>167</v>
      </c>
      <c r="D350" s="23" t="s">
        <v>168</v>
      </c>
      <c r="E350" s="23" t="s">
        <v>169</v>
      </c>
      <c r="F350" s="23" t="s">
        <v>170</v>
      </c>
      <c r="G350" s="24" t="str">
        <f>A350&amp;"|"&amp;B350</f>
        <v>Ford Motor|Five Hundred</v>
      </c>
    </row>
    <row r="351" ht="15" customHeight="1" spans="1:7" x14ac:dyDescent="0.25">
      <c r="A351" s="23" t="s">
        <v>497</v>
      </c>
      <c r="B351" s="23" t="s">
        <v>535</v>
      </c>
      <c r="C351" s="23" t="s">
        <v>162</v>
      </c>
      <c r="D351" s="23" t="s">
        <v>168</v>
      </c>
      <c r="E351" s="23" t="s">
        <v>385</v>
      </c>
      <c r="F351" s="23" t="s">
        <v>170</v>
      </c>
      <c r="G351" s="24" t="str">
        <f>A351&amp;"|"&amp;B351</f>
        <v>Ford Motor|Focus 5 Dr</v>
      </c>
    </row>
    <row r="352" ht="15" customHeight="1" spans="1:7" x14ac:dyDescent="0.25">
      <c r="A352" s="23" t="s">
        <v>497</v>
      </c>
      <c r="B352" s="23" t="s">
        <v>536</v>
      </c>
      <c r="C352" s="23" t="s">
        <v>162</v>
      </c>
      <c r="D352" s="23" t="s">
        <v>168</v>
      </c>
      <c r="E352" s="23" t="s">
        <v>385</v>
      </c>
      <c r="F352" s="23" t="s">
        <v>170</v>
      </c>
      <c r="G352" s="24" t="str">
        <f>A352&amp;"|"&amp;B352</f>
        <v>Ford Motor|Focus Sedan</v>
      </c>
    </row>
    <row r="353" ht="15" customHeight="1" spans="1:7" x14ac:dyDescent="0.25">
      <c r="A353" s="23" t="s">
        <v>497</v>
      </c>
      <c r="B353" s="23" t="s">
        <v>537</v>
      </c>
      <c r="C353" s="23" t="s">
        <v>162</v>
      </c>
      <c r="D353" s="23" t="s">
        <v>168</v>
      </c>
      <c r="E353" s="23" t="s">
        <v>385</v>
      </c>
      <c r="F353" s="23" t="s">
        <v>170</v>
      </c>
      <c r="G353" s="24" t="str">
        <f>A353&amp;"|"&amp;B353</f>
        <v>Ford Motor|Focus St</v>
      </c>
    </row>
    <row r="354" ht="15" customHeight="1" spans="1:7" x14ac:dyDescent="0.25">
      <c r="A354" s="23" t="s">
        <v>497</v>
      </c>
      <c r="B354" s="23" t="s">
        <v>538</v>
      </c>
      <c r="C354" s="23" t="s">
        <v>162</v>
      </c>
      <c r="D354" s="23" t="s">
        <v>168</v>
      </c>
      <c r="E354" s="23" t="s">
        <v>385</v>
      </c>
      <c r="F354" s="23" t="s">
        <v>170</v>
      </c>
      <c r="G354" s="24" t="str">
        <f>A354&amp;"|"&amp;B354</f>
        <v>Ford Motor|Focus ZX3</v>
      </c>
    </row>
    <row r="355" ht="15" customHeight="1" spans="1:7" x14ac:dyDescent="0.25">
      <c r="A355" s="23" t="s">
        <v>497</v>
      </c>
      <c r="B355" s="23" t="s">
        <v>539</v>
      </c>
      <c r="C355" s="23" t="s">
        <v>167</v>
      </c>
      <c r="D355" s="23" t="s">
        <v>168</v>
      </c>
      <c r="E355" s="23" t="s">
        <v>175</v>
      </c>
      <c r="F355" s="23" t="s">
        <v>170</v>
      </c>
      <c r="G355" s="24" t="str">
        <f>A355&amp;"|"&amp;B355</f>
        <v>Ford Motor|Ford GT</v>
      </c>
    </row>
    <row r="356" ht="15" customHeight="1" spans="1:7" x14ac:dyDescent="0.25">
      <c r="A356" s="23" t="s">
        <v>497</v>
      </c>
      <c r="B356" s="23" t="s">
        <v>540</v>
      </c>
      <c r="C356" s="23" t="s">
        <v>271</v>
      </c>
      <c r="D356" s="23" t="s">
        <v>163</v>
      </c>
      <c r="E356" s="23" t="s">
        <v>277</v>
      </c>
      <c r="F356" s="23" t="s">
        <v>165</v>
      </c>
      <c r="G356" s="24" t="str">
        <f>A356&amp;"|"&amp;B356</f>
        <v>Ford Motor|Freestar</v>
      </c>
    </row>
    <row r="357" ht="15" customHeight="1" spans="1:7" x14ac:dyDescent="0.25">
      <c r="A357" s="23" t="s">
        <v>497</v>
      </c>
      <c r="B357" s="23" t="s">
        <v>541</v>
      </c>
      <c r="C357" s="23" t="s">
        <v>162</v>
      </c>
      <c r="D357" s="23" t="s">
        <v>168</v>
      </c>
      <c r="E357" s="23" t="s">
        <v>385</v>
      </c>
      <c r="F357" s="23" t="s">
        <v>170</v>
      </c>
      <c r="G357" s="24" t="str">
        <f>A357&amp;"|"&amp;B357</f>
        <v>Ford Motor|Fusion</v>
      </c>
    </row>
    <row r="358" ht="15" customHeight="1" spans="1:7" x14ac:dyDescent="0.25">
      <c r="A358" s="23" t="s">
        <v>497</v>
      </c>
      <c r="B358" s="23" t="s">
        <v>542</v>
      </c>
      <c r="C358" s="23" t="s">
        <v>162</v>
      </c>
      <c r="D358" s="23" t="s">
        <v>168</v>
      </c>
      <c r="E358" s="23" t="s">
        <v>385</v>
      </c>
      <c r="F358" s="23" t="s">
        <v>170</v>
      </c>
      <c r="G358" s="24" t="str">
        <f>A358&amp;"|"&amp;B358</f>
        <v>Ford Motor|Fusion Hibrido</v>
      </c>
    </row>
    <row r="359" ht="15" customHeight="1" spans="1:7" x14ac:dyDescent="0.25">
      <c r="A359" s="23" t="s">
        <v>497</v>
      </c>
      <c r="B359" s="23" t="s">
        <v>543</v>
      </c>
      <c r="C359" s="23" t="s">
        <v>162</v>
      </c>
      <c r="D359" s="23" t="s">
        <v>163</v>
      </c>
      <c r="E359" s="23" t="s">
        <v>275</v>
      </c>
      <c r="F359" s="23" t="s">
        <v>165</v>
      </c>
      <c r="G359" s="24" t="str">
        <f>A359&amp;"|"&amp;B359</f>
        <v>Ford Motor|H - 215</v>
      </c>
    </row>
    <row r="360" ht="15" customHeight="1" spans="1:7" x14ac:dyDescent="0.25">
      <c r="A360" s="23" t="s">
        <v>497</v>
      </c>
      <c r="B360" s="23" t="s">
        <v>544</v>
      </c>
      <c r="C360" s="23" t="s">
        <v>271</v>
      </c>
      <c r="D360" s="23" t="s">
        <v>168</v>
      </c>
      <c r="E360" s="23" t="s">
        <v>272</v>
      </c>
      <c r="F360" s="23" t="s">
        <v>170</v>
      </c>
      <c r="G360" s="24" t="str">
        <f>A360&amp;"|"&amp;B360</f>
        <v>Ford Motor|Ikon Hatch</v>
      </c>
    </row>
    <row r="361" ht="15" customHeight="1" spans="1:7" x14ac:dyDescent="0.25">
      <c r="A361" s="23" t="s">
        <v>497</v>
      </c>
      <c r="B361" s="23" t="s">
        <v>545</v>
      </c>
      <c r="C361" s="23" t="s">
        <v>271</v>
      </c>
      <c r="D361" s="23" t="s">
        <v>168</v>
      </c>
      <c r="E361" s="23" t="s">
        <v>272</v>
      </c>
      <c r="F361" s="23" t="s">
        <v>170</v>
      </c>
      <c r="G361" s="24" t="str">
        <f>A361&amp;"|"&amp;B361</f>
        <v>Ford Motor|Ka</v>
      </c>
    </row>
    <row r="362" ht="15" customHeight="1" spans="1:7" x14ac:dyDescent="0.25">
      <c r="A362" s="23" t="s">
        <v>497</v>
      </c>
      <c r="B362" s="23" t="s">
        <v>546</v>
      </c>
      <c r="C362" s="23" t="s">
        <v>162</v>
      </c>
      <c r="D362" s="23" t="s">
        <v>163</v>
      </c>
      <c r="E362" s="23" t="s">
        <v>275</v>
      </c>
      <c r="F362" s="23" t="s">
        <v>165</v>
      </c>
      <c r="G362" s="24" t="str">
        <f>A362&amp;"|"&amp;B362</f>
        <v>Ford Motor|Lobo Crew Cab</v>
      </c>
    </row>
    <row r="363" ht="15" customHeight="1" spans="1:7" x14ac:dyDescent="0.25">
      <c r="A363" s="23" t="s">
        <v>497</v>
      </c>
      <c r="B363" s="23" t="s">
        <v>547</v>
      </c>
      <c r="C363" s="23" t="s">
        <v>162</v>
      </c>
      <c r="D363" s="23" t="s">
        <v>163</v>
      </c>
      <c r="E363" s="23" t="s">
        <v>275</v>
      </c>
      <c r="F363" s="23" t="s">
        <v>165</v>
      </c>
      <c r="G363" s="24" t="str">
        <f>A363&amp;"|"&amp;B363</f>
        <v>Ford Motor|Lobo Regular Cab</v>
      </c>
    </row>
    <row r="364" ht="15" customHeight="1" spans="1:7" x14ac:dyDescent="0.25">
      <c r="A364" s="23" t="s">
        <v>497</v>
      </c>
      <c r="B364" s="23" t="s">
        <v>548</v>
      </c>
      <c r="C364" s="23" t="s">
        <v>162</v>
      </c>
      <c r="D364" s="23" t="s">
        <v>163</v>
      </c>
      <c r="E364" s="23" t="s">
        <v>275</v>
      </c>
      <c r="F364" s="23" t="s">
        <v>165</v>
      </c>
      <c r="G364" s="24" t="str">
        <f>A364&amp;"|"&amp;B364</f>
        <v>Ford Motor|Maverick</v>
      </c>
    </row>
    <row r="365" ht="15" customHeight="1" spans="1:7" x14ac:dyDescent="0.25">
      <c r="A365" s="23" t="s">
        <v>497</v>
      </c>
      <c r="B365" s="23" t="s">
        <v>549</v>
      </c>
      <c r="C365" s="23" t="s">
        <v>162</v>
      </c>
      <c r="D365" s="23" t="s">
        <v>168</v>
      </c>
      <c r="E365" s="23" t="s">
        <v>385</v>
      </c>
      <c r="F365" s="23" t="s">
        <v>170</v>
      </c>
      <c r="G365" s="24" t="str">
        <f>A365&amp;"|"&amp;B365</f>
        <v>Ford Motor|Mondeo</v>
      </c>
    </row>
    <row r="366" ht="15" customHeight="1" spans="1:7" x14ac:dyDescent="0.25">
      <c r="A366" s="23" t="s">
        <v>497</v>
      </c>
      <c r="B366" s="23" t="s">
        <v>550</v>
      </c>
      <c r="C366" s="23" t="s">
        <v>174</v>
      </c>
      <c r="D366" s="23" t="s">
        <v>168</v>
      </c>
      <c r="E366" s="23" t="s">
        <v>175</v>
      </c>
      <c r="F366" s="23" t="s">
        <v>170</v>
      </c>
      <c r="G366" s="24" t="str">
        <f>A366&amp;"|"&amp;B366</f>
        <v>Ford Motor|Mustang</v>
      </c>
    </row>
    <row r="367" ht="15" customHeight="1" spans="1:7" x14ac:dyDescent="0.25">
      <c r="A367" s="23" t="s">
        <v>497</v>
      </c>
      <c r="B367" s="23" t="s">
        <v>551</v>
      </c>
      <c r="C367" s="23" t="s">
        <v>162</v>
      </c>
      <c r="D367" s="23" t="s">
        <v>163</v>
      </c>
      <c r="E367" s="23" t="s">
        <v>164</v>
      </c>
      <c r="F367" s="23" t="s">
        <v>165</v>
      </c>
      <c r="G367" s="24" t="str">
        <f>A367&amp;"|"&amp;B367</f>
        <v>Ford Motor|Mustang Mach-E</v>
      </c>
    </row>
    <row r="368" ht="15" customHeight="1" spans="1:7" x14ac:dyDescent="0.25">
      <c r="A368" s="23" t="s">
        <v>497</v>
      </c>
      <c r="B368" s="23" t="s">
        <v>552</v>
      </c>
      <c r="C368" s="23" t="s">
        <v>162</v>
      </c>
      <c r="D368" s="23" t="s">
        <v>163</v>
      </c>
      <c r="E368" s="23" t="s">
        <v>275</v>
      </c>
      <c r="F368" s="23" t="s">
        <v>165</v>
      </c>
      <c r="G368" s="24" t="str">
        <f>A368&amp;"|"&amp;B368</f>
        <v>Ford Motor|New F150 / F-150</v>
      </c>
    </row>
    <row r="369" ht="15" customHeight="1" spans="1:7" x14ac:dyDescent="0.25">
      <c r="A369" s="23" t="s">
        <v>497</v>
      </c>
      <c r="B369" s="23" t="s">
        <v>553</v>
      </c>
      <c r="C369" s="23" t="s">
        <v>162</v>
      </c>
      <c r="D369" s="23" t="s">
        <v>163</v>
      </c>
      <c r="E369" s="23" t="s">
        <v>275</v>
      </c>
      <c r="F369" s="23" t="s">
        <v>165</v>
      </c>
      <c r="G369" s="24" t="str">
        <f>A369&amp;"|"&amp;B369</f>
        <v>Ford Motor|Ranger</v>
      </c>
    </row>
    <row r="370" ht="15" customHeight="1" spans="1:7" x14ac:dyDescent="0.25">
      <c r="A370" s="23" t="s">
        <v>497</v>
      </c>
      <c r="B370" s="23" t="s">
        <v>554</v>
      </c>
      <c r="C370" s="23" t="s">
        <v>162</v>
      </c>
      <c r="D370" s="23" t="s">
        <v>163</v>
      </c>
      <c r="E370" s="23" t="s">
        <v>275</v>
      </c>
      <c r="F370" s="23" t="s">
        <v>165</v>
      </c>
      <c r="G370" s="24" t="str">
        <f>A370&amp;"|"&amp;B370</f>
        <v>Ford Motor|Ranger Chassis</v>
      </c>
    </row>
    <row r="371" ht="15" customHeight="1" spans="1:7" x14ac:dyDescent="0.25">
      <c r="A371" s="23" t="s">
        <v>497</v>
      </c>
      <c r="B371" s="23" t="s">
        <v>555</v>
      </c>
      <c r="C371" s="23" t="s">
        <v>162</v>
      </c>
      <c r="D371" s="23" t="s">
        <v>163</v>
      </c>
      <c r="E371" s="23" t="s">
        <v>275</v>
      </c>
      <c r="F371" s="23" t="s">
        <v>165</v>
      </c>
      <c r="G371" s="24" t="str">
        <f>A371&amp;"|"&amp;B371</f>
        <v>Ford Motor|Ranger Crew Cab</v>
      </c>
    </row>
    <row r="372" ht="15" customHeight="1" spans="1:7" x14ac:dyDescent="0.25">
      <c r="A372" s="23" t="s">
        <v>497</v>
      </c>
      <c r="B372" s="23" t="s">
        <v>556</v>
      </c>
      <c r="C372" s="23" t="s">
        <v>162</v>
      </c>
      <c r="D372" s="23" t="s">
        <v>163</v>
      </c>
      <c r="E372" s="23" t="s">
        <v>275</v>
      </c>
      <c r="F372" s="23" t="s">
        <v>165</v>
      </c>
      <c r="G372" s="24" t="str">
        <f>A372&amp;"|"&amp;B372</f>
        <v>Ford Motor|Ranger Larga</v>
      </c>
    </row>
    <row r="373" ht="15" customHeight="1" spans="1:7" x14ac:dyDescent="0.25">
      <c r="A373" s="23" t="s">
        <v>497</v>
      </c>
      <c r="B373" s="23" t="s">
        <v>557</v>
      </c>
      <c r="C373" s="23" t="s">
        <v>167</v>
      </c>
      <c r="D373" s="23" t="s">
        <v>168</v>
      </c>
      <c r="E373" s="23" t="s">
        <v>169</v>
      </c>
      <c r="F373" s="23" t="s">
        <v>170</v>
      </c>
      <c r="G373" s="24" t="str">
        <f>A373&amp;"|"&amp;B373</f>
        <v>Ford Motor|Sable</v>
      </c>
    </row>
    <row r="374" ht="15" customHeight="1" spans="1:7" x14ac:dyDescent="0.25">
      <c r="A374" s="23" t="s">
        <v>497</v>
      </c>
      <c r="B374" s="23" t="s">
        <v>558</v>
      </c>
      <c r="C374" s="23" t="s">
        <v>162</v>
      </c>
      <c r="D374" s="23" t="s">
        <v>163</v>
      </c>
      <c r="E374" s="23" t="s">
        <v>164</v>
      </c>
      <c r="F374" s="23" t="s">
        <v>165</v>
      </c>
      <c r="G374" s="24" t="str">
        <f>A374&amp;"|"&amp;B374</f>
        <v>Ford Motor|Territory</v>
      </c>
    </row>
    <row r="375" ht="15" customHeight="1" spans="1:7" x14ac:dyDescent="0.25">
      <c r="A375" s="23" t="s">
        <v>497</v>
      </c>
      <c r="B375" s="23" t="s">
        <v>559</v>
      </c>
      <c r="C375" s="23" t="s">
        <v>162</v>
      </c>
      <c r="D375" s="23" t="s">
        <v>163</v>
      </c>
      <c r="E375" s="23" t="s">
        <v>164</v>
      </c>
      <c r="F375" s="23" t="s">
        <v>165</v>
      </c>
      <c r="G375" s="24" t="str">
        <f>A375&amp;"|"&amp;B375</f>
        <v>Ford Motor|Transit</v>
      </c>
    </row>
    <row r="376" ht="15" customHeight="1" spans="1:7" x14ac:dyDescent="0.25">
      <c r="A376" s="23" t="s">
        <v>497</v>
      </c>
      <c r="B376" s="23" t="s">
        <v>560</v>
      </c>
      <c r="C376" s="23" t="s">
        <v>162</v>
      </c>
      <c r="D376" s="23" t="s">
        <v>163</v>
      </c>
      <c r="E376" s="23" t="s">
        <v>275</v>
      </c>
      <c r="F376" s="23" t="s">
        <v>165</v>
      </c>
      <c r="G376" s="24" t="str">
        <f>A376&amp;"|"&amp;B376</f>
        <v>Ford Motor|Transit Courier</v>
      </c>
    </row>
    <row r="377" ht="15" customHeight="1" spans="1:7" x14ac:dyDescent="0.25">
      <c r="A377" s="23" t="s">
        <v>497</v>
      </c>
      <c r="B377" s="23" t="s">
        <v>561</v>
      </c>
      <c r="C377" s="23" t="s">
        <v>162</v>
      </c>
      <c r="D377" s="23" t="s">
        <v>163</v>
      </c>
      <c r="E377" s="23" t="s">
        <v>164</v>
      </c>
      <c r="F377" s="23" t="s">
        <v>165</v>
      </c>
      <c r="G377" s="24" t="str">
        <f>A377&amp;"|"&amp;B377</f>
        <v>Ford Motor|Transit Pasajeros</v>
      </c>
    </row>
    <row r="378" ht="15" customHeight="1" spans="1:7" x14ac:dyDescent="0.25">
      <c r="A378" s="23" t="s">
        <v>562</v>
      </c>
      <c r="B378" s="23" t="s">
        <v>563</v>
      </c>
      <c r="C378" s="23" t="s">
        <v>162</v>
      </c>
      <c r="D378" s="23" t="s">
        <v>163</v>
      </c>
      <c r="E378" s="23" t="s">
        <v>164</v>
      </c>
      <c r="F378" s="23" t="s">
        <v>165</v>
      </c>
      <c r="G378" s="24" t="str">
        <f>A378&amp;"|"&amp;B378</f>
        <v>Foton|HI VAN EV</v>
      </c>
    </row>
    <row r="379" ht="15" customHeight="1" spans="1:7" x14ac:dyDescent="0.25">
      <c r="A379" s="23" t="s">
        <v>562</v>
      </c>
      <c r="B379" s="23" t="s">
        <v>564</v>
      </c>
      <c r="C379" s="23" t="s">
        <v>162</v>
      </c>
      <c r="D379" s="23" t="s">
        <v>163</v>
      </c>
      <c r="E379" s="23" t="s">
        <v>164</v>
      </c>
      <c r="F379" s="23" t="s">
        <v>165</v>
      </c>
      <c r="G379" s="24" t="str">
        <f>A379&amp;"|"&amp;B379</f>
        <v>Foton|HI-VAN</v>
      </c>
    </row>
    <row r="380" ht="15" customHeight="1" spans="1:7" x14ac:dyDescent="0.25">
      <c r="A380" s="23" t="s">
        <v>562</v>
      </c>
      <c r="B380" s="23" t="s">
        <v>565</v>
      </c>
      <c r="C380" s="23" t="s">
        <v>162</v>
      </c>
      <c r="D380" s="23" t="s">
        <v>163</v>
      </c>
      <c r="E380" s="23" t="s">
        <v>275</v>
      </c>
      <c r="F380" s="23" t="s">
        <v>165</v>
      </c>
      <c r="G380" s="24" t="str">
        <f>A380&amp;"|"&amp;B380</f>
        <v>Foton|MILER</v>
      </c>
    </row>
    <row r="381" ht="15" customHeight="1" spans="1:7" x14ac:dyDescent="0.25">
      <c r="A381" s="23" t="s">
        <v>562</v>
      </c>
      <c r="B381" s="23" t="s">
        <v>566</v>
      </c>
      <c r="C381" s="23" t="s">
        <v>162</v>
      </c>
      <c r="D381" s="23" t="s">
        <v>163</v>
      </c>
      <c r="E381" s="23" t="s">
        <v>275</v>
      </c>
      <c r="F381" s="23" t="s">
        <v>165</v>
      </c>
      <c r="G381" s="24" t="str">
        <f>A381&amp;"|"&amp;B381</f>
        <v>Foton|S3</v>
      </c>
    </row>
    <row r="382" ht="15" customHeight="1" spans="1:7" x14ac:dyDescent="0.25">
      <c r="A382" s="23" t="s">
        <v>562</v>
      </c>
      <c r="B382" s="23" t="s">
        <v>567</v>
      </c>
      <c r="C382" s="23" t="s">
        <v>162</v>
      </c>
      <c r="D382" s="23" t="s">
        <v>163</v>
      </c>
      <c r="E382" s="23" t="s">
        <v>275</v>
      </c>
      <c r="F382" s="23" t="s">
        <v>165</v>
      </c>
      <c r="G382" s="24" t="str">
        <f>A382&amp;"|"&amp;B382</f>
        <v>Foton|S3 EV</v>
      </c>
    </row>
    <row r="383" ht="15" customHeight="1" spans="1:7" x14ac:dyDescent="0.25">
      <c r="A383" s="23" t="s">
        <v>562</v>
      </c>
      <c r="B383" s="23" t="s">
        <v>568</v>
      </c>
      <c r="C383" s="23" t="s">
        <v>162</v>
      </c>
      <c r="D383" s="23" t="s">
        <v>163</v>
      </c>
      <c r="E383" s="23" t="s">
        <v>275</v>
      </c>
      <c r="F383" s="23" t="s">
        <v>165</v>
      </c>
      <c r="G383" s="24" t="str">
        <f>A383&amp;"|"&amp;B383</f>
        <v>Foton|TM 3</v>
      </c>
    </row>
    <row r="384" ht="15" customHeight="1" spans="1:7" x14ac:dyDescent="0.25">
      <c r="A384" s="23" t="s">
        <v>562</v>
      </c>
      <c r="B384" s="23" t="s">
        <v>569</v>
      </c>
      <c r="C384" s="23" t="s">
        <v>162</v>
      </c>
      <c r="D384" s="23" t="s">
        <v>163</v>
      </c>
      <c r="E384" s="23" t="s">
        <v>275</v>
      </c>
      <c r="F384" s="23" t="s">
        <v>165</v>
      </c>
      <c r="G384" s="24" t="str">
        <f>A384&amp;"|"&amp;B384</f>
        <v>Foton|TM EV</v>
      </c>
    </row>
    <row r="385" ht="15" customHeight="1" spans="1:7" x14ac:dyDescent="0.25">
      <c r="A385" s="23" t="s">
        <v>562</v>
      </c>
      <c r="B385" s="23" t="s">
        <v>570</v>
      </c>
      <c r="C385" s="23" t="s">
        <v>162</v>
      </c>
      <c r="D385" s="23" t="s">
        <v>163</v>
      </c>
      <c r="E385" s="23" t="s">
        <v>275</v>
      </c>
      <c r="F385" s="23" t="s">
        <v>165</v>
      </c>
      <c r="G385" s="24" t="str">
        <f>A385&amp;"|"&amp;B385</f>
        <v>Foton|TUNLAND</v>
      </c>
    </row>
    <row r="386" ht="15" customHeight="1" spans="1:7" x14ac:dyDescent="0.25">
      <c r="A386" s="23" t="s">
        <v>562</v>
      </c>
      <c r="B386" s="23" t="s">
        <v>571</v>
      </c>
      <c r="C386" s="23" t="s">
        <v>162</v>
      </c>
      <c r="D386" s="23" t="s">
        <v>163</v>
      </c>
      <c r="E386" s="23" t="s">
        <v>275</v>
      </c>
      <c r="F386" s="23" t="s">
        <v>165</v>
      </c>
      <c r="G386" s="24" t="str">
        <f>A386&amp;"|"&amp;B386</f>
        <v>Foton|Tunland EV</v>
      </c>
    </row>
    <row r="387" ht="15" customHeight="1" spans="1:7" x14ac:dyDescent="0.25">
      <c r="A387" s="23" t="s">
        <v>562</v>
      </c>
      <c r="B387" s="23" t="s">
        <v>572</v>
      </c>
      <c r="C387" s="23" t="s">
        <v>162</v>
      </c>
      <c r="D387" s="23" t="s">
        <v>163</v>
      </c>
      <c r="E387" s="23" t="s">
        <v>164</v>
      </c>
      <c r="F387" s="23" t="s">
        <v>165</v>
      </c>
      <c r="G387" s="24" t="str">
        <f>A387&amp;"|"&amp;B387</f>
        <v>Foton|VIEW</v>
      </c>
    </row>
    <row r="388" ht="15" customHeight="1" spans="1:7" x14ac:dyDescent="0.25">
      <c r="A388" s="23" t="s">
        <v>562</v>
      </c>
      <c r="B388" s="23" t="s">
        <v>573</v>
      </c>
      <c r="C388" s="23" t="s">
        <v>162</v>
      </c>
      <c r="D388" s="23" t="s">
        <v>163</v>
      </c>
      <c r="E388" s="23" t="s">
        <v>164</v>
      </c>
      <c r="F388" s="23" t="s">
        <v>165</v>
      </c>
      <c r="G388" s="24" t="str">
        <f>A388&amp;"|"&amp;B388</f>
        <v>Foton|VIEW EV</v>
      </c>
    </row>
    <row r="389" ht="15" customHeight="1" spans="1:7" x14ac:dyDescent="0.25">
      <c r="A389" s="23" t="s">
        <v>562</v>
      </c>
      <c r="B389" s="23" t="s">
        <v>574</v>
      </c>
      <c r="C389" s="23" t="s">
        <v>162</v>
      </c>
      <c r="D389" s="23" t="s">
        <v>163</v>
      </c>
      <c r="E389" s="23" t="s">
        <v>275</v>
      </c>
      <c r="F389" s="23" t="s">
        <v>165</v>
      </c>
      <c r="G389" s="24" t="str">
        <f>A389&amp;"|"&amp;B389</f>
        <v>Foton|WONDER</v>
      </c>
    </row>
    <row r="390" ht="15" customHeight="1" spans="1:7" x14ac:dyDescent="0.25">
      <c r="A390" s="23" t="s">
        <v>562</v>
      </c>
      <c r="B390" s="23" t="s">
        <v>575</v>
      </c>
      <c r="C390" s="23" t="s">
        <v>162</v>
      </c>
      <c r="D390" s="23" t="s">
        <v>163</v>
      </c>
      <c r="E390" s="23" t="s">
        <v>275</v>
      </c>
      <c r="F390" s="23" t="s">
        <v>165</v>
      </c>
      <c r="G390" s="24" t="str">
        <f>A390&amp;"|"&amp;B390</f>
        <v>Foton|Wonder EV</v>
      </c>
    </row>
    <row r="391" ht="15" customHeight="1" spans="1:7" x14ac:dyDescent="0.25">
      <c r="A391" s="23" t="s">
        <v>576</v>
      </c>
      <c r="B391" s="23" t="s">
        <v>577</v>
      </c>
      <c r="C391" s="23" t="s">
        <v>162</v>
      </c>
      <c r="D391" s="23" t="s">
        <v>163</v>
      </c>
      <c r="E391" s="23" t="s">
        <v>164</v>
      </c>
      <c r="F391" s="23" t="s">
        <v>165</v>
      </c>
      <c r="G391" s="24" t="str">
        <f>A391&amp;"|"&amp;B391</f>
        <v>Geely|Cityray</v>
      </c>
    </row>
    <row r="392" ht="15" customHeight="1" spans="1:7" x14ac:dyDescent="0.25">
      <c r="A392" s="23" t="s">
        <v>576</v>
      </c>
      <c r="B392" s="23" t="s">
        <v>578</v>
      </c>
      <c r="C392" s="23" t="s">
        <v>162</v>
      </c>
      <c r="D392" s="23" t="s">
        <v>163</v>
      </c>
      <c r="E392" s="23" t="s">
        <v>164</v>
      </c>
      <c r="F392" s="23" t="s">
        <v>165</v>
      </c>
      <c r="G392" s="24" t="str">
        <f>A392&amp;"|"&amp;B392</f>
        <v>Geely|Coolray</v>
      </c>
    </row>
    <row r="393" ht="15" customHeight="1" spans="1:7" x14ac:dyDescent="0.25">
      <c r="A393" s="23" t="s">
        <v>576</v>
      </c>
      <c r="B393" s="23" t="s">
        <v>579</v>
      </c>
      <c r="C393" s="23" t="s">
        <v>271</v>
      </c>
      <c r="D393" s="23" t="s">
        <v>168</v>
      </c>
      <c r="E393" s="23" t="s">
        <v>272</v>
      </c>
      <c r="F393" s="23" t="s">
        <v>170</v>
      </c>
      <c r="G393" s="24" t="str">
        <f>A393&amp;"|"&amp;B393</f>
        <v>Geely|Emgrand</v>
      </c>
    </row>
    <row r="394" ht="15" customHeight="1" spans="1:7" x14ac:dyDescent="0.25">
      <c r="A394" s="23" t="s">
        <v>576</v>
      </c>
      <c r="B394" s="23" t="s">
        <v>580</v>
      </c>
      <c r="C394" s="23" t="s">
        <v>162</v>
      </c>
      <c r="D394" s="23" t="s">
        <v>163</v>
      </c>
      <c r="E394" s="23" t="s">
        <v>164</v>
      </c>
      <c r="F394" s="23" t="s">
        <v>165</v>
      </c>
      <c r="G394" s="24" t="str">
        <f>A394&amp;"|"&amp;B394</f>
        <v>Geely|EX2</v>
      </c>
    </row>
    <row r="395" ht="15" customHeight="1" spans="1:7" x14ac:dyDescent="0.25">
      <c r="A395" s="23" t="s">
        <v>576</v>
      </c>
      <c r="B395" s="23" t="s">
        <v>581</v>
      </c>
      <c r="C395" s="23" t="s">
        <v>162</v>
      </c>
      <c r="D395" s="23" t="s">
        <v>163</v>
      </c>
      <c r="E395" s="23" t="s">
        <v>164</v>
      </c>
      <c r="F395" s="23" t="s">
        <v>165</v>
      </c>
      <c r="G395" s="24" t="str">
        <f>A395&amp;"|"&amp;B395</f>
        <v>Geely|EX5</v>
      </c>
    </row>
    <row r="396" ht="15" customHeight="1" spans="1:7" x14ac:dyDescent="0.25">
      <c r="A396" s="23" t="s">
        <v>576</v>
      </c>
      <c r="B396" s="23" t="s">
        <v>582</v>
      </c>
      <c r="C396" s="23" t="s">
        <v>162</v>
      </c>
      <c r="D396" s="23" t="s">
        <v>163</v>
      </c>
      <c r="E396" s="23" t="s">
        <v>164</v>
      </c>
      <c r="F396" s="23" t="s">
        <v>165</v>
      </c>
      <c r="G396" s="24" t="str">
        <f>A396&amp;"|"&amp;B396</f>
        <v>Geely|EX5 EM-i</v>
      </c>
    </row>
    <row r="397" ht="15" customHeight="1" spans="1:7" x14ac:dyDescent="0.25">
      <c r="A397" s="23" t="s">
        <v>576</v>
      </c>
      <c r="B397" s="23" t="s">
        <v>583</v>
      </c>
      <c r="C397" s="23" t="s">
        <v>162</v>
      </c>
      <c r="D397" s="23" t="s">
        <v>163</v>
      </c>
      <c r="E397" s="23" t="s">
        <v>164</v>
      </c>
      <c r="F397" s="23" t="s">
        <v>165</v>
      </c>
      <c r="G397" s="24" t="str">
        <f>A397&amp;"|"&amp;B397</f>
        <v>Geely|Geometry C</v>
      </c>
    </row>
    <row r="398" ht="15" customHeight="1" spans="1:7" x14ac:dyDescent="0.25">
      <c r="A398" s="23" t="s">
        <v>576</v>
      </c>
      <c r="B398" s="23" t="s">
        <v>584</v>
      </c>
      <c r="C398" s="23" t="s">
        <v>162</v>
      </c>
      <c r="D398" s="23" t="s">
        <v>163</v>
      </c>
      <c r="E398" s="23" t="s">
        <v>164</v>
      </c>
      <c r="F398" s="23" t="s">
        <v>165</v>
      </c>
      <c r="G398" s="24" t="str">
        <f>A398&amp;"|"&amp;B398</f>
        <v>Geely|Gx3 Pro</v>
      </c>
    </row>
    <row r="399" ht="15" customHeight="1" spans="1:7" x14ac:dyDescent="0.25">
      <c r="A399" s="23" t="s">
        <v>576</v>
      </c>
      <c r="B399" s="23" t="s">
        <v>585</v>
      </c>
      <c r="C399" s="23" t="s">
        <v>162</v>
      </c>
      <c r="D399" s="23" t="s">
        <v>163</v>
      </c>
      <c r="E399" s="23" t="s">
        <v>164</v>
      </c>
      <c r="F399" s="23" t="s">
        <v>165</v>
      </c>
      <c r="G399" s="24" t="str">
        <f>A399&amp;"|"&amp;B399</f>
        <v>Geely|Monjaro</v>
      </c>
    </row>
    <row r="400" ht="15" customHeight="1" spans="1:7" x14ac:dyDescent="0.25">
      <c r="A400" s="23" t="s">
        <v>576</v>
      </c>
      <c r="B400" s="23" t="s">
        <v>586</v>
      </c>
      <c r="C400" s="23" t="s">
        <v>162</v>
      </c>
      <c r="D400" s="23" t="s">
        <v>163</v>
      </c>
      <c r="E400" s="23" t="s">
        <v>164</v>
      </c>
      <c r="F400" s="23" t="s">
        <v>165</v>
      </c>
      <c r="G400" s="24" t="str">
        <f>A400&amp;"|"&amp;B400</f>
        <v>Geely|Okavango</v>
      </c>
    </row>
    <row r="401" ht="15" customHeight="1" spans="1:7" x14ac:dyDescent="0.25">
      <c r="A401" s="23" t="s">
        <v>576</v>
      </c>
      <c r="B401" s="23" t="s">
        <v>587</v>
      </c>
      <c r="C401" s="23" t="s">
        <v>162</v>
      </c>
      <c r="D401" s="23" t="s">
        <v>163</v>
      </c>
      <c r="E401" s="23" t="s">
        <v>164</v>
      </c>
      <c r="F401" s="23" t="s">
        <v>165</v>
      </c>
      <c r="G401" s="24" t="str">
        <f>A401&amp;"|"&amp;B401</f>
        <v>Geely|Starray</v>
      </c>
    </row>
    <row r="402" ht="15" customHeight="1" spans="1:7" x14ac:dyDescent="0.25">
      <c r="A402" s="23" t="s">
        <v>588</v>
      </c>
      <c r="B402" s="23" t="s">
        <v>589</v>
      </c>
      <c r="C402" s="23" t="s">
        <v>167</v>
      </c>
      <c r="D402" s="23" t="s">
        <v>168</v>
      </c>
      <c r="E402" s="23" t="s">
        <v>169</v>
      </c>
      <c r="F402" s="23" t="s">
        <v>170</v>
      </c>
      <c r="G402" s="24" t="str">
        <f>A402&amp;"|"&amp;B402</f>
        <v>General Motors|147</v>
      </c>
    </row>
    <row r="403" ht="15" customHeight="1" spans="1:7" x14ac:dyDescent="0.25">
      <c r="A403" s="23" t="s">
        <v>588</v>
      </c>
      <c r="B403" s="23" t="s">
        <v>590</v>
      </c>
      <c r="C403" s="23" t="s">
        <v>167</v>
      </c>
      <c r="D403" s="23" t="s">
        <v>168</v>
      </c>
      <c r="E403" s="23" t="s">
        <v>169</v>
      </c>
      <c r="F403" s="23" t="s">
        <v>170</v>
      </c>
      <c r="G403" s="24" t="str">
        <f>A403&amp;"|"&amp;B403</f>
        <v>General Motors|156</v>
      </c>
    </row>
    <row r="404" ht="15" customHeight="1" spans="1:7" x14ac:dyDescent="0.25">
      <c r="A404" s="23" t="s">
        <v>588</v>
      </c>
      <c r="B404" s="23" t="s">
        <v>591</v>
      </c>
      <c r="C404" s="23" t="s">
        <v>167</v>
      </c>
      <c r="D404" s="23" t="s">
        <v>168</v>
      </c>
      <c r="E404" s="23" t="s">
        <v>169</v>
      </c>
      <c r="F404" s="23" t="s">
        <v>170</v>
      </c>
      <c r="G404" s="24" t="str">
        <f>A404&amp;"|"&amp;B404</f>
        <v>General Motors|9-3 Sport Sedan 4 Ptas</v>
      </c>
    </row>
    <row r="405" ht="15" customHeight="1" spans="1:7" x14ac:dyDescent="0.25">
      <c r="A405" s="23" t="s">
        <v>588</v>
      </c>
      <c r="B405" s="23" t="s">
        <v>592</v>
      </c>
      <c r="C405" s="23" t="s">
        <v>167</v>
      </c>
      <c r="D405" s="23" t="s">
        <v>168</v>
      </c>
      <c r="E405" s="23" t="s">
        <v>169</v>
      </c>
      <c r="F405" s="23" t="s">
        <v>170</v>
      </c>
      <c r="G405" s="24" t="str">
        <f>A405&amp;"|"&amp;B405</f>
        <v>General Motors|9-5 4 Ptas</v>
      </c>
    </row>
    <row r="406" ht="15" customHeight="1" spans="1:7" x14ac:dyDescent="0.25">
      <c r="A406" s="23" t="s">
        <v>588</v>
      </c>
      <c r="B406" s="23" t="s">
        <v>593</v>
      </c>
      <c r="C406" s="23" t="s">
        <v>162</v>
      </c>
      <c r="D406" s="23" t="s">
        <v>163</v>
      </c>
      <c r="E406" s="23" t="s">
        <v>164</v>
      </c>
      <c r="F406" s="23" t="s">
        <v>165</v>
      </c>
      <c r="G406" s="24" t="str">
        <f>A406&amp;"|"&amp;B406</f>
        <v>General Motors|Acadia</v>
      </c>
    </row>
    <row r="407" ht="15" customHeight="1" spans="1:7" x14ac:dyDescent="0.25">
      <c r="A407" s="23" t="s">
        <v>588</v>
      </c>
      <c r="B407" s="23" t="s">
        <v>594</v>
      </c>
      <c r="C407" s="23" t="s">
        <v>162</v>
      </c>
      <c r="D407" s="23" t="s">
        <v>168</v>
      </c>
      <c r="E407" s="23" t="s">
        <v>385</v>
      </c>
      <c r="F407" s="23" t="s">
        <v>170</v>
      </c>
      <c r="G407" s="24" t="str">
        <f>A407&amp;"|"&amp;B407</f>
        <v>General Motors|Astra 3 Ptas</v>
      </c>
    </row>
    <row r="408" ht="15" customHeight="1" spans="1:7" x14ac:dyDescent="0.25">
      <c r="A408" s="23" t="s">
        <v>588</v>
      </c>
      <c r="B408" s="23" t="s">
        <v>595</v>
      </c>
      <c r="C408" s="23" t="s">
        <v>162</v>
      </c>
      <c r="D408" s="23" t="s">
        <v>168</v>
      </c>
      <c r="E408" s="23" t="s">
        <v>385</v>
      </c>
      <c r="F408" s="23" t="s">
        <v>170</v>
      </c>
      <c r="G408" s="24" t="str">
        <f>A408&amp;"|"&amp;B408</f>
        <v>General Motors|Astra 4 Ptas</v>
      </c>
    </row>
    <row r="409" ht="15" customHeight="1" spans="1:7" x14ac:dyDescent="0.25">
      <c r="A409" s="23" t="s">
        <v>588</v>
      </c>
      <c r="B409" s="23" t="s">
        <v>596</v>
      </c>
      <c r="C409" s="23" t="s">
        <v>162</v>
      </c>
      <c r="D409" s="23" t="s">
        <v>168</v>
      </c>
      <c r="E409" s="23" t="s">
        <v>385</v>
      </c>
      <c r="F409" s="23" t="s">
        <v>170</v>
      </c>
      <c r="G409" s="24" t="str">
        <f>A409&amp;"|"&amp;B409</f>
        <v>General Motors|Astra 5 Ptas</v>
      </c>
    </row>
    <row r="410" ht="15" customHeight="1" spans="1:7" x14ac:dyDescent="0.25">
      <c r="A410" s="23" t="s">
        <v>588</v>
      </c>
      <c r="B410" s="23" t="s">
        <v>597</v>
      </c>
      <c r="C410" s="23" t="s">
        <v>167</v>
      </c>
      <c r="D410" s="23" t="s">
        <v>168</v>
      </c>
      <c r="E410" s="23" t="s">
        <v>169</v>
      </c>
      <c r="F410" s="23" t="s">
        <v>170</v>
      </c>
      <c r="G410" s="24" t="str">
        <f>A410&amp;"|"&amp;B410</f>
        <v>General Motors|Ats 4p</v>
      </c>
    </row>
    <row r="411" ht="15" customHeight="1" spans="1:7" x14ac:dyDescent="0.25">
      <c r="A411" s="23" t="s">
        <v>588</v>
      </c>
      <c r="B411" s="23" t="s">
        <v>598</v>
      </c>
      <c r="C411" s="23" t="s">
        <v>162</v>
      </c>
      <c r="D411" s="23" t="s">
        <v>163</v>
      </c>
      <c r="E411" s="23" t="s">
        <v>275</v>
      </c>
      <c r="F411" s="23" t="s">
        <v>165</v>
      </c>
      <c r="G411" s="24" t="str">
        <f>A411&amp;"|"&amp;B411</f>
        <v>General Motors|Avalanche UUV</v>
      </c>
    </row>
    <row r="412" ht="15" customHeight="1" spans="1:7" x14ac:dyDescent="0.25">
      <c r="A412" s="23" t="s">
        <v>588</v>
      </c>
      <c r="B412" s="23" t="s">
        <v>599</v>
      </c>
      <c r="C412" s="23" t="s">
        <v>271</v>
      </c>
      <c r="D412" s="23" t="s">
        <v>168</v>
      </c>
      <c r="E412" s="23" t="s">
        <v>272</v>
      </c>
      <c r="F412" s="23" t="s">
        <v>170</v>
      </c>
      <c r="G412" s="24" t="str">
        <f>A412&amp;"|"&amp;B412</f>
        <v>General Motors|Aveo</v>
      </c>
    </row>
    <row r="413" ht="15" customHeight="1" spans="1:7" x14ac:dyDescent="0.25">
      <c r="A413" s="23" t="s">
        <v>588</v>
      </c>
      <c r="B413" s="23" t="s">
        <v>600</v>
      </c>
      <c r="C413" s="23" t="s">
        <v>271</v>
      </c>
      <c r="D413" s="23" t="s">
        <v>168</v>
      </c>
      <c r="E413" s="23" t="s">
        <v>272</v>
      </c>
      <c r="F413" s="23" t="s">
        <v>170</v>
      </c>
      <c r="G413" s="24" t="str">
        <f>A413&amp;"|"&amp;B413</f>
        <v>General Motors|Aveo HB</v>
      </c>
    </row>
    <row r="414" ht="15" customHeight="1" spans="1:7" x14ac:dyDescent="0.25">
      <c r="A414" s="23" t="s">
        <v>588</v>
      </c>
      <c r="B414" s="23" t="s">
        <v>601</v>
      </c>
      <c r="C414" s="23" t="s">
        <v>271</v>
      </c>
      <c r="D414" s="23" t="s">
        <v>168</v>
      </c>
      <c r="E414" s="23" t="s">
        <v>272</v>
      </c>
      <c r="F414" s="23" t="s">
        <v>170</v>
      </c>
      <c r="G414" s="24" t="str">
        <f>A414&amp;"|"&amp;B414</f>
        <v>General Motors|Aveo-</v>
      </c>
    </row>
    <row r="415" ht="15" customHeight="1" spans="1:7" x14ac:dyDescent="0.25">
      <c r="A415" s="23" t="s">
        <v>588</v>
      </c>
      <c r="B415" s="23" t="s">
        <v>602</v>
      </c>
      <c r="C415" s="23" t="s">
        <v>162</v>
      </c>
      <c r="D415" s="23" t="s">
        <v>163</v>
      </c>
      <c r="E415" s="23" t="s">
        <v>164</v>
      </c>
      <c r="F415" s="23" t="s">
        <v>165</v>
      </c>
      <c r="G415" s="24" t="str">
        <f>A415&amp;"|"&amp;B415</f>
        <v>General Motors|Aztek SUV</v>
      </c>
    </row>
    <row r="416" ht="15" customHeight="1" spans="1:7" x14ac:dyDescent="0.25">
      <c r="A416" s="23" t="s">
        <v>588</v>
      </c>
      <c r="B416" s="23" t="s">
        <v>603</v>
      </c>
      <c r="C416" s="23" t="s">
        <v>271</v>
      </c>
      <c r="D416" s="23" t="s">
        <v>168</v>
      </c>
      <c r="E416" s="23" t="s">
        <v>272</v>
      </c>
      <c r="F416" s="23" t="s">
        <v>170</v>
      </c>
      <c r="G416" s="24" t="str">
        <f>A416&amp;"|"&amp;B416</f>
        <v>General Motors|Beat</v>
      </c>
    </row>
    <row r="417" ht="15" customHeight="1" spans="1:7" x14ac:dyDescent="0.25">
      <c r="A417" s="23" t="s">
        <v>588</v>
      </c>
      <c r="B417" s="23" t="s">
        <v>604</v>
      </c>
      <c r="C417" s="23" t="s">
        <v>271</v>
      </c>
      <c r="D417" s="23" t="s">
        <v>168</v>
      </c>
      <c r="E417" s="23" t="s">
        <v>272</v>
      </c>
      <c r="F417" s="23" t="s">
        <v>170</v>
      </c>
      <c r="G417" s="24" t="str">
        <f>A417&amp;"|"&amp;B417</f>
        <v>General Motors|Beat 4 PTAS.</v>
      </c>
    </row>
    <row r="418" ht="15" customHeight="1" spans="1:7" x14ac:dyDescent="0.25">
      <c r="A418" s="23" t="s">
        <v>588</v>
      </c>
      <c r="B418" s="23" t="s">
        <v>605</v>
      </c>
      <c r="C418" s="23" t="s">
        <v>162</v>
      </c>
      <c r="D418" s="23" t="s">
        <v>163</v>
      </c>
      <c r="E418" s="23" t="s">
        <v>164</v>
      </c>
      <c r="F418" s="23" t="s">
        <v>165</v>
      </c>
      <c r="G418" s="24" t="str">
        <f>A418&amp;"|"&amp;B418</f>
        <v>General Motors|Blazer</v>
      </c>
    </row>
    <row r="419" ht="15" customHeight="1" spans="1:7" x14ac:dyDescent="0.25">
      <c r="A419" s="23" t="s">
        <v>588</v>
      </c>
      <c r="B419" s="23" t="s">
        <v>606</v>
      </c>
      <c r="C419" s="23" t="s">
        <v>162</v>
      </c>
      <c r="D419" s="23" t="s">
        <v>163</v>
      </c>
      <c r="E419" s="23" t="s">
        <v>164</v>
      </c>
      <c r="F419" s="23" t="s">
        <v>165</v>
      </c>
      <c r="G419" s="24" t="str">
        <f>A419&amp;"|"&amp;B419</f>
        <v>General Motors|Blazer EV</v>
      </c>
    </row>
    <row r="420" ht="15" customHeight="1" spans="1:7" x14ac:dyDescent="0.25">
      <c r="A420" s="23" t="s">
        <v>588</v>
      </c>
      <c r="B420" s="23" t="s">
        <v>607</v>
      </c>
      <c r="C420" s="23" t="s">
        <v>167</v>
      </c>
      <c r="D420" s="23" t="s">
        <v>168</v>
      </c>
      <c r="E420" s="23" t="s">
        <v>169</v>
      </c>
      <c r="F420" s="23" t="s">
        <v>170</v>
      </c>
      <c r="G420" s="24" t="str">
        <f>A420&amp;"|"&amp;B420</f>
        <v>General Motors|Bls 4 Ptas</v>
      </c>
    </row>
    <row r="421" ht="15" customHeight="1" spans="1:7" x14ac:dyDescent="0.25">
      <c r="A421" s="23" t="s">
        <v>588</v>
      </c>
      <c r="B421" s="23" t="s">
        <v>608</v>
      </c>
      <c r="C421" s="23" t="s">
        <v>271</v>
      </c>
      <c r="D421" s="23" t="s">
        <v>168</v>
      </c>
      <c r="E421" s="23" t="s">
        <v>272</v>
      </c>
      <c r="F421" s="23" t="s">
        <v>170</v>
      </c>
      <c r="G421" s="24" t="str">
        <f>A421&amp;"|"&amp;B421</f>
        <v>General Motors|Bolt</v>
      </c>
    </row>
    <row r="422" ht="15" customHeight="1" spans="1:7" x14ac:dyDescent="0.25">
      <c r="A422" s="23" t="s">
        <v>588</v>
      </c>
      <c r="B422" s="23" t="s">
        <v>609</v>
      </c>
      <c r="C422" s="23" t="s">
        <v>162</v>
      </c>
      <c r="D422" s="23" t="s">
        <v>163</v>
      </c>
      <c r="E422" s="23" t="s">
        <v>164</v>
      </c>
      <c r="F422" s="23" t="s">
        <v>165</v>
      </c>
      <c r="G422" s="24" t="str">
        <f>A422&amp;"|"&amp;B422</f>
        <v>General Motors|Bolt EUV</v>
      </c>
    </row>
    <row r="423" ht="15" customHeight="1" spans="1:7" x14ac:dyDescent="0.25">
      <c r="A423" s="23" t="s">
        <v>588</v>
      </c>
      <c r="B423" s="23" t="s">
        <v>610</v>
      </c>
      <c r="C423" s="23" t="s">
        <v>271</v>
      </c>
      <c r="D423" s="23" t="s">
        <v>163</v>
      </c>
      <c r="E423" s="23" t="s">
        <v>277</v>
      </c>
      <c r="F423" s="23" t="s">
        <v>165</v>
      </c>
      <c r="G423" s="24" t="str">
        <f>A423&amp;"|"&amp;B423</f>
        <v>General Motors|Brightdrop</v>
      </c>
    </row>
    <row r="424" ht="15" customHeight="1" spans="1:7" x14ac:dyDescent="0.25">
      <c r="A424" s="23" t="s">
        <v>588</v>
      </c>
      <c r="B424" s="23" t="s">
        <v>611</v>
      </c>
      <c r="C424" s="23" t="s">
        <v>174</v>
      </c>
      <c r="D424" s="23" t="s">
        <v>168</v>
      </c>
      <c r="E424" s="23" t="s">
        <v>175</v>
      </c>
      <c r="F424" s="23" t="s">
        <v>170</v>
      </c>
      <c r="G424" s="24" t="str">
        <f>A424&amp;"|"&amp;B424</f>
        <v>General Motors|Camaro</v>
      </c>
    </row>
    <row r="425" ht="15" customHeight="1" spans="1:7" x14ac:dyDescent="0.25">
      <c r="A425" s="23" t="s">
        <v>588</v>
      </c>
      <c r="B425" s="23" t="s">
        <v>612</v>
      </c>
      <c r="C425" s="23" t="s">
        <v>174</v>
      </c>
      <c r="D425" s="23" t="s">
        <v>168</v>
      </c>
      <c r="E425" s="23" t="s">
        <v>169</v>
      </c>
      <c r="F425" s="23" t="s">
        <v>170</v>
      </c>
      <c r="G425" s="24" t="str">
        <f>A425&amp;"|"&amp;B425</f>
        <v>General Motors|Camaro Convertible</v>
      </c>
    </row>
    <row r="426" ht="15" customHeight="1" spans="1:7" x14ac:dyDescent="0.25">
      <c r="A426" s="23" t="s">
        <v>588</v>
      </c>
      <c r="B426" s="23" t="s">
        <v>613</v>
      </c>
      <c r="C426" s="23" t="s">
        <v>162</v>
      </c>
      <c r="D426" s="23" t="s">
        <v>163</v>
      </c>
      <c r="E426" s="23" t="s">
        <v>275</v>
      </c>
      <c r="F426" s="23" t="s">
        <v>165</v>
      </c>
      <c r="G426" s="24" t="str">
        <f>A426&amp;"|"&amp;B426</f>
        <v>General Motors|Canyon</v>
      </c>
    </row>
    <row r="427" ht="15" customHeight="1" spans="1:7" x14ac:dyDescent="0.25">
      <c r="A427" s="23" t="s">
        <v>588</v>
      </c>
      <c r="B427" s="23" t="s">
        <v>614</v>
      </c>
      <c r="C427" s="23" t="s">
        <v>162</v>
      </c>
      <c r="D427" s="23" t="s">
        <v>163</v>
      </c>
      <c r="E427" s="23" t="s">
        <v>275</v>
      </c>
      <c r="F427" s="23" t="s">
        <v>165</v>
      </c>
      <c r="G427" s="24" t="str">
        <f>A427&amp;"|"&amp;B427</f>
        <v>General Motors|Canyon Crew Cab 4x4</v>
      </c>
    </row>
    <row r="428" ht="15" customHeight="1" spans="1:7" x14ac:dyDescent="0.25">
      <c r="A428" s="23" t="s">
        <v>588</v>
      </c>
      <c r="B428" s="23" t="s">
        <v>615</v>
      </c>
      <c r="C428" s="23" t="s">
        <v>162</v>
      </c>
      <c r="D428" s="23" t="s">
        <v>163</v>
      </c>
      <c r="E428" s="23" t="s">
        <v>164</v>
      </c>
      <c r="F428" s="23" t="s">
        <v>165</v>
      </c>
      <c r="G428" s="24" t="str">
        <f>A428&amp;"|"&amp;B428</f>
        <v>General Motors|Captiva Sport</v>
      </c>
    </row>
    <row r="429" ht="15" customHeight="1" spans="1:7" x14ac:dyDescent="0.25">
      <c r="A429" s="23" t="s">
        <v>588</v>
      </c>
      <c r="B429" s="23" t="s">
        <v>616</v>
      </c>
      <c r="C429" s="23" t="s">
        <v>162</v>
      </c>
      <c r="D429" s="23" t="s">
        <v>163</v>
      </c>
      <c r="E429" s="23" t="s">
        <v>164</v>
      </c>
      <c r="F429" s="23" t="s">
        <v>165</v>
      </c>
      <c r="G429" s="24" t="str">
        <f>A429&amp;"|"&amp;B429</f>
        <v>General Motors|Captiva SUV</v>
      </c>
    </row>
    <row r="430" ht="15" customHeight="1" spans="1:7" x14ac:dyDescent="0.25">
      <c r="A430" s="23" t="s">
        <v>588</v>
      </c>
      <c r="B430" s="23" t="s">
        <v>617</v>
      </c>
      <c r="C430" s="23" t="s">
        <v>162</v>
      </c>
      <c r="D430" s="23" t="s">
        <v>168</v>
      </c>
      <c r="E430" s="23" t="s">
        <v>385</v>
      </c>
      <c r="F430" s="23" t="s">
        <v>170</v>
      </c>
      <c r="G430" s="24" t="str">
        <f>A430&amp;"|"&amp;B430</f>
        <v>General Motors|Cavalier 4 Ptas</v>
      </c>
    </row>
    <row r="431" ht="15" customHeight="1" spans="1:7" x14ac:dyDescent="0.25">
      <c r="A431" s="23" t="s">
        <v>588</v>
      </c>
      <c r="B431" s="23" t="s">
        <v>618</v>
      </c>
      <c r="C431" s="23" t="s">
        <v>271</v>
      </c>
      <c r="D431" s="23" t="s">
        <v>163</v>
      </c>
      <c r="E431" s="23" t="s">
        <v>277</v>
      </c>
      <c r="F431" s="23" t="s">
        <v>165</v>
      </c>
      <c r="G431" s="24" t="str">
        <f>A431&amp;"|"&amp;B431</f>
        <v>General Motors|Chevrolet Express Cargo Van</v>
      </c>
    </row>
    <row r="432" ht="15" customHeight="1" spans="1:7" x14ac:dyDescent="0.25">
      <c r="A432" s="23" t="s">
        <v>588</v>
      </c>
      <c r="B432" s="23" t="s">
        <v>619</v>
      </c>
      <c r="C432" s="23" t="s">
        <v>271</v>
      </c>
      <c r="D432" s="23" t="s">
        <v>163</v>
      </c>
      <c r="E432" s="23" t="s">
        <v>277</v>
      </c>
      <c r="F432" s="23" t="s">
        <v>165</v>
      </c>
      <c r="G432" s="24" t="str">
        <f>A432&amp;"|"&amp;B432</f>
        <v>General Motors|Chevrolet Express Cutaway</v>
      </c>
    </row>
    <row r="433" ht="15" customHeight="1" spans="1:7" x14ac:dyDescent="0.25">
      <c r="A433" s="23" t="s">
        <v>588</v>
      </c>
      <c r="B433" s="23" t="s">
        <v>620</v>
      </c>
      <c r="C433" s="23" t="s">
        <v>271</v>
      </c>
      <c r="D433" s="23" t="s">
        <v>163</v>
      </c>
      <c r="E433" s="23" t="s">
        <v>277</v>
      </c>
      <c r="F433" s="23" t="s">
        <v>165</v>
      </c>
      <c r="G433" s="24" t="str">
        <f>A433&amp;"|"&amp;B433</f>
        <v>General Motors|Chevrolet Express MAX Cargo Van</v>
      </c>
    </row>
    <row r="434" ht="15" customHeight="1" spans="1:7" x14ac:dyDescent="0.25">
      <c r="A434" s="23" t="s">
        <v>588</v>
      </c>
      <c r="B434" s="23" t="s">
        <v>621</v>
      </c>
      <c r="C434" s="23" t="s">
        <v>271</v>
      </c>
      <c r="D434" s="23" t="s">
        <v>163</v>
      </c>
      <c r="E434" s="23" t="s">
        <v>277</v>
      </c>
      <c r="F434" s="23" t="s">
        <v>165</v>
      </c>
      <c r="G434" s="24" t="str">
        <f>A434&amp;"|"&amp;B434</f>
        <v>General Motors|Chevrolet Express Passenger Van</v>
      </c>
    </row>
    <row r="435" ht="15" customHeight="1" spans="1:7" x14ac:dyDescent="0.25">
      <c r="A435" s="23" t="s">
        <v>588</v>
      </c>
      <c r="B435" s="23" t="s">
        <v>622</v>
      </c>
      <c r="C435" s="23" t="s">
        <v>271</v>
      </c>
      <c r="D435" s="23" t="s">
        <v>168</v>
      </c>
      <c r="E435" s="23" t="s">
        <v>272</v>
      </c>
      <c r="F435" s="23" t="s">
        <v>170</v>
      </c>
      <c r="G435" s="24" t="str">
        <f>A435&amp;"|"&amp;B435</f>
        <v>General Motors|Chevy 3 Ptas</v>
      </c>
    </row>
    <row r="436" ht="15" customHeight="1" spans="1:7" x14ac:dyDescent="0.25">
      <c r="A436" s="23" t="s">
        <v>588</v>
      </c>
      <c r="B436" s="23" t="s">
        <v>623</v>
      </c>
      <c r="C436" s="23" t="s">
        <v>271</v>
      </c>
      <c r="D436" s="23" t="s">
        <v>168</v>
      </c>
      <c r="E436" s="23" t="s">
        <v>272</v>
      </c>
      <c r="F436" s="23" t="s">
        <v>170</v>
      </c>
      <c r="G436" s="24" t="str">
        <f>A436&amp;"|"&amp;B436</f>
        <v>General Motors|Chevy 4 PTAS</v>
      </c>
    </row>
    <row r="437" ht="15" customHeight="1" spans="1:7" x14ac:dyDescent="0.25">
      <c r="A437" s="23" t="s">
        <v>588</v>
      </c>
      <c r="B437" s="23" t="s">
        <v>624</v>
      </c>
      <c r="C437" s="23" t="s">
        <v>271</v>
      </c>
      <c r="D437" s="23" t="s">
        <v>168</v>
      </c>
      <c r="E437" s="23" t="s">
        <v>272</v>
      </c>
      <c r="F437" s="23" t="s">
        <v>170</v>
      </c>
      <c r="G437" s="24" t="str">
        <f>A437&amp;"|"&amp;B437</f>
        <v>General Motors|Chevy 5 Ptas</v>
      </c>
    </row>
    <row r="438" ht="15" customHeight="1" spans="1:7" x14ac:dyDescent="0.25">
      <c r="A438" s="23" t="s">
        <v>588</v>
      </c>
      <c r="B438" s="23" t="s">
        <v>625</v>
      </c>
      <c r="C438" s="23" t="s">
        <v>162</v>
      </c>
      <c r="D438" s="23" t="s">
        <v>163</v>
      </c>
      <c r="E438" s="23" t="s">
        <v>275</v>
      </c>
      <c r="F438" s="23" t="s">
        <v>165</v>
      </c>
      <c r="G438" s="24" t="str">
        <f>A438&amp;"|"&amp;B438</f>
        <v>General Motors|Cheyenne Cabina Regular</v>
      </c>
    </row>
    <row r="439" ht="15" customHeight="1" spans="1:7" x14ac:dyDescent="0.25">
      <c r="A439" s="23" t="s">
        <v>588</v>
      </c>
      <c r="B439" s="23" t="s">
        <v>626</v>
      </c>
      <c r="C439" s="23" t="s">
        <v>162</v>
      </c>
      <c r="D439" s="23" t="s">
        <v>163</v>
      </c>
      <c r="E439" s="23" t="s">
        <v>275</v>
      </c>
      <c r="F439" s="23" t="s">
        <v>165</v>
      </c>
      <c r="G439" s="24" t="str">
        <f>A439&amp;"|"&amp;B439</f>
        <v>General Motors|Cheyenne Doble Cabina</v>
      </c>
    </row>
    <row r="440" ht="15" customHeight="1" spans="1:7" x14ac:dyDescent="0.25">
      <c r="A440" s="23" t="s">
        <v>588</v>
      </c>
      <c r="B440" s="23" t="s">
        <v>627</v>
      </c>
      <c r="C440" s="23" t="s">
        <v>162</v>
      </c>
      <c r="D440" s="23" t="s">
        <v>163</v>
      </c>
      <c r="E440" s="23" t="s">
        <v>275</v>
      </c>
      <c r="F440" s="23" t="s">
        <v>165</v>
      </c>
      <c r="G440" s="24" t="str">
        <f>A440&amp;"|"&amp;B440</f>
        <v>General Motors|Colorado Cabina Regular</v>
      </c>
    </row>
    <row r="441" ht="15" customHeight="1" spans="1:7" x14ac:dyDescent="0.25">
      <c r="A441" s="23" t="s">
        <v>588</v>
      </c>
      <c r="B441" s="23" t="s">
        <v>628</v>
      </c>
      <c r="C441" s="23" t="s">
        <v>162</v>
      </c>
      <c r="D441" s="23" t="s">
        <v>163</v>
      </c>
      <c r="E441" s="23" t="s">
        <v>275</v>
      </c>
      <c r="F441" s="23" t="s">
        <v>165</v>
      </c>
      <c r="G441" s="24" t="str">
        <f>A441&amp;"|"&amp;B441</f>
        <v>General Motors|Colorado Doble Cabina</v>
      </c>
    </row>
    <row r="442" ht="15" customHeight="1" spans="1:7" x14ac:dyDescent="0.25">
      <c r="A442" s="23" t="s">
        <v>588</v>
      </c>
      <c r="B442" s="23" t="s">
        <v>629</v>
      </c>
      <c r="C442" s="23" t="s">
        <v>271</v>
      </c>
      <c r="D442" s="23" t="s">
        <v>168</v>
      </c>
      <c r="E442" s="23" t="s">
        <v>272</v>
      </c>
      <c r="F442" s="23" t="s">
        <v>170</v>
      </c>
      <c r="G442" s="24" t="str">
        <f>A442&amp;"|"&amp;B442</f>
        <v>General Motors|Corsa 5 Ptas</v>
      </c>
    </row>
    <row r="443" ht="15" customHeight="1" spans="1:7" x14ac:dyDescent="0.25">
      <c r="A443" s="23" t="s">
        <v>588</v>
      </c>
      <c r="B443" s="23" t="s">
        <v>630</v>
      </c>
      <c r="C443" s="23" t="s">
        <v>271</v>
      </c>
      <c r="D443" s="23" t="s">
        <v>168</v>
      </c>
      <c r="E443" s="23" t="s">
        <v>272</v>
      </c>
      <c r="F443" s="23" t="s">
        <v>170</v>
      </c>
      <c r="G443" s="24" t="str">
        <f>A443&amp;"|"&amp;B443</f>
        <v>General Motors|Corsa Sedan 4 Ptas</v>
      </c>
    </row>
    <row r="444" ht="15" customHeight="1" spans="1:7" x14ac:dyDescent="0.25">
      <c r="A444" s="23" t="s">
        <v>588</v>
      </c>
      <c r="B444" s="23" t="s">
        <v>631</v>
      </c>
      <c r="C444" s="23" t="s">
        <v>174</v>
      </c>
      <c r="D444" s="23" t="s">
        <v>168</v>
      </c>
      <c r="E444" s="23" t="s">
        <v>175</v>
      </c>
      <c r="F444" s="23" t="s">
        <v>170</v>
      </c>
      <c r="G444" s="24" t="str">
        <f>A444&amp;"|"&amp;B444</f>
        <v>General Motors|Corvette</v>
      </c>
    </row>
    <row r="445" ht="15" customHeight="1" spans="1:7" x14ac:dyDescent="0.25">
      <c r="A445" s="23" t="s">
        <v>588</v>
      </c>
      <c r="B445" s="23" t="s">
        <v>632</v>
      </c>
      <c r="C445" s="23" t="s">
        <v>174</v>
      </c>
      <c r="D445" s="23" t="s">
        <v>168</v>
      </c>
      <c r="E445" s="23" t="s">
        <v>169</v>
      </c>
      <c r="F445" s="23" t="s">
        <v>170</v>
      </c>
      <c r="G445" s="24" t="str">
        <f>A445&amp;"|"&amp;B445</f>
        <v>General Motors|Corvette 2 Pts. Convertible</v>
      </c>
    </row>
    <row r="446" ht="15" customHeight="1" spans="1:7" x14ac:dyDescent="0.25">
      <c r="A446" s="23" t="s">
        <v>588</v>
      </c>
      <c r="B446" s="23" t="s">
        <v>633</v>
      </c>
      <c r="C446" s="23" t="s">
        <v>162</v>
      </c>
      <c r="D446" s="23" t="s">
        <v>168</v>
      </c>
      <c r="E446" s="23" t="s">
        <v>385</v>
      </c>
      <c r="F446" s="23" t="s">
        <v>170</v>
      </c>
      <c r="G446" s="24" t="str">
        <f>A446&amp;"|"&amp;B446</f>
        <v>General Motors|Cruze 4 Ptas</v>
      </c>
    </row>
    <row r="447" ht="15" customHeight="1" spans="1:7" x14ac:dyDescent="0.25">
      <c r="A447" s="23" t="s">
        <v>588</v>
      </c>
      <c r="B447" s="23" t="s">
        <v>634</v>
      </c>
      <c r="C447" s="23" t="s">
        <v>162</v>
      </c>
      <c r="D447" s="23" t="s">
        <v>168</v>
      </c>
      <c r="E447" s="23" t="s">
        <v>385</v>
      </c>
      <c r="F447" s="23" t="s">
        <v>170</v>
      </c>
      <c r="G447" s="24" t="str">
        <f>A447&amp;"|"&amp;B447</f>
        <v>General Motors|Cruze 4 PTAS-</v>
      </c>
    </row>
    <row r="448" ht="15" customHeight="1" spans="1:7" x14ac:dyDescent="0.25">
      <c r="A448" s="23" t="s">
        <v>588</v>
      </c>
      <c r="B448" s="23" t="s">
        <v>635</v>
      </c>
      <c r="C448" s="23" t="s">
        <v>162</v>
      </c>
      <c r="D448" s="23" t="s">
        <v>168</v>
      </c>
      <c r="E448" s="23" t="s">
        <v>385</v>
      </c>
      <c r="F448" s="23" t="s">
        <v>170</v>
      </c>
      <c r="G448" s="24" t="str">
        <f>A448&amp;"|"&amp;B448</f>
        <v>General Motors|Cruze 5 Ptas</v>
      </c>
    </row>
    <row r="449" ht="15" customHeight="1" spans="1:7" x14ac:dyDescent="0.25">
      <c r="A449" s="23" t="s">
        <v>588</v>
      </c>
      <c r="B449" s="23" t="s">
        <v>636</v>
      </c>
      <c r="C449" s="23" t="s">
        <v>167</v>
      </c>
      <c r="D449" s="23" t="s">
        <v>168</v>
      </c>
      <c r="E449" s="23" t="s">
        <v>169</v>
      </c>
      <c r="F449" s="23" t="s">
        <v>170</v>
      </c>
      <c r="G449" s="24" t="str">
        <f>A449&amp;"|"&amp;B449</f>
        <v>General Motors|Cts 2 Ptas</v>
      </c>
    </row>
    <row r="450" ht="15" customHeight="1" spans="1:7" x14ac:dyDescent="0.25">
      <c r="A450" s="23" t="s">
        <v>588</v>
      </c>
      <c r="B450" s="23" t="s">
        <v>637</v>
      </c>
      <c r="C450" s="23" t="s">
        <v>167</v>
      </c>
      <c r="D450" s="23" t="s">
        <v>168</v>
      </c>
      <c r="E450" s="23" t="s">
        <v>169</v>
      </c>
      <c r="F450" s="23" t="s">
        <v>170</v>
      </c>
      <c r="G450" s="24" t="str">
        <f>A450&amp;"|"&amp;B450</f>
        <v>General Motors|Cts 4 Ptas</v>
      </c>
    </row>
    <row r="451" ht="15" customHeight="1" spans="1:7" x14ac:dyDescent="0.25">
      <c r="A451" s="23" t="s">
        <v>588</v>
      </c>
      <c r="B451" s="23" t="s">
        <v>638</v>
      </c>
      <c r="C451" s="23" t="s">
        <v>167</v>
      </c>
      <c r="D451" s="23" t="s">
        <v>168</v>
      </c>
      <c r="E451" s="23" t="s">
        <v>169</v>
      </c>
      <c r="F451" s="23" t="s">
        <v>170</v>
      </c>
      <c r="G451" s="24" t="str">
        <f>A451&amp;"|"&amp;B451</f>
        <v>General Motors|De Ville 4 Ptas</v>
      </c>
    </row>
    <row r="452" ht="15" customHeight="1" spans="1:7" x14ac:dyDescent="0.25">
      <c r="A452" s="23" t="s">
        <v>588</v>
      </c>
      <c r="B452" s="23" t="s">
        <v>639</v>
      </c>
      <c r="C452" s="23" t="s">
        <v>162</v>
      </c>
      <c r="D452" s="23" t="s">
        <v>163</v>
      </c>
      <c r="E452" s="23" t="s">
        <v>164</v>
      </c>
      <c r="F452" s="23" t="s">
        <v>165</v>
      </c>
      <c r="G452" s="24" t="str">
        <f>A452&amp;"|"&amp;B452</f>
        <v>General Motors|Enclave</v>
      </c>
    </row>
    <row r="453" ht="15" customHeight="1" spans="1:7" x14ac:dyDescent="0.25">
      <c r="A453" s="23" t="s">
        <v>588</v>
      </c>
      <c r="B453" s="23" t="s">
        <v>640</v>
      </c>
      <c r="C453" s="23" t="s">
        <v>162</v>
      </c>
      <c r="D453" s="23" t="s">
        <v>163</v>
      </c>
      <c r="E453" s="23" t="s">
        <v>164</v>
      </c>
      <c r="F453" s="23" t="s">
        <v>165</v>
      </c>
      <c r="G453" s="24" t="str">
        <f>A453&amp;"|"&amp;B453</f>
        <v>General Motors|Encore</v>
      </c>
    </row>
    <row r="454" ht="15" customHeight="1" spans="1:7" x14ac:dyDescent="0.25">
      <c r="A454" s="23" t="s">
        <v>588</v>
      </c>
      <c r="B454" s="23" t="s">
        <v>641</v>
      </c>
      <c r="C454" s="23" t="s">
        <v>162</v>
      </c>
      <c r="D454" s="23" t="s">
        <v>163</v>
      </c>
      <c r="E454" s="23" t="s">
        <v>164</v>
      </c>
      <c r="F454" s="23" t="s">
        <v>165</v>
      </c>
      <c r="G454" s="24" t="str">
        <f>A454&amp;"|"&amp;B454</f>
        <v>General Motors|Envision SUV</v>
      </c>
    </row>
    <row r="455" ht="15" customHeight="1" spans="1:7" x14ac:dyDescent="0.25">
      <c r="A455" s="23" t="s">
        <v>588</v>
      </c>
      <c r="B455" s="23" t="s">
        <v>642</v>
      </c>
      <c r="C455" s="23" t="s">
        <v>162</v>
      </c>
      <c r="D455" s="23" t="s">
        <v>163</v>
      </c>
      <c r="E455" s="23" t="s">
        <v>164</v>
      </c>
      <c r="F455" s="23" t="s">
        <v>165</v>
      </c>
      <c r="G455" s="24" t="str">
        <f>A455&amp;"|"&amp;B455</f>
        <v>General Motors|Envista SUV</v>
      </c>
    </row>
    <row r="456" ht="15" customHeight="1" spans="1:7" x14ac:dyDescent="0.25">
      <c r="A456" s="23" t="s">
        <v>588</v>
      </c>
      <c r="B456" s="23" t="s">
        <v>643</v>
      </c>
      <c r="C456" s="23" t="s">
        <v>162</v>
      </c>
      <c r="D456" s="23" t="s">
        <v>168</v>
      </c>
      <c r="E456" s="23" t="s">
        <v>385</v>
      </c>
      <c r="F456" s="23" t="s">
        <v>170</v>
      </c>
      <c r="G456" s="24" t="str">
        <f>A456&amp;"|"&amp;B456</f>
        <v>General Motors|Epica</v>
      </c>
    </row>
    <row r="457" ht="15" customHeight="1" spans="1:7" x14ac:dyDescent="0.25">
      <c r="A457" s="23" t="s">
        <v>588</v>
      </c>
      <c r="B457" s="23" t="s">
        <v>644</v>
      </c>
      <c r="C457" s="23" t="s">
        <v>162</v>
      </c>
      <c r="D457" s="23" t="s">
        <v>163</v>
      </c>
      <c r="E457" s="23" t="s">
        <v>164</v>
      </c>
      <c r="F457" s="23" t="s">
        <v>165</v>
      </c>
      <c r="G457" s="24" t="str">
        <f>A457&amp;"|"&amp;B457</f>
        <v>General Motors|Equinox EV</v>
      </c>
    </row>
    <row r="458" ht="15" customHeight="1" spans="1:7" x14ac:dyDescent="0.25">
      <c r="A458" s="23" t="s">
        <v>588</v>
      </c>
      <c r="B458" s="23" t="s">
        <v>645</v>
      </c>
      <c r="C458" s="23" t="s">
        <v>162</v>
      </c>
      <c r="D458" s="23" t="s">
        <v>163</v>
      </c>
      <c r="E458" s="23" t="s">
        <v>164</v>
      </c>
      <c r="F458" s="23" t="s">
        <v>165</v>
      </c>
      <c r="G458" s="24" t="str">
        <f>A458&amp;"|"&amp;B458</f>
        <v>General Motors|Equinox Suv</v>
      </c>
    </row>
    <row r="459" ht="15" customHeight="1" spans="1:7" x14ac:dyDescent="0.25">
      <c r="A459" s="23" t="s">
        <v>588</v>
      </c>
      <c r="B459" s="23" t="s">
        <v>646</v>
      </c>
      <c r="C459" s="23" t="s">
        <v>162</v>
      </c>
      <c r="D459" s="23" t="s">
        <v>163</v>
      </c>
      <c r="E459" s="23" t="s">
        <v>164</v>
      </c>
      <c r="F459" s="23" t="s">
        <v>165</v>
      </c>
      <c r="G459" s="24" t="str">
        <f>A459&amp;"|"&amp;B459</f>
        <v>General Motors|Equinox SUV-</v>
      </c>
    </row>
    <row r="460" ht="15" customHeight="1" spans="1:7" x14ac:dyDescent="0.25">
      <c r="A460" s="23" t="s">
        <v>588</v>
      </c>
      <c r="B460" s="23" t="s">
        <v>647</v>
      </c>
      <c r="C460" s="23" t="s">
        <v>271</v>
      </c>
      <c r="D460" s="23" t="s">
        <v>163</v>
      </c>
      <c r="E460" s="23" t="s">
        <v>277</v>
      </c>
      <c r="F460" s="23" t="s">
        <v>165</v>
      </c>
      <c r="G460" s="24" t="str">
        <f>A460&amp;"|"&amp;B460</f>
        <v>General Motors|Escalade ESV SUV AWD</v>
      </c>
    </row>
    <row r="461" ht="15" customHeight="1" spans="1:7" x14ac:dyDescent="0.25">
      <c r="A461" s="23" t="s">
        <v>588</v>
      </c>
      <c r="B461" s="23" t="s">
        <v>648</v>
      </c>
      <c r="C461" s="23" t="s">
        <v>271</v>
      </c>
      <c r="D461" s="23" t="s">
        <v>163</v>
      </c>
      <c r="E461" s="23" t="s">
        <v>277</v>
      </c>
      <c r="F461" s="23" t="s">
        <v>165</v>
      </c>
      <c r="G461" s="24" t="str">
        <f>A461&amp;"|"&amp;B461</f>
        <v>General Motors|Escalade EXT UUV 4X4</v>
      </c>
    </row>
    <row r="462" ht="15" customHeight="1" spans="1:7" x14ac:dyDescent="0.25">
      <c r="A462" s="23" t="s">
        <v>588</v>
      </c>
      <c r="B462" s="23" t="s">
        <v>649</v>
      </c>
      <c r="C462" s="23" t="s">
        <v>162</v>
      </c>
      <c r="D462" s="23" t="s">
        <v>163</v>
      </c>
      <c r="E462" s="23" t="s">
        <v>164</v>
      </c>
      <c r="F462" s="23" t="s">
        <v>165</v>
      </c>
      <c r="G462" s="24" t="str">
        <f>A462&amp;"|"&amp;B462</f>
        <v>General Motors|Escalade IQ Suv</v>
      </c>
    </row>
    <row r="463" ht="15" customHeight="1" spans="1:7" x14ac:dyDescent="0.25">
      <c r="A463" s="23" t="s">
        <v>588</v>
      </c>
      <c r="B463" s="23" t="s">
        <v>650</v>
      </c>
      <c r="C463" s="23" t="s">
        <v>162</v>
      </c>
      <c r="D463" s="23" t="s">
        <v>163</v>
      </c>
      <c r="E463" s="23" t="s">
        <v>164</v>
      </c>
      <c r="F463" s="23" t="s">
        <v>165</v>
      </c>
      <c r="G463" s="24" t="str">
        <f>A463&amp;"|"&amp;B463</f>
        <v>General Motors|Escalade IQL Suv</v>
      </c>
    </row>
    <row r="464" ht="15" customHeight="1" spans="1:7" x14ac:dyDescent="0.25">
      <c r="A464" s="23" t="s">
        <v>588</v>
      </c>
      <c r="B464" s="23" t="s">
        <v>651</v>
      </c>
      <c r="C464" s="23" t="s">
        <v>271</v>
      </c>
      <c r="D464" s="23" t="s">
        <v>163</v>
      </c>
      <c r="E464" s="23" t="s">
        <v>277</v>
      </c>
      <c r="F464" s="23" t="s">
        <v>165</v>
      </c>
      <c r="G464" s="24" t="str">
        <f>A464&amp;"|"&amp;B464</f>
        <v>General Motors|Escalade Suv</v>
      </c>
    </row>
    <row r="465" ht="15" customHeight="1" spans="1:7" x14ac:dyDescent="0.25">
      <c r="A465" s="23" t="s">
        <v>588</v>
      </c>
      <c r="B465" s="23" t="s">
        <v>652</v>
      </c>
      <c r="C465" s="23" t="s">
        <v>271</v>
      </c>
      <c r="D465" s="23" t="s">
        <v>168</v>
      </c>
      <c r="E465" s="23" t="s">
        <v>272</v>
      </c>
      <c r="F465" s="23" t="s">
        <v>170</v>
      </c>
      <c r="G465" s="24" t="str">
        <f>A465&amp;"|"&amp;B465</f>
        <v>General Motors|G3 4 Ptas</v>
      </c>
    </row>
    <row r="466" ht="15" customHeight="1" spans="1:7" x14ac:dyDescent="0.25">
      <c r="A466" s="23" t="s">
        <v>588</v>
      </c>
      <c r="B466" s="23" t="s">
        <v>653</v>
      </c>
      <c r="C466" s="23" t="s">
        <v>271</v>
      </c>
      <c r="D466" s="23" t="s">
        <v>168</v>
      </c>
      <c r="E466" s="23" t="s">
        <v>272</v>
      </c>
      <c r="F466" s="23" t="s">
        <v>170</v>
      </c>
      <c r="G466" s="24" t="str">
        <f>A466&amp;"|"&amp;B466</f>
        <v>General Motors|G3 4 PTAS-</v>
      </c>
    </row>
    <row r="467" ht="15" customHeight="1" spans="1:7" x14ac:dyDescent="0.25">
      <c r="A467" s="23" t="s">
        <v>588</v>
      </c>
      <c r="B467" s="23" t="s">
        <v>654</v>
      </c>
      <c r="C467" s="23" t="s">
        <v>271</v>
      </c>
      <c r="D467" s="23" t="s">
        <v>168</v>
      </c>
      <c r="E467" s="23" t="s">
        <v>272</v>
      </c>
      <c r="F467" s="23" t="s">
        <v>170</v>
      </c>
      <c r="G467" s="24" t="str">
        <f>A467&amp;"|"&amp;B467</f>
        <v>General Motors|G3 5 PTAS-</v>
      </c>
    </row>
    <row r="468" ht="15" customHeight="1" spans="1:7" x14ac:dyDescent="0.25">
      <c r="A468" s="23" t="s">
        <v>588</v>
      </c>
      <c r="B468" s="23" t="s">
        <v>655</v>
      </c>
      <c r="C468" s="23" t="s">
        <v>162</v>
      </c>
      <c r="D468" s="23" t="s">
        <v>168</v>
      </c>
      <c r="E468" s="23" t="s">
        <v>385</v>
      </c>
      <c r="F468" s="23" t="s">
        <v>170</v>
      </c>
      <c r="G468" s="24" t="str">
        <f>A468&amp;"|"&amp;B468</f>
        <v>General Motors|G5 2 Ptas</v>
      </c>
    </row>
    <row r="469" ht="15" customHeight="1" spans="1:7" x14ac:dyDescent="0.25">
      <c r="A469" s="23" t="s">
        <v>588</v>
      </c>
      <c r="B469" s="23" t="s">
        <v>656</v>
      </c>
      <c r="C469" s="23" t="s">
        <v>162</v>
      </c>
      <c r="D469" s="23" t="s">
        <v>168</v>
      </c>
      <c r="E469" s="23" t="s">
        <v>385</v>
      </c>
      <c r="F469" s="23" t="s">
        <v>170</v>
      </c>
      <c r="G469" s="24" t="str">
        <f>A469&amp;"|"&amp;B469</f>
        <v>General Motors|G5 4 Ptas</v>
      </c>
    </row>
    <row r="470" ht="15" customHeight="1" spans="1:7" x14ac:dyDescent="0.25">
      <c r="A470" s="23" t="s">
        <v>588</v>
      </c>
      <c r="B470" s="23" t="s">
        <v>657</v>
      </c>
      <c r="C470" s="23" t="s">
        <v>162</v>
      </c>
      <c r="D470" s="23" t="s">
        <v>168</v>
      </c>
      <c r="E470" s="23" t="s">
        <v>385</v>
      </c>
      <c r="F470" s="23" t="s">
        <v>170</v>
      </c>
      <c r="G470" s="24" t="str">
        <f>A470&amp;"|"&amp;B470</f>
        <v>General Motors|G6 4 Ptas</v>
      </c>
    </row>
    <row r="471" ht="15" customHeight="1" spans="1:7" x14ac:dyDescent="0.25">
      <c r="A471" s="23" t="s">
        <v>588</v>
      </c>
      <c r="B471" s="23" t="s">
        <v>658</v>
      </c>
      <c r="C471" s="23" t="s">
        <v>162</v>
      </c>
      <c r="D471" s="23" t="s">
        <v>163</v>
      </c>
      <c r="E471" s="23" t="s">
        <v>275</v>
      </c>
      <c r="F471" s="23" t="s">
        <v>165</v>
      </c>
      <c r="G471" s="24" t="str">
        <f>A471&amp;"|"&amp;B471</f>
        <v>General Motors|GMC Sierra Cabina Regular</v>
      </c>
    </row>
    <row r="472" ht="15" customHeight="1" spans="1:7" x14ac:dyDescent="0.25">
      <c r="A472" s="23" t="s">
        <v>588</v>
      </c>
      <c r="B472" s="23" t="s">
        <v>659</v>
      </c>
      <c r="C472" s="23" t="s">
        <v>162</v>
      </c>
      <c r="D472" s="23" t="s">
        <v>163</v>
      </c>
      <c r="E472" s="23" t="s">
        <v>275</v>
      </c>
      <c r="F472" s="23" t="s">
        <v>165</v>
      </c>
      <c r="G472" s="24" t="str">
        <f>A472&amp;"|"&amp;B472</f>
        <v>General Motors|GMC Sierra Doble Cabina</v>
      </c>
    </row>
    <row r="473" ht="15" customHeight="1" spans="1:7" x14ac:dyDescent="0.25">
      <c r="A473" s="23" t="s">
        <v>588</v>
      </c>
      <c r="B473" s="23" t="s">
        <v>660</v>
      </c>
      <c r="C473" s="23" t="s">
        <v>162</v>
      </c>
      <c r="D473" s="23" t="s">
        <v>168</v>
      </c>
      <c r="E473" s="23" t="s">
        <v>385</v>
      </c>
      <c r="F473" s="23" t="s">
        <v>170</v>
      </c>
      <c r="G473" s="24" t="str">
        <f>A473&amp;"|"&amp;B473</f>
        <v>General Motors|Grand Am 4 Ptas</v>
      </c>
    </row>
    <row r="474" ht="15" customHeight="1" spans="1:7" x14ac:dyDescent="0.25">
      <c r="A474" s="23" t="s">
        <v>588</v>
      </c>
      <c r="B474" s="23" t="s">
        <v>661</v>
      </c>
      <c r="C474" s="23" t="s">
        <v>162</v>
      </c>
      <c r="D474" s="23" t="s">
        <v>163</v>
      </c>
      <c r="E474" s="23" t="s">
        <v>164</v>
      </c>
      <c r="F474" s="23" t="s">
        <v>165</v>
      </c>
      <c r="G474" s="24" t="str">
        <f>A474&amp;"|"&amp;B474</f>
        <v>General Motors|Groove SUV</v>
      </c>
    </row>
    <row r="475" ht="15" customHeight="1" spans="1:7" x14ac:dyDescent="0.25">
      <c r="A475" s="23" t="s">
        <v>588</v>
      </c>
      <c r="B475" s="23" t="s">
        <v>662</v>
      </c>
      <c r="C475" s="23" t="s">
        <v>271</v>
      </c>
      <c r="D475" s="23" t="s">
        <v>163</v>
      </c>
      <c r="E475" s="23" t="s">
        <v>277</v>
      </c>
      <c r="F475" s="23" t="s">
        <v>165</v>
      </c>
      <c r="G475" s="24" t="str">
        <f>A475&amp;"|"&amp;B475</f>
        <v>General Motors|H2 Sut</v>
      </c>
    </row>
    <row r="476" ht="15" customHeight="1" spans="1:7" x14ac:dyDescent="0.25">
      <c r="A476" s="23" t="s">
        <v>588</v>
      </c>
      <c r="B476" s="23" t="s">
        <v>663</v>
      </c>
      <c r="C476" s="23" t="s">
        <v>271</v>
      </c>
      <c r="D476" s="23" t="s">
        <v>163</v>
      </c>
      <c r="E476" s="23" t="s">
        <v>277</v>
      </c>
      <c r="F476" s="23" t="s">
        <v>165</v>
      </c>
      <c r="G476" s="24" t="str">
        <f>A476&amp;"|"&amp;B476</f>
        <v>General Motors|H2 Suv</v>
      </c>
    </row>
    <row r="477" ht="15" customHeight="1" spans="1:7" x14ac:dyDescent="0.25">
      <c r="A477" s="23" t="s">
        <v>588</v>
      </c>
      <c r="B477" s="23" t="s">
        <v>664</v>
      </c>
      <c r="C477" s="23" t="s">
        <v>162</v>
      </c>
      <c r="D477" s="23" t="s">
        <v>163</v>
      </c>
      <c r="E477" s="23" t="s">
        <v>164</v>
      </c>
      <c r="F477" s="23" t="s">
        <v>165</v>
      </c>
      <c r="G477" s="24" t="str">
        <f>A477&amp;"|"&amp;B477</f>
        <v>General Motors|H3 Suv</v>
      </c>
    </row>
    <row r="478" ht="15" customHeight="1" spans="1:7" x14ac:dyDescent="0.25">
      <c r="A478" s="23" t="s">
        <v>588</v>
      </c>
      <c r="B478" s="23" t="s">
        <v>665</v>
      </c>
      <c r="C478" s="23" t="s">
        <v>162</v>
      </c>
      <c r="D478" s="23" t="s">
        <v>163</v>
      </c>
      <c r="E478" s="23" t="s">
        <v>164</v>
      </c>
      <c r="F478" s="23" t="s">
        <v>165</v>
      </c>
      <c r="G478" s="24" t="str">
        <f>A478&amp;"|"&amp;B478</f>
        <v>General Motors|H3 T</v>
      </c>
    </row>
    <row r="479" ht="15" customHeight="1" spans="1:7" x14ac:dyDescent="0.25">
      <c r="A479" s="23" t="s">
        <v>588</v>
      </c>
      <c r="B479" s="23" t="s">
        <v>666</v>
      </c>
      <c r="C479" s="23" t="s">
        <v>162</v>
      </c>
      <c r="D479" s="23" t="s">
        <v>168</v>
      </c>
      <c r="E479" s="23" t="s">
        <v>385</v>
      </c>
      <c r="F479" s="23" t="s">
        <v>170</v>
      </c>
      <c r="G479" s="24" t="str">
        <f>A479&amp;"|"&amp;B479</f>
        <v>General Motors|HHR 5 PTAS</v>
      </c>
    </row>
    <row r="480" ht="15" customHeight="1" spans="1:7" x14ac:dyDescent="0.25">
      <c r="A480" s="23" t="s">
        <v>588</v>
      </c>
      <c r="B480" s="23" t="s">
        <v>667</v>
      </c>
      <c r="C480" s="23" t="s">
        <v>162</v>
      </c>
      <c r="D480" s="23" t="s">
        <v>163</v>
      </c>
      <c r="E480" s="23" t="s">
        <v>275</v>
      </c>
      <c r="F480" s="23" t="s">
        <v>165</v>
      </c>
      <c r="G480" s="24" t="str">
        <f>A480&amp;"|"&amp;B480</f>
        <v>General Motors|Hummer EV Pickup</v>
      </c>
    </row>
    <row r="481" ht="15" customHeight="1" spans="1:7" x14ac:dyDescent="0.25">
      <c r="A481" s="23" t="s">
        <v>588</v>
      </c>
      <c r="B481" s="23" t="s">
        <v>668</v>
      </c>
      <c r="C481" s="23" t="s">
        <v>162</v>
      </c>
      <c r="D481" s="23" t="s">
        <v>163</v>
      </c>
      <c r="E481" s="23" t="s">
        <v>164</v>
      </c>
      <c r="F481" s="23" t="s">
        <v>165</v>
      </c>
      <c r="G481" s="24" t="str">
        <f>A481&amp;"|"&amp;B481</f>
        <v>General Motors|Hummer EV SUV</v>
      </c>
    </row>
    <row r="482" ht="15" customHeight="1" spans="1:7" x14ac:dyDescent="0.25">
      <c r="A482" s="23" t="s">
        <v>588</v>
      </c>
      <c r="B482" s="23" t="s">
        <v>669</v>
      </c>
      <c r="C482" s="23" t="s">
        <v>167</v>
      </c>
      <c r="D482" s="23" t="s">
        <v>168</v>
      </c>
      <c r="E482" s="23" t="s">
        <v>169</v>
      </c>
      <c r="F482" s="23" t="s">
        <v>170</v>
      </c>
      <c r="G482" s="24" t="str">
        <f>A482&amp;"|"&amp;B482</f>
        <v>General Motors|Impala</v>
      </c>
    </row>
    <row r="483" ht="15" customHeight="1" spans="1:7" x14ac:dyDescent="0.25">
      <c r="A483" s="23" t="s">
        <v>588</v>
      </c>
      <c r="B483" s="23" t="s">
        <v>670</v>
      </c>
      <c r="C483" s="23" t="s">
        <v>162</v>
      </c>
      <c r="D483" s="23" t="s">
        <v>163</v>
      </c>
      <c r="E483" s="23" t="s">
        <v>275</v>
      </c>
      <c r="F483" s="23" t="s">
        <v>165</v>
      </c>
      <c r="G483" s="24" t="str">
        <f>A483&amp;"|"&amp;B483</f>
        <v>General Motors|Kodiak Chassis Cab Class 6 PBV23,900</v>
      </c>
    </row>
    <row r="484" ht="15" customHeight="1" spans="1:7" x14ac:dyDescent="0.25">
      <c r="A484" s="23" t="s">
        <v>588</v>
      </c>
      <c r="B484" s="23" t="s">
        <v>671</v>
      </c>
      <c r="C484" s="23" t="s">
        <v>162</v>
      </c>
      <c r="D484" s="23" t="s">
        <v>163</v>
      </c>
      <c r="E484" s="23" t="s">
        <v>275</v>
      </c>
      <c r="F484" s="23" t="s">
        <v>165</v>
      </c>
      <c r="G484" s="24" t="str">
        <f>A484&amp;"|"&amp;B484</f>
        <v>General Motors|Kodiak Chassis Cab Class 7 PBV33,000</v>
      </c>
    </row>
    <row r="485" ht="15" customHeight="1" spans="1:7" x14ac:dyDescent="0.25">
      <c r="A485" s="23" t="s">
        <v>588</v>
      </c>
      <c r="B485" s="23" t="s">
        <v>672</v>
      </c>
      <c r="C485" s="23" t="s">
        <v>162</v>
      </c>
      <c r="D485" s="23" t="s">
        <v>163</v>
      </c>
      <c r="E485" s="23" t="s">
        <v>275</v>
      </c>
      <c r="F485" s="23" t="s">
        <v>165</v>
      </c>
      <c r="G485" s="24" t="str">
        <f>A485&amp;"|"&amp;B485</f>
        <v>General Motors|Kodiak Chassis Cab Class 8 PBV36,000</v>
      </c>
    </row>
    <row r="486" ht="15" customHeight="1" spans="1:7" x14ac:dyDescent="0.25">
      <c r="A486" s="23" t="s">
        <v>588</v>
      </c>
      <c r="B486" s="23" t="s">
        <v>673</v>
      </c>
      <c r="C486" s="23" t="s">
        <v>167</v>
      </c>
      <c r="D486" s="23" t="s">
        <v>168</v>
      </c>
      <c r="E486" s="23" t="s">
        <v>169</v>
      </c>
      <c r="F486" s="23" t="s">
        <v>170</v>
      </c>
      <c r="G486" s="24" t="str">
        <f>A486&amp;"|"&amp;B486</f>
        <v>General Motors|Lacrosse</v>
      </c>
    </row>
    <row r="487" ht="15" customHeight="1" spans="1:7" x14ac:dyDescent="0.25">
      <c r="A487" s="23" t="s">
        <v>588</v>
      </c>
      <c r="B487" s="23" t="s">
        <v>674</v>
      </c>
      <c r="C487" s="23" t="s">
        <v>162</v>
      </c>
      <c r="D487" s="23" t="s">
        <v>163</v>
      </c>
      <c r="E487" s="23" t="s">
        <v>275</v>
      </c>
      <c r="F487" s="23" t="s">
        <v>165</v>
      </c>
      <c r="G487" s="24" t="str">
        <f>A487&amp;"|"&amp;B487</f>
        <v>General Motors|Luv Cabina Regular</v>
      </c>
    </row>
    <row r="488" ht="15" customHeight="1" spans="1:7" x14ac:dyDescent="0.25">
      <c r="A488" s="23" t="s">
        <v>588</v>
      </c>
      <c r="B488" s="23" t="s">
        <v>675</v>
      </c>
      <c r="C488" s="23" t="s">
        <v>162</v>
      </c>
      <c r="D488" s="23" t="s">
        <v>163</v>
      </c>
      <c r="E488" s="23" t="s">
        <v>275</v>
      </c>
      <c r="F488" s="23" t="s">
        <v>165</v>
      </c>
      <c r="G488" s="24" t="str">
        <f>A488&amp;"|"&amp;B488</f>
        <v>General Motors|Luv Chasis Cabina</v>
      </c>
    </row>
    <row r="489" ht="15" customHeight="1" spans="1:7" x14ac:dyDescent="0.25">
      <c r="A489" s="23" t="s">
        <v>588</v>
      </c>
      <c r="B489" s="23" t="s">
        <v>676</v>
      </c>
      <c r="C489" s="23" t="s">
        <v>162</v>
      </c>
      <c r="D489" s="23" t="s">
        <v>163</v>
      </c>
      <c r="E489" s="23" t="s">
        <v>275</v>
      </c>
      <c r="F489" s="23" t="s">
        <v>165</v>
      </c>
      <c r="G489" s="24" t="str">
        <f>A489&amp;"|"&amp;B489</f>
        <v>General Motors|Luv Doble Cabina</v>
      </c>
    </row>
    <row r="490" ht="15" customHeight="1" spans="1:7" x14ac:dyDescent="0.25">
      <c r="A490" s="23" t="s">
        <v>588</v>
      </c>
      <c r="B490" s="23" t="s">
        <v>677</v>
      </c>
      <c r="C490" s="23" t="s">
        <v>162</v>
      </c>
      <c r="D490" s="23" t="s">
        <v>163</v>
      </c>
      <c r="E490" s="23" t="s">
        <v>164</v>
      </c>
      <c r="F490" s="23" t="s">
        <v>165</v>
      </c>
      <c r="G490" s="24" t="str">
        <f>A490&amp;"|"&amp;B490</f>
        <v>General Motors|Lyriq SUV</v>
      </c>
    </row>
    <row r="491" ht="15" customHeight="1" spans="1:7" x14ac:dyDescent="0.25">
      <c r="A491" s="23" t="s">
        <v>588</v>
      </c>
      <c r="B491" s="23" t="s">
        <v>678</v>
      </c>
      <c r="C491" s="23" t="s">
        <v>162</v>
      </c>
      <c r="D491" s="23" t="s">
        <v>168</v>
      </c>
      <c r="E491" s="23" t="s">
        <v>385</v>
      </c>
      <c r="F491" s="23" t="s">
        <v>170</v>
      </c>
      <c r="G491" s="24" t="str">
        <f>A491&amp;"|"&amp;B491</f>
        <v>General Motors|Malibu 4 Ptas</v>
      </c>
    </row>
    <row r="492" ht="15" customHeight="1" spans="1:7" x14ac:dyDescent="0.25">
      <c r="A492" s="23" t="s">
        <v>588</v>
      </c>
      <c r="B492" s="23" t="s">
        <v>679</v>
      </c>
      <c r="C492" s="23" t="s">
        <v>271</v>
      </c>
      <c r="D492" s="23" t="s">
        <v>168</v>
      </c>
      <c r="E492" s="23" t="s">
        <v>272</v>
      </c>
      <c r="F492" s="23" t="s">
        <v>170</v>
      </c>
      <c r="G492" s="24" t="str">
        <f>A492&amp;"|"&amp;B492</f>
        <v>General Motors|Matiz 5 Ptas</v>
      </c>
    </row>
    <row r="493" ht="15" customHeight="1" spans="1:7" x14ac:dyDescent="0.25">
      <c r="A493" s="23" t="s">
        <v>588</v>
      </c>
      <c r="B493" s="23" t="s">
        <v>680</v>
      </c>
      <c r="C493" s="23" t="s">
        <v>162</v>
      </c>
      <c r="D493" s="23" t="s">
        <v>168</v>
      </c>
      <c r="E493" s="23" t="s">
        <v>385</v>
      </c>
      <c r="F493" s="23" t="s">
        <v>170</v>
      </c>
      <c r="G493" s="24" t="str">
        <f>A493&amp;"|"&amp;B493</f>
        <v>General Motors|Meriva Monocab</v>
      </c>
    </row>
    <row r="494" ht="15" customHeight="1" spans="1:7" x14ac:dyDescent="0.25">
      <c r="A494" s="23" t="s">
        <v>588</v>
      </c>
      <c r="B494" s="23" t="s">
        <v>681</v>
      </c>
      <c r="C494" s="23" t="s">
        <v>162</v>
      </c>
      <c r="D494" s="23" t="s">
        <v>163</v>
      </c>
      <c r="E494" s="23" t="s">
        <v>275</v>
      </c>
      <c r="F494" s="23" t="s">
        <v>165</v>
      </c>
      <c r="G494" s="24" t="str">
        <f>A494&amp;"|"&amp;B494</f>
        <v>General Motors|Montana Crew Cab</v>
      </c>
    </row>
    <row r="495" ht="15" customHeight="1" spans="1:7" x14ac:dyDescent="0.25">
      <c r="A495" s="23" t="s">
        <v>588</v>
      </c>
      <c r="B495" s="23" t="s">
        <v>682</v>
      </c>
      <c r="C495" s="23" t="s">
        <v>271</v>
      </c>
      <c r="D495" s="23" t="s">
        <v>163</v>
      </c>
      <c r="E495" s="23" t="s">
        <v>277</v>
      </c>
      <c r="F495" s="23" t="s">
        <v>165</v>
      </c>
      <c r="G495" s="24" t="str">
        <f>A495&amp;"|"&amp;B495</f>
        <v>General Motors|Montana Sv6 Van</v>
      </c>
    </row>
    <row r="496" ht="15" customHeight="1" spans="1:7" x14ac:dyDescent="0.25">
      <c r="A496" s="23" t="s">
        <v>588</v>
      </c>
      <c r="B496" s="23" t="s">
        <v>683</v>
      </c>
      <c r="C496" s="23" t="s">
        <v>162</v>
      </c>
      <c r="D496" s="23" t="s">
        <v>168</v>
      </c>
      <c r="E496" s="23" t="s">
        <v>385</v>
      </c>
      <c r="F496" s="23" t="s">
        <v>170</v>
      </c>
      <c r="G496" s="24" t="str">
        <f>A496&amp;"|"&amp;B496</f>
        <v>General Motors|Onix</v>
      </c>
    </row>
    <row r="497" ht="15" customHeight="1" spans="1:7" x14ac:dyDescent="0.25">
      <c r="A497" s="23" t="s">
        <v>588</v>
      </c>
      <c r="B497" s="23" t="s">
        <v>684</v>
      </c>
      <c r="C497" s="23" t="s">
        <v>162</v>
      </c>
      <c r="D497" s="23" t="s">
        <v>163</v>
      </c>
      <c r="E497" s="23" t="s">
        <v>164</v>
      </c>
      <c r="F497" s="23" t="s">
        <v>165</v>
      </c>
      <c r="G497" s="24" t="str">
        <f>A497&amp;"|"&amp;B497</f>
        <v>General Motors|Optiq</v>
      </c>
    </row>
    <row r="498" ht="15" customHeight="1" spans="1:7" x14ac:dyDescent="0.25">
      <c r="A498" s="23" t="s">
        <v>588</v>
      </c>
      <c r="B498" s="23" t="s">
        <v>685</v>
      </c>
      <c r="C498" s="23" t="s">
        <v>162</v>
      </c>
      <c r="D498" s="23" t="s">
        <v>168</v>
      </c>
      <c r="E498" s="23" t="s">
        <v>385</v>
      </c>
      <c r="F498" s="23" t="s">
        <v>170</v>
      </c>
      <c r="G498" s="24" t="str">
        <f>A498&amp;"|"&amp;B498</f>
        <v>General Motors|Optra</v>
      </c>
    </row>
    <row r="499" ht="15" customHeight="1" spans="1:7" x14ac:dyDescent="0.25">
      <c r="A499" s="23" t="s">
        <v>588</v>
      </c>
      <c r="B499" s="23" t="s">
        <v>686</v>
      </c>
      <c r="C499" s="23" t="s">
        <v>162</v>
      </c>
      <c r="D499" s="23" t="s">
        <v>163</v>
      </c>
      <c r="E499" s="23" t="s">
        <v>275</v>
      </c>
      <c r="F499" s="23" t="s">
        <v>165</v>
      </c>
      <c r="G499" s="24" t="str">
        <f>A499&amp;"|"&amp;B499</f>
        <v>General Motors|P-30 Fwd Control Chassis</v>
      </c>
    </row>
    <row r="500" ht="15" customHeight="1" spans="1:7" x14ac:dyDescent="0.25">
      <c r="A500" s="23" t="s">
        <v>588</v>
      </c>
      <c r="B500" s="23" t="s">
        <v>687</v>
      </c>
      <c r="C500" s="23" t="s">
        <v>271</v>
      </c>
      <c r="D500" s="23" t="s">
        <v>168</v>
      </c>
      <c r="E500" s="23" t="s">
        <v>272</v>
      </c>
      <c r="F500" s="23" t="s">
        <v>170</v>
      </c>
      <c r="G500" s="24" t="str">
        <f>A500&amp;"|"&amp;B500</f>
        <v>General Motors|Palio 4 Ptas</v>
      </c>
    </row>
    <row r="501" ht="15" customHeight="1" spans="1:7" x14ac:dyDescent="0.25">
      <c r="A501" s="23" t="s">
        <v>588</v>
      </c>
      <c r="B501" s="23" t="s">
        <v>688</v>
      </c>
      <c r="C501" s="23" t="s">
        <v>271</v>
      </c>
      <c r="D501" s="23" t="s">
        <v>168</v>
      </c>
      <c r="E501" s="23" t="s">
        <v>272</v>
      </c>
      <c r="F501" s="23" t="s">
        <v>170</v>
      </c>
      <c r="G501" s="24" t="str">
        <f>A501&amp;"|"&amp;B501</f>
        <v>General Motors|Palio 5 Ptas</v>
      </c>
    </row>
    <row r="502" ht="15" customHeight="1" spans="1:7" x14ac:dyDescent="0.25">
      <c r="A502" s="23" t="s">
        <v>588</v>
      </c>
      <c r="B502" s="23" t="s">
        <v>689</v>
      </c>
      <c r="C502" s="23" t="s">
        <v>271</v>
      </c>
      <c r="D502" s="23" t="s">
        <v>168</v>
      </c>
      <c r="E502" s="23" t="s">
        <v>272</v>
      </c>
      <c r="F502" s="23" t="s">
        <v>170</v>
      </c>
      <c r="G502" s="24" t="str">
        <f>A502&amp;"|"&amp;B502</f>
        <v>General Motors|Palio Adventurer</v>
      </c>
    </row>
    <row r="503" ht="15" customHeight="1" spans="1:7" x14ac:dyDescent="0.25">
      <c r="A503" s="23" t="s">
        <v>588</v>
      </c>
      <c r="B503" s="23" t="s">
        <v>690</v>
      </c>
      <c r="C503" s="23" t="s">
        <v>162</v>
      </c>
      <c r="D503" s="23" t="s">
        <v>163</v>
      </c>
      <c r="E503" s="23" t="s">
        <v>164</v>
      </c>
      <c r="F503" s="23" t="s">
        <v>165</v>
      </c>
      <c r="G503" s="24" t="str">
        <f>A503&amp;"|"&amp;B503</f>
        <v>General Motors|Pontiac Torrent Suv</v>
      </c>
    </row>
    <row r="504" ht="15" customHeight="1" spans="1:7" x14ac:dyDescent="0.25">
      <c r="A504" s="23" t="s">
        <v>588</v>
      </c>
      <c r="B504" s="23" t="s">
        <v>691</v>
      </c>
      <c r="C504" s="23" t="s">
        <v>167</v>
      </c>
      <c r="D504" s="23" t="s">
        <v>168</v>
      </c>
      <c r="E504" s="23" t="s">
        <v>169</v>
      </c>
      <c r="F504" s="23" t="s">
        <v>170</v>
      </c>
      <c r="G504" s="24" t="str">
        <f>A504&amp;"|"&amp;B504</f>
        <v>General Motors|Regal</v>
      </c>
    </row>
    <row r="505" ht="15" customHeight="1" spans="1:7" x14ac:dyDescent="0.25">
      <c r="A505" s="23" t="s">
        <v>588</v>
      </c>
      <c r="B505" s="23" t="s">
        <v>692</v>
      </c>
      <c r="C505" s="23" t="s">
        <v>162</v>
      </c>
      <c r="D505" s="23" t="s">
        <v>163</v>
      </c>
      <c r="E505" s="23" t="s">
        <v>275</v>
      </c>
      <c r="F505" s="23" t="s">
        <v>165</v>
      </c>
      <c r="G505" s="24" t="str">
        <f>A505&amp;"|"&amp;B505</f>
        <v>General Motors|S10</v>
      </c>
    </row>
    <row r="506" ht="15" customHeight="1" spans="1:7" x14ac:dyDescent="0.25">
      <c r="A506" s="23" t="s">
        <v>588</v>
      </c>
      <c r="B506" s="23" t="s">
        <v>693</v>
      </c>
      <c r="C506" s="23" t="s">
        <v>162</v>
      </c>
      <c r="D506" s="23" t="s">
        <v>163</v>
      </c>
      <c r="E506" s="23" t="s">
        <v>275</v>
      </c>
      <c r="F506" s="23" t="s">
        <v>165</v>
      </c>
      <c r="G506" s="24" t="str">
        <f>A506&amp;"|"&amp;B506</f>
        <v>General Motors|S10 Max Cabina Regular</v>
      </c>
    </row>
    <row r="507" ht="15" customHeight="1" spans="1:7" x14ac:dyDescent="0.25">
      <c r="A507" s="23" t="s">
        <v>588</v>
      </c>
      <c r="B507" s="23" t="s">
        <v>694</v>
      </c>
      <c r="C507" s="23" t="s">
        <v>162</v>
      </c>
      <c r="D507" s="23" t="s">
        <v>163</v>
      </c>
      <c r="E507" s="23" t="s">
        <v>275</v>
      </c>
      <c r="F507" s="23" t="s">
        <v>165</v>
      </c>
      <c r="G507" s="24" t="str">
        <f>A507&amp;"|"&amp;B507</f>
        <v>General Motors|S10 Max Chassis</v>
      </c>
    </row>
    <row r="508" ht="15" customHeight="1" spans="1:7" x14ac:dyDescent="0.25">
      <c r="A508" s="23" t="s">
        <v>588</v>
      </c>
      <c r="B508" s="23" t="s">
        <v>695</v>
      </c>
      <c r="C508" s="23" t="s">
        <v>162</v>
      </c>
      <c r="D508" s="23" t="s">
        <v>163</v>
      </c>
      <c r="E508" s="23" t="s">
        <v>275</v>
      </c>
      <c r="F508" s="23" t="s">
        <v>165</v>
      </c>
      <c r="G508" s="24" t="str">
        <f>A508&amp;"|"&amp;B508</f>
        <v>General Motors|S10 Max Doble Cabina</v>
      </c>
    </row>
    <row r="509" ht="15" customHeight="1" spans="1:7" x14ac:dyDescent="0.25">
      <c r="A509" s="23" t="s">
        <v>588</v>
      </c>
      <c r="B509" s="23" t="s">
        <v>696</v>
      </c>
      <c r="C509" s="23" t="s">
        <v>162</v>
      </c>
      <c r="D509" s="23" t="s">
        <v>163</v>
      </c>
      <c r="E509" s="23" t="s">
        <v>275</v>
      </c>
      <c r="F509" s="23" t="s">
        <v>165</v>
      </c>
      <c r="G509" s="24" t="str">
        <f>A509&amp;"|"&amp;B509</f>
        <v>General Motors|Sierra Cabina Regular</v>
      </c>
    </row>
    <row r="510" ht="15" customHeight="1" spans="1:7" x14ac:dyDescent="0.25">
      <c r="A510" s="23" t="s">
        <v>588</v>
      </c>
      <c r="B510" s="23" t="s">
        <v>697</v>
      </c>
      <c r="C510" s="23" t="s">
        <v>162</v>
      </c>
      <c r="D510" s="23" t="s">
        <v>163</v>
      </c>
      <c r="E510" s="23" t="s">
        <v>275</v>
      </c>
      <c r="F510" s="23" t="s">
        <v>165</v>
      </c>
      <c r="G510" s="24" t="str">
        <f>A510&amp;"|"&amp;B510</f>
        <v>General Motors|Sierra Doble Cabina</v>
      </c>
    </row>
    <row r="511" ht="15" customHeight="1" spans="1:7" x14ac:dyDescent="0.25">
      <c r="A511" s="23" t="s">
        <v>588</v>
      </c>
      <c r="B511" s="23" t="s">
        <v>698</v>
      </c>
      <c r="C511" s="23" t="s">
        <v>162</v>
      </c>
      <c r="D511" s="23" t="s">
        <v>163</v>
      </c>
      <c r="E511" s="23" t="s">
        <v>275</v>
      </c>
      <c r="F511" s="23" t="s">
        <v>165</v>
      </c>
      <c r="G511" s="24" t="str">
        <f>A511&amp;"|"&amp;B511</f>
        <v>General Motors|Silverado 1500 Cabina Regular</v>
      </c>
    </row>
    <row r="512" ht="15" customHeight="1" spans="1:7" x14ac:dyDescent="0.25">
      <c r="A512" s="23" t="s">
        <v>588</v>
      </c>
      <c r="B512" s="23" t="s">
        <v>699</v>
      </c>
      <c r="C512" s="23" t="s">
        <v>162</v>
      </c>
      <c r="D512" s="23" t="s">
        <v>163</v>
      </c>
      <c r="E512" s="23" t="s">
        <v>275</v>
      </c>
      <c r="F512" s="23" t="s">
        <v>165</v>
      </c>
      <c r="G512" s="24" t="str">
        <f>A512&amp;"|"&amp;B512</f>
        <v>General Motors|Silverado 1500 Cabina Regular-</v>
      </c>
    </row>
    <row r="513" ht="15" customHeight="1" spans="1:7" x14ac:dyDescent="0.25">
      <c r="A513" s="23" t="s">
        <v>588</v>
      </c>
      <c r="B513" s="23" t="s">
        <v>700</v>
      </c>
      <c r="C513" s="23" t="s">
        <v>162</v>
      </c>
      <c r="D513" s="23" t="s">
        <v>163</v>
      </c>
      <c r="E513" s="23" t="s">
        <v>275</v>
      </c>
      <c r="F513" s="23" t="s">
        <v>165</v>
      </c>
      <c r="G513" s="24" t="str">
        <f>A513&amp;"|"&amp;B513</f>
        <v>General Motors|Silverado 2500 Cabina Extendida</v>
      </c>
    </row>
    <row r="514" ht="15" customHeight="1" spans="1:7" x14ac:dyDescent="0.25">
      <c r="A514" s="23" t="s">
        <v>588</v>
      </c>
      <c r="B514" s="23" t="s">
        <v>701</v>
      </c>
      <c r="C514" s="23" t="s">
        <v>162</v>
      </c>
      <c r="D514" s="23" t="s">
        <v>163</v>
      </c>
      <c r="E514" s="23" t="s">
        <v>275</v>
      </c>
      <c r="F514" s="23" t="s">
        <v>165</v>
      </c>
      <c r="G514" s="24" t="str">
        <f>A514&amp;"|"&amp;B514</f>
        <v>General Motors|Silverado 2500 Cabina Regular</v>
      </c>
    </row>
    <row r="515" ht="15" customHeight="1" spans="1:7" x14ac:dyDescent="0.25">
      <c r="A515" s="23" t="s">
        <v>588</v>
      </c>
      <c r="B515" s="23" t="s">
        <v>702</v>
      </c>
      <c r="C515" s="23" t="s">
        <v>162</v>
      </c>
      <c r="D515" s="23" t="s">
        <v>163</v>
      </c>
      <c r="E515" s="23" t="s">
        <v>275</v>
      </c>
      <c r="F515" s="23" t="s">
        <v>165</v>
      </c>
      <c r="G515" s="24" t="str">
        <f>A515&amp;"|"&amp;B515</f>
        <v>General Motors|Silverado 2500 Cabina Regular-</v>
      </c>
    </row>
    <row r="516" ht="15" customHeight="1" spans="1:7" x14ac:dyDescent="0.25">
      <c r="A516" s="23" t="s">
        <v>588</v>
      </c>
      <c r="B516" s="23" t="s">
        <v>703</v>
      </c>
      <c r="C516" s="23" t="s">
        <v>162</v>
      </c>
      <c r="D516" s="23" t="s">
        <v>163</v>
      </c>
      <c r="E516" s="23" t="s">
        <v>275</v>
      </c>
      <c r="F516" s="23" t="s">
        <v>165</v>
      </c>
      <c r="G516" s="24" t="str">
        <f>A516&amp;"|"&amp;B516</f>
        <v>General Motors|Silverado 2500 Cheyenne Crew Cab 4x4</v>
      </c>
    </row>
    <row r="517" ht="15" customHeight="1" spans="1:7" x14ac:dyDescent="0.25">
      <c r="A517" s="23" t="s">
        <v>588</v>
      </c>
      <c r="B517" s="23" t="s">
        <v>704</v>
      </c>
      <c r="C517" s="23" t="s">
        <v>162</v>
      </c>
      <c r="D517" s="23" t="s">
        <v>163</v>
      </c>
      <c r="E517" s="23" t="s">
        <v>275</v>
      </c>
      <c r="F517" s="23" t="s">
        <v>165</v>
      </c>
      <c r="G517" s="24" t="str">
        <f>A517&amp;"|"&amp;B517</f>
        <v>General Motors|Silverado 2500 Doble Cabina</v>
      </c>
    </row>
    <row r="518" ht="15" customHeight="1" spans="1:7" x14ac:dyDescent="0.25">
      <c r="A518" s="23" t="s">
        <v>588</v>
      </c>
      <c r="B518" s="23" t="s">
        <v>705</v>
      </c>
      <c r="C518" s="23" t="s">
        <v>162</v>
      </c>
      <c r="D518" s="23" t="s">
        <v>163</v>
      </c>
      <c r="E518" s="23" t="s">
        <v>275</v>
      </c>
      <c r="F518" s="23" t="s">
        <v>165</v>
      </c>
      <c r="G518" s="24" t="str">
        <f>A518&amp;"|"&amp;B518</f>
        <v>General Motors|Silverado 2500 Doble Cabina-</v>
      </c>
    </row>
    <row r="519" ht="15" customHeight="1" spans="1:7" x14ac:dyDescent="0.25">
      <c r="A519" s="23" t="s">
        <v>588</v>
      </c>
      <c r="B519" s="23" t="s">
        <v>706</v>
      </c>
      <c r="C519" s="23" t="s">
        <v>162</v>
      </c>
      <c r="D519" s="23" t="s">
        <v>163</v>
      </c>
      <c r="E519" s="23" t="s">
        <v>275</v>
      </c>
      <c r="F519" s="23" t="s">
        <v>165</v>
      </c>
      <c r="G519" s="24" t="str">
        <f>A519&amp;"|"&amp;B519</f>
        <v>General Motors|Silverado 3500 Chassis Cab</v>
      </c>
    </row>
    <row r="520" ht="15" customHeight="1" spans="1:7" x14ac:dyDescent="0.25">
      <c r="A520" s="23" t="s">
        <v>588</v>
      </c>
      <c r="B520" s="23" t="s">
        <v>707</v>
      </c>
      <c r="C520" s="23" t="s">
        <v>162</v>
      </c>
      <c r="D520" s="23" t="s">
        <v>163</v>
      </c>
      <c r="E520" s="23" t="s">
        <v>275</v>
      </c>
      <c r="F520" s="23" t="s">
        <v>165</v>
      </c>
      <c r="G520" s="24" t="str">
        <f>A520&amp;"|"&amp;B520</f>
        <v>General Motors|Silverado 3500 HD Chassis Cab Heavy Duty</v>
      </c>
    </row>
    <row r="521" ht="15" customHeight="1" spans="1:7" x14ac:dyDescent="0.25">
      <c r="A521" s="23" t="s">
        <v>588</v>
      </c>
      <c r="B521" s="23" t="s">
        <v>708</v>
      </c>
      <c r="C521" s="23" t="s">
        <v>162</v>
      </c>
      <c r="D521" s="23" t="s">
        <v>163</v>
      </c>
      <c r="E521" s="23" t="s">
        <v>275</v>
      </c>
      <c r="F521" s="23" t="s">
        <v>165</v>
      </c>
      <c r="G521" s="24" t="str">
        <f>A521&amp;"|"&amp;B521</f>
        <v>General Motors|Silverado Cabina Regular</v>
      </c>
    </row>
    <row r="522" ht="15" customHeight="1" spans="1:7" x14ac:dyDescent="0.25">
      <c r="A522" s="23" t="s">
        <v>588</v>
      </c>
      <c r="B522" s="23" t="s">
        <v>709</v>
      </c>
      <c r="C522" s="23" t="s">
        <v>162</v>
      </c>
      <c r="D522" s="23" t="s">
        <v>163</v>
      </c>
      <c r="E522" s="23" t="s">
        <v>275</v>
      </c>
      <c r="F522" s="23" t="s">
        <v>165</v>
      </c>
      <c r="G522" s="24" t="str">
        <f>A522&amp;"|"&amp;B522</f>
        <v>General Motors|Silverado Doble Cabina</v>
      </c>
    </row>
    <row r="523" ht="15" customHeight="1" spans="1:7" x14ac:dyDescent="0.25">
      <c r="A523" s="23" t="s">
        <v>588</v>
      </c>
      <c r="B523" s="23" t="s">
        <v>710</v>
      </c>
      <c r="C523" s="23" t="s">
        <v>167</v>
      </c>
      <c r="D523" s="23" t="s">
        <v>168</v>
      </c>
      <c r="E523" s="23" t="s">
        <v>175</v>
      </c>
      <c r="F523" s="23" t="s">
        <v>170</v>
      </c>
      <c r="G523" s="24" t="str">
        <f>A523&amp;"|"&amp;B523</f>
        <v>General Motors|Solstice 2 Ptas</v>
      </c>
    </row>
    <row r="524" ht="15" customHeight="1" spans="1:7" x14ac:dyDescent="0.25">
      <c r="A524" s="23" t="s">
        <v>588</v>
      </c>
      <c r="B524" s="23" t="s">
        <v>711</v>
      </c>
      <c r="C524" s="23" t="s">
        <v>271</v>
      </c>
      <c r="D524" s="23" t="s">
        <v>168</v>
      </c>
      <c r="E524" s="23" t="s">
        <v>272</v>
      </c>
      <c r="F524" s="23" t="s">
        <v>170</v>
      </c>
      <c r="G524" s="24" t="str">
        <f>A524&amp;"|"&amp;B524</f>
        <v>General Motors|Sonic</v>
      </c>
    </row>
    <row r="525" ht="15" customHeight="1" spans="1:7" x14ac:dyDescent="0.25">
      <c r="A525" s="23" t="s">
        <v>588</v>
      </c>
      <c r="B525" s="23" t="s">
        <v>712</v>
      </c>
      <c r="C525" s="23" t="s">
        <v>271</v>
      </c>
      <c r="D525" s="23" t="s">
        <v>168</v>
      </c>
      <c r="E525" s="23" t="s">
        <v>272</v>
      </c>
      <c r="F525" s="23" t="s">
        <v>170</v>
      </c>
      <c r="G525" s="24" t="str">
        <f>A525&amp;"|"&amp;B525</f>
        <v>General Motors|Sonic 5 PTS</v>
      </c>
    </row>
    <row r="526" ht="15" customHeight="1" spans="1:7" x14ac:dyDescent="0.25">
      <c r="A526" s="23" t="s">
        <v>588</v>
      </c>
      <c r="B526" s="23" t="s">
        <v>713</v>
      </c>
      <c r="C526" s="23" t="s">
        <v>271</v>
      </c>
      <c r="D526" s="23" t="s">
        <v>168</v>
      </c>
      <c r="E526" s="23" t="s">
        <v>272</v>
      </c>
      <c r="F526" s="23" t="s">
        <v>170</v>
      </c>
      <c r="G526" s="24" t="str">
        <f>A526&amp;"|"&amp;B526</f>
        <v>General Motors|Sonic 5 PTS-</v>
      </c>
    </row>
    <row r="527" ht="15" customHeight="1" spans="1:7" x14ac:dyDescent="0.25">
      <c r="A527" s="23" t="s">
        <v>588</v>
      </c>
      <c r="B527" s="23" t="s">
        <v>714</v>
      </c>
      <c r="C527" s="23" t="s">
        <v>271</v>
      </c>
      <c r="D527" s="23" t="s">
        <v>168</v>
      </c>
      <c r="E527" s="23" t="s">
        <v>272</v>
      </c>
      <c r="F527" s="23" t="s">
        <v>170</v>
      </c>
      <c r="G527" s="24" t="str">
        <f>A527&amp;"|"&amp;B527</f>
        <v>General Motors|Sonic-</v>
      </c>
    </row>
    <row r="528" ht="15" customHeight="1" spans="1:7" x14ac:dyDescent="0.25">
      <c r="A528" s="23" t="s">
        <v>588</v>
      </c>
      <c r="B528" s="23" t="s">
        <v>715</v>
      </c>
      <c r="C528" s="23" t="s">
        <v>162</v>
      </c>
      <c r="D528" s="23" t="s">
        <v>163</v>
      </c>
      <c r="E528" s="23" t="s">
        <v>164</v>
      </c>
      <c r="F528" s="23" t="s">
        <v>165</v>
      </c>
      <c r="G528" s="24" t="str">
        <f>A528&amp;"|"&amp;B528</f>
        <v>General Motors|Sonora Suv</v>
      </c>
    </row>
    <row r="529" ht="15" customHeight="1" spans="1:7" x14ac:dyDescent="0.25">
      <c r="A529" s="23" t="s">
        <v>588</v>
      </c>
      <c r="B529" s="23" t="s">
        <v>716</v>
      </c>
      <c r="C529" s="23" t="s">
        <v>271</v>
      </c>
      <c r="D529" s="23" t="s">
        <v>168</v>
      </c>
      <c r="E529" s="23" t="s">
        <v>272</v>
      </c>
      <c r="F529" s="23" t="s">
        <v>170</v>
      </c>
      <c r="G529" s="24" t="str">
        <f>A529&amp;"|"&amp;B529</f>
        <v>General Motors|Spark</v>
      </c>
    </row>
    <row r="530" ht="15" customHeight="1" spans="1:7" x14ac:dyDescent="0.25">
      <c r="A530" s="23" t="s">
        <v>588</v>
      </c>
      <c r="B530" s="23" t="s">
        <v>717</v>
      </c>
      <c r="C530" s="23" t="s">
        <v>162</v>
      </c>
      <c r="D530" s="23" t="s">
        <v>163</v>
      </c>
      <c r="E530" s="23" t="s">
        <v>164</v>
      </c>
      <c r="F530" s="23" t="s">
        <v>165</v>
      </c>
      <c r="G530" s="24" t="str">
        <f>A530&amp;"|"&amp;B530</f>
        <v>General Motors|Spark EUV 4 dr.</v>
      </c>
    </row>
    <row r="531" ht="15" customHeight="1" spans="1:7" x14ac:dyDescent="0.25">
      <c r="A531" s="23" t="s">
        <v>588</v>
      </c>
      <c r="B531" s="23" t="s">
        <v>718</v>
      </c>
      <c r="C531" s="23" t="s">
        <v>271</v>
      </c>
      <c r="D531" s="23" t="s">
        <v>168</v>
      </c>
      <c r="E531" s="23" t="s">
        <v>272</v>
      </c>
      <c r="F531" s="23" t="s">
        <v>170</v>
      </c>
      <c r="G531" s="24" t="str">
        <f>A531&amp;"|"&amp;B531</f>
        <v>General Motors|Spark EV 5 Ptas.</v>
      </c>
    </row>
    <row r="532" ht="15" customHeight="1" spans="1:7" x14ac:dyDescent="0.25">
      <c r="A532" s="23" t="s">
        <v>588</v>
      </c>
      <c r="B532" s="23" t="s">
        <v>719</v>
      </c>
      <c r="C532" s="23" t="s">
        <v>271</v>
      </c>
      <c r="D532" s="23" t="s">
        <v>168</v>
      </c>
      <c r="E532" s="23" t="s">
        <v>272</v>
      </c>
      <c r="F532" s="23" t="s">
        <v>170</v>
      </c>
      <c r="G532" s="24" t="str">
        <f>A532&amp;"|"&amp;B532</f>
        <v>General Motors|Spark NG</v>
      </c>
    </row>
    <row r="533" ht="15" customHeight="1" spans="1:7" x14ac:dyDescent="0.25">
      <c r="A533" s="23" t="s">
        <v>588</v>
      </c>
      <c r="B533" s="23" t="s">
        <v>720</v>
      </c>
      <c r="C533" s="23" t="s">
        <v>162</v>
      </c>
      <c r="D533" s="23" t="s">
        <v>163</v>
      </c>
      <c r="E533" s="23" t="s">
        <v>164</v>
      </c>
      <c r="F533" s="23" t="s">
        <v>165</v>
      </c>
      <c r="G533" s="24" t="str">
        <f>A533&amp;"|"&amp;B533</f>
        <v>General Motors|Srx Suv</v>
      </c>
    </row>
    <row r="534" ht="15" customHeight="1" spans="1:7" x14ac:dyDescent="0.25">
      <c r="A534" s="23" t="s">
        <v>588</v>
      </c>
      <c r="B534" s="23" t="s">
        <v>721</v>
      </c>
      <c r="C534" s="23" t="s">
        <v>162</v>
      </c>
      <c r="D534" s="23" t="s">
        <v>163</v>
      </c>
      <c r="E534" s="23" t="s">
        <v>164</v>
      </c>
      <c r="F534" s="23" t="s">
        <v>165</v>
      </c>
      <c r="G534" s="24" t="str">
        <f>A534&amp;"|"&amp;B534</f>
        <v>General Motors|SRX SUV-</v>
      </c>
    </row>
    <row r="535" ht="15" customHeight="1" spans="1:7" x14ac:dyDescent="0.25">
      <c r="A535" s="23" t="s">
        <v>588</v>
      </c>
      <c r="B535" s="23" t="s">
        <v>722</v>
      </c>
      <c r="C535" s="23" t="s">
        <v>167</v>
      </c>
      <c r="D535" s="23" t="s">
        <v>168</v>
      </c>
      <c r="E535" s="23" t="s">
        <v>169</v>
      </c>
      <c r="F535" s="23" t="s">
        <v>170</v>
      </c>
      <c r="G535" s="24" t="str">
        <f>A535&amp;"|"&amp;B535</f>
        <v>General Motors|Sts 4 Ptas</v>
      </c>
    </row>
    <row r="536" ht="15" customHeight="1" spans="1:7" x14ac:dyDescent="0.25">
      <c r="A536" s="23" t="s">
        <v>588</v>
      </c>
      <c r="B536" s="23" t="s">
        <v>723</v>
      </c>
      <c r="C536" s="23" t="s">
        <v>162</v>
      </c>
      <c r="D536" s="23" t="s">
        <v>163</v>
      </c>
      <c r="E536" s="23" t="s">
        <v>164</v>
      </c>
      <c r="F536" s="23" t="s">
        <v>165</v>
      </c>
      <c r="G536" s="24" t="str">
        <f>A536&amp;"|"&amp;B536</f>
        <v>General Motors|Suburban Suv</v>
      </c>
    </row>
    <row r="537" ht="15" customHeight="1" spans="1:7" x14ac:dyDescent="0.25">
      <c r="A537" s="23" t="s">
        <v>588</v>
      </c>
      <c r="B537" s="23" t="s">
        <v>724</v>
      </c>
      <c r="C537" s="23" t="s">
        <v>162</v>
      </c>
      <c r="D537" s="23" t="s">
        <v>163</v>
      </c>
      <c r="E537" s="23" t="s">
        <v>164</v>
      </c>
      <c r="F537" s="23" t="s">
        <v>165</v>
      </c>
      <c r="G537" s="24" t="str">
        <f>A537&amp;"|"&amp;B537</f>
        <v>General Motors|Suburban SUV-</v>
      </c>
    </row>
    <row r="538" ht="15" customHeight="1" spans="1:7" x14ac:dyDescent="0.25">
      <c r="A538" s="23" t="s">
        <v>588</v>
      </c>
      <c r="B538" s="23" t="s">
        <v>725</v>
      </c>
      <c r="C538" s="23" t="s">
        <v>162</v>
      </c>
      <c r="D538" s="23" t="s">
        <v>168</v>
      </c>
      <c r="E538" s="23" t="s">
        <v>385</v>
      </c>
      <c r="F538" s="23" t="s">
        <v>170</v>
      </c>
      <c r="G538" s="24" t="str">
        <f>A538&amp;"|"&amp;B538</f>
        <v>General Motors|Sunfire 4 Ptas</v>
      </c>
    </row>
    <row r="539" ht="15" customHeight="1" spans="1:7" x14ac:dyDescent="0.25">
      <c r="A539" s="23" t="s">
        <v>588</v>
      </c>
      <c r="B539" s="23" t="s">
        <v>726</v>
      </c>
      <c r="C539" s="23" t="s">
        <v>162</v>
      </c>
      <c r="D539" s="23" t="s">
        <v>168</v>
      </c>
      <c r="E539" s="23" t="s">
        <v>385</v>
      </c>
      <c r="F539" s="23" t="s">
        <v>170</v>
      </c>
      <c r="G539" s="24" t="str">
        <f>A539&amp;"|"&amp;B539</f>
        <v>General Motors|Sunfire GT 2 Ptas</v>
      </c>
    </row>
    <row r="540" ht="15" customHeight="1" spans="1:7" x14ac:dyDescent="0.25">
      <c r="A540" s="23" t="s">
        <v>588</v>
      </c>
      <c r="B540" s="23" t="s">
        <v>727</v>
      </c>
      <c r="C540" s="23" t="s">
        <v>162</v>
      </c>
      <c r="D540" s="23" t="s">
        <v>163</v>
      </c>
      <c r="E540" s="23" t="s">
        <v>164</v>
      </c>
      <c r="F540" s="23" t="s">
        <v>165</v>
      </c>
      <c r="G540" s="24" t="str">
        <f>A540&amp;"|"&amp;B540</f>
        <v>General Motors|Tahoe</v>
      </c>
    </row>
    <row r="541" ht="15" customHeight="1" spans="1:7" x14ac:dyDescent="0.25">
      <c r="A541" s="23" t="s">
        <v>588</v>
      </c>
      <c r="B541" s="23" t="s">
        <v>728</v>
      </c>
      <c r="C541" s="23" t="s">
        <v>162</v>
      </c>
      <c r="D541" s="23" t="s">
        <v>163</v>
      </c>
      <c r="E541" s="23" t="s">
        <v>164</v>
      </c>
      <c r="F541" s="23" t="s">
        <v>165</v>
      </c>
      <c r="G541" s="24" t="str">
        <f>A541&amp;"|"&amp;B541</f>
        <v>General Motors|Terrain Suv</v>
      </c>
    </row>
    <row r="542" ht="15" customHeight="1" spans="1:7" x14ac:dyDescent="0.25">
      <c r="A542" s="23" t="s">
        <v>588</v>
      </c>
      <c r="B542" s="23" t="s">
        <v>729</v>
      </c>
      <c r="C542" s="23" t="s">
        <v>162</v>
      </c>
      <c r="D542" s="23" t="s">
        <v>163</v>
      </c>
      <c r="E542" s="23" t="s">
        <v>164</v>
      </c>
      <c r="F542" s="23" t="s">
        <v>165</v>
      </c>
      <c r="G542" s="24" t="str">
        <f>A542&amp;"|"&amp;B542</f>
        <v>General Motors|Terrain SUV-</v>
      </c>
    </row>
    <row r="543" ht="15" customHeight="1" spans="1:7" x14ac:dyDescent="0.25">
      <c r="A543" s="23" t="s">
        <v>588</v>
      </c>
      <c r="B543" s="23" t="s">
        <v>730</v>
      </c>
      <c r="C543" s="23" t="s">
        <v>162</v>
      </c>
      <c r="D543" s="23" t="s">
        <v>163</v>
      </c>
      <c r="E543" s="23" t="s">
        <v>275</v>
      </c>
      <c r="F543" s="23" t="s">
        <v>165</v>
      </c>
      <c r="G543" s="24" t="str">
        <f>A543&amp;"|"&amp;B543</f>
        <v>General Motors|Tornado Pickup</v>
      </c>
    </row>
    <row r="544" ht="15" customHeight="1" spans="1:7" x14ac:dyDescent="0.25">
      <c r="A544" s="23" t="s">
        <v>588</v>
      </c>
      <c r="B544" s="23" t="s">
        <v>731</v>
      </c>
      <c r="C544" s="23" t="s">
        <v>271</v>
      </c>
      <c r="D544" s="23" t="s">
        <v>163</v>
      </c>
      <c r="E544" s="23" t="s">
        <v>277</v>
      </c>
      <c r="F544" s="23" t="s">
        <v>165</v>
      </c>
      <c r="G544" s="24" t="str">
        <f>A544&amp;"|"&amp;B544</f>
        <v>General Motors|Tornado Van</v>
      </c>
    </row>
    <row r="545" ht="15" customHeight="1" spans="1:7" x14ac:dyDescent="0.25">
      <c r="A545" s="23" t="s">
        <v>588</v>
      </c>
      <c r="B545" s="23" t="s">
        <v>732</v>
      </c>
      <c r="C545" s="23" t="s">
        <v>162</v>
      </c>
      <c r="D545" s="23" t="s">
        <v>163</v>
      </c>
      <c r="E545" s="23" t="s">
        <v>164</v>
      </c>
      <c r="F545" s="23" t="s">
        <v>165</v>
      </c>
      <c r="G545" s="24" t="str">
        <f>A545&amp;"|"&amp;B545</f>
        <v>General Motors|Tracker</v>
      </c>
    </row>
    <row r="546" ht="15" customHeight="1" spans="1:7" x14ac:dyDescent="0.25">
      <c r="A546" s="23" t="s">
        <v>588</v>
      </c>
      <c r="B546" s="23" t="s">
        <v>733</v>
      </c>
      <c r="C546" s="23" t="s">
        <v>162</v>
      </c>
      <c r="D546" s="23" t="s">
        <v>163</v>
      </c>
      <c r="E546" s="23" t="s">
        <v>164</v>
      </c>
      <c r="F546" s="23" t="s">
        <v>165</v>
      </c>
      <c r="G546" s="24" t="str">
        <f>A546&amp;"|"&amp;B546</f>
        <v>General Motors|Tracker Suv</v>
      </c>
    </row>
    <row r="547" ht="15" customHeight="1" spans="1:7" x14ac:dyDescent="0.25">
      <c r="A547" s="23" t="s">
        <v>588</v>
      </c>
      <c r="B547" s="23" t="s">
        <v>734</v>
      </c>
      <c r="C547" s="23" t="s">
        <v>162</v>
      </c>
      <c r="D547" s="23" t="s">
        <v>163</v>
      </c>
      <c r="E547" s="23" t="s">
        <v>164</v>
      </c>
      <c r="F547" s="23" t="s">
        <v>165</v>
      </c>
      <c r="G547" s="24" t="str">
        <f>A547&amp;"|"&amp;B547</f>
        <v>General Motors|Trailblazer Suv</v>
      </c>
    </row>
    <row r="548" ht="15" customHeight="1" spans="1:7" x14ac:dyDescent="0.25">
      <c r="A548" s="23" t="s">
        <v>588</v>
      </c>
      <c r="B548" s="23" t="s">
        <v>735</v>
      </c>
      <c r="C548" s="23" t="s">
        <v>162</v>
      </c>
      <c r="D548" s="23" t="s">
        <v>163</v>
      </c>
      <c r="E548" s="23" t="s">
        <v>164</v>
      </c>
      <c r="F548" s="23" t="s">
        <v>165</v>
      </c>
      <c r="G548" s="24" t="str">
        <f>A548&amp;"|"&amp;B548</f>
        <v>General Motors|Traverse Suv</v>
      </c>
    </row>
    <row r="549" ht="15" customHeight="1" spans="1:7" x14ac:dyDescent="0.25">
      <c r="A549" s="23" t="s">
        <v>588</v>
      </c>
      <c r="B549" s="23" t="s">
        <v>736</v>
      </c>
      <c r="C549" s="23" t="s">
        <v>162</v>
      </c>
      <c r="D549" s="23" t="s">
        <v>163</v>
      </c>
      <c r="E549" s="23" t="s">
        <v>164</v>
      </c>
      <c r="F549" s="23" t="s">
        <v>165</v>
      </c>
      <c r="G549" s="24" t="str">
        <f>A549&amp;"|"&amp;B549</f>
        <v>General Motors|Trax</v>
      </c>
    </row>
    <row r="550" ht="15" customHeight="1" spans="1:7" x14ac:dyDescent="0.25">
      <c r="A550" s="23" t="s">
        <v>588</v>
      </c>
      <c r="B550" s="23" t="s">
        <v>737</v>
      </c>
      <c r="C550" s="23" t="s">
        <v>271</v>
      </c>
      <c r="D550" s="23" t="s">
        <v>163</v>
      </c>
      <c r="E550" s="23" t="s">
        <v>277</v>
      </c>
      <c r="F550" s="23" t="s">
        <v>165</v>
      </c>
      <c r="G550" s="24" t="str">
        <f>A550&amp;"|"&amp;B550</f>
        <v>General Motors|Uplander Van</v>
      </c>
    </row>
    <row r="551" ht="15" customHeight="1" spans="1:7" x14ac:dyDescent="0.25">
      <c r="A551" s="23" t="s">
        <v>588</v>
      </c>
      <c r="B551" s="23" t="s">
        <v>738</v>
      </c>
      <c r="C551" s="23" t="s">
        <v>162</v>
      </c>
      <c r="D551" s="23" t="s">
        <v>168</v>
      </c>
      <c r="E551" s="23" t="s">
        <v>385</v>
      </c>
      <c r="F551" s="23" t="s">
        <v>170</v>
      </c>
      <c r="G551" s="24" t="str">
        <f>A551&amp;"|"&amp;B551</f>
        <v>General Motors|Vectra 4 Ptas</v>
      </c>
    </row>
    <row r="552" ht="15" customHeight="1" spans="1:7" x14ac:dyDescent="0.25">
      <c r="A552" s="23" t="s">
        <v>588</v>
      </c>
      <c r="B552" s="23" t="s">
        <v>739</v>
      </c>
      <c r="C552" s="23" t="s">
        <v>271</v>
      </c>
      <c r="D552" s="23" t="s">
        <v>163</v>
      </c>
      <c r="E552" s="23" t="s">
        <v>277</v>
      </c>
      <c r="F552" s="23" t="s">
        <v>165</v>
      </c>
      <c r="G552" s="24" t="str">
        <f>A552&amp;"|"&amp;B552</f>
        <v>General Motors|Venture Van</v>
      </c>
    </row>
    <row r="553" ht="15" customHeight="1" spans="1:7" x14ac:dyDescent="0.25">
      <c r="A553" s="23" t="s">
        <v>588</v>
      </c>
      <c r="B553" s="23" t="s">
        <v>740</v>
      </c>
      <c r="C553" s="23" t="s">
        <v>167</v>
      </c>
      <c r="D553" s="23" t="s">
        <v>168</v>
      </c>
      <c r="E553" s="23" t="s">
        <v>169</v>
      </c>
      <c r="F553" s="23" t="s">
        <v>170</v>
      </c>
      <c r="G553" s="24" t="str">
        <f>A553&amp;"|"&amp;B553</f>
        <v>General Motors|Verano</v>
      </c>
    </row>
    <row r="554" ht="15" customHeight="1" spans="1:7" x14ac:dyDescent="0.25">
      <c r="A554" s="23" t="s">
        <v>588</v>
      </c>
      <c r="B554" s="23" t="s">
        <v>741</v>
      </c>
      <c r="C554" s="23" t="s">
        <v>271</v>
      </c>
      <c r="D554" s="23" t="s">
        <v>168</v>
      </c>
      <c r="E554" s="23" t="s">
        <v>272</v>
      </c>
      <c r="F554" s="23" t="s">
        <v>170</v>
      </c>
      <c r="G554" s="24" t="str">
        <f>A554&amp;"|"&amp;B554</f>
        <v>General Motors|Volt 4 Ptas.</v>
      </c>
    </row>
    <row r="555" ht="15" customHeight="1" spans="1:7" x14ac:dyDescent="0.25">
      <c r="A555" s="23" t="s">
        <v>588</v>
      </c>
      <c r="B555" s="23" t="s">
        <v>742</v>
      </c>
      <c r="C555" s="23" t="s">
        <v>167</v>
      </c>
      <c r="D555" s="23" t="s">
        <v>168</v>
      </c>
      <c r="E555" s="23" t="s">
        <v>175</v>
      </c>
      <c r="F555" s="23" t="s">
        <v>170</v>
      </c>
      <c r="G555" s="24" t="str">
        <f>A555&amp;"|"&amp;B555</f>
        <v>General Motors|Xlr 2 Ptas</v>
      </c>
    </row>
    <row r="556" ht="15" customHeight="1" spans="1:7" x14ac:dyDescent="0.25">
      <c r="A556" s="23" t="s">
        <v>588</v>
      </c>
      <c r="B556" s="23" t="s">
        <v>743</v>
      </c>
      <c r="C556" s="23" t="s">
        <v>162</v>
      </c>
      <c r="D556" s="23" t="s">
        <v>163</v>
      </c>
      <c r="E556" s="23" t="s">
        <v>164</v>
      </c>
      <c r="F556" s="23" t="s">
        <v>165</v>
      </c>
      <c r="G556" s="24" t="str">
        <f>A556&amp;"|"&amp;B556</f>
        <v>General Motors|Xt4 Suv</v>
      </c>
    </row>
    <row r="557" ht="15" customHeight="1" spans="1:7" x14ac:dyDescent="0.25">
      <c r="A557" s="23" t="s">
        <v>588</v>
      </c>
      <c r="B557" s="23" t="s">
        <v>744</v>
      </c>
      <c r="C557" s="23" t="s">
        <v>162</v>
      </c>
      <c r="D557" s="23" t="s">
        <v>163</v>
      </c>
      <c r="E557" s="23" t="s">
        <v>164</v>
      </c>
      <c r="F557" s="23" t="s">
        <v>165</v>
      </c>
      <c r="G557" s="24" t="str">
        <f>A557&amp;"|"&amp;B557</f>
        <v>General Motors|XT5 SUV</v>
      </c>
    </row>
    <row r="558" ht="15" customHeight="1" spans="1:7" x14ac:dyDescent="0.25">
      <c r="A558" s="23" t="s">
        <v>588</v>
      </c>
      <c r="B558" s="23" t="s">
        <v>745</v>
      </c>
      <c r="C558" s="23" t="s">
        <v>162</v>
      </c>
      <c r="D558" s="23" t="s">
        <v>163</v>
      </c>
      <c r="E558" s="23" t="s">
        <v>164</v>
      </c>
      <c r="F558" s="23" t="s">
        <v>165</v>
      </c>
      <c r="G558" s="24" t="str">
        <f>A558&amp;"|"&amp;B558</f>
        <v>General Motors|Yukon Suv</v>
      </c>
    </row>
    <row r="559" ht="15" customHeight="1" spans="1:7" x14ac:dyDescent="0.25">
      <c r="A559" s="23" t="s">
        <v>588</v>
      </c>
      <c r="B559" s="23" t="s">
        <v>746</v>
      </c>
      <c r="C559" s="23" t="s">
        <v>162</v>
      </c>
      <c r="D559" s="23" t="s">
        <v>163</v>
      </c>
      <c r="E559" s="23" t="s">
        <v>164</v>
      </c>
      <c r="F559" s="23" t="s">
        <v>165</v>
      </c>
      <c r="G559" s="24" t="str">
        <f>A559&amp;"|"&amp;B559</f>
        <v>General Motors|Yukon XL</v>
      </c>
    </row>
    <row r="560" ht="15" customHeight="1" spans="1:7" x14ac:dyDescent="0.25">
      <c r="A560" s="23" t="s">
        <v>588</v>
      </c>
      <c r="B560" s="23" t="s">
        <v>747</v>
      </c>
      <c r="C560" s="23" t="s">
        <v>162</v>
      </c>
      <c r="D560" s="23" t="s">
        <v>168</v>
      </c>
      <c r="E560" s="23" t="s">
        <v>385</v>
      </c>
      <c r="F560" s="23" t="s">
        <v>170</v>
      </c>
      <c r="G560" s="24" t="str">
        <f>A560&amp;"|"&amp;B560</f>
        <v>General Motors|Zafira Monocab</v>
      </c>
    </row>
    <row r="561" ht="15" customHeight="1" spans="1:7" x14ac:dyDescent="0.25">
      <c r="A561" s="23" t="s">
        <v>748</v>
      </c>
      <c r="B561" s="23" t="s">
        <v>749</v>
      </c>
      <c r="C561" s="23" t="s">
        <v>162</v>
      </c>
      <c r="D561" s="23" t="s">
        <v>163</v>
      </c>
      <c r="E561" s="23" t="s">
        <v>164</v>
      </c>
      <c r="F561" s="23" t="s">
        <v>165</v>
      </c>
      <c r="G561" s="24" t="str">
        <f>A561&amp;"|"&amp;B561</f>
        <v>Great Wall Motor|HAVAL H6</v>
      </c>
    </row>
    <row r="562" ht="15" customHeight="1" spans="1:7" x14ac:dyDescent="0.25">
      <c r="A562" s="23" t="s">
        <v>748</v>
      </c>
      <c r="B562" s="23" t="s">
        <v>750</v>
      </c>
      <c r="C562" s="23" t="s">
        <v>162</v>
      </c>
      <c r="D562" s="23" t="s">
        <v>163</v>
      </c>
      <c r="E562" s="23" t="s">
        <v>164</v>
      </c>
      <c r="F562" s="23" t="s">
        <v>165</v>
      </c>
      <c r="G562" s="24" t="str">
        <f>A562&amp;"|"&amp;B562</f>
        <v>Great Wall Motor|HAVAL Jolion</v>
      </c>
    </row>
    <row r="563" ht="15" customHeight="1" spans="1:7" x14ac:dyDescent="0.25">
      <c r="A563" s="23" t="s">
        <v>748</v>
      </c>
      <c r="B563" s="23" t="s">
        <v>751</v>
      </c>
      <c r="C563" s="23" t="s">
        <v>271</v>
      </c>
      <c r="D563" s="23" t="s">
        <v>168</v>
      </c>
      <c r="E563" s="23" t="s">
        <v>272</v>
      </c>
      <c r="F563" s="23" t="s">
        <v>170</v>
      </c>
      <c r="G563" s="24" t="str">
        <f>A563&amp;"|"&amp;B563</f>
        <v>Great Wall Motor|ORA 03</v>
      </c>
    </row>
    <row r="564" ht="15" customHeight="1" spans="1:7" x14ac:dyDescent="0.25">
      <c r="A564" s="23" t="s">
        <v>748</v>
      </c>
      <c r="B564" s="23" t="s">
        <v>752</v>
      </c>
      <c r="C564" s="23" t="s">
        <v>162</v>
      </c>
      <c r="D564" s="23" t="s">
        <v>163</v>
      </c>
      <c r="E564" s="23" t="s">
        <v>164</v>
      </c>
      <c r="F564" s="23" t="s">
        <v>165</v>
      </c>
      <c r="G564" s="24" t="str">
        <f>A564&amp;"|"&amp;B564</f>
        <v>Great Wall Motor|Ora 5</v>
      </c>
    </row>
    <row r="565" ht="15" customHeight="1" spans="1:7" x14ac:dyDescent="0.25">
      <c r="A565" s="23" t="s">
        <v>748</v>
      </c>
      <c r="B565" s="23" t="s">
        <v>753</v>
      </c>
      <c r="C565" s="23" t="s">
        <v>162</v>
      </c>
      <c r="D565" s="23" t="s">
        <v>163</v>
      </c>
      <c r="E565" s="23" t="s">
        <v>275</v>
      </c>
      <c r="F565" s="23" t="s">
        <v>165</v>
      </c>
      <c r="G565" s="24" t="str">
        <f>A565&amp;"|"&amp;B565</f>
        <v>Great Wall Motor|POER</v>
      </c>
    </row>
    <row r="566" ht="15" customHeight="1" spans="1:7" x14ac:dyDescent="0.25">
      <c r="A566" s="23" t="s">
        <v>748</v>
      </c>
      <c r="B566" s="23" t="s">
        <v>754</v>
      </c>
      <c r="C566" s="23" t="s">
        <v>162</v>
      </c>
      <c r="D566" s="23" t="s">
        <v>163</v>
      </c>
      <c r="E566" s="23" t="s">
        <v>275</v>
      </c>
      <c r="F566" s="23" t="s">
        <v>165</v>
      </c>
      <c r="G566" s="24" t="str">
        <f>A566&amp;"|"&amp;B566</f>
        <v>Great Wall Motor|POER 500</v>
      </c>
    </row>
    <row r="567" ht="15" customHeight="1" spans="1:7" x14ac:dyDescent="0.25">
      <c r="A567" s="23" t="s">
        <v>748</v>
      </c>
      <c r="B567" s="23" t="s">
        <v>755</v>
      </c>
      <c r="C567" s="23" t="s">
        <v>162</v>
      </c>
      <c r="D567" s="23" t="s">
        <v>163</v>
      </c>
      <c r="E567" s="23" t="s">
        <v>164</v>
      </c>
      <c r="F567" s="23" t="s">
        <v>165</v>
      </c>
      <c r="G567" s="24" t="str">
        <f>A567&amp;"|"&amp;B567</f>
        <v>Great Wall Motor|TANK 300</v>
      </c>
    </row>
    <row r="568" ht="15" customHeight="1" spans="1:7" x14ac:dyDescent="0.25">
      <c r="A568" s="23" t="s">
        <v>748</v>
      </c>
      <c r="B568" s="23" t="s">
        <v>756</v>
      </c>
      <c r="C568" s="23" t="s">
        <v>162</v>
      </c>
      <c r="D568" s="23" t="s">
        <v>163</v>
      </c>
      <c r="E568" s="23" t="s">
        <v>164</v>
      </c>
      <c r="F568" s="23" t="s">
        <v>165</v>
      </c>
      <c r="G568" s="24" t="str">
        <f>A568&amp;"|"&amp;B568</f>
        <v>Great Wall Motor|TANK 500</v>
      </c>
    </row>
    <row r="569" ht="15" customHeight="1" spans="1:7" x14ac:dyDescent="0.25">
      <c r="A569" s="23" t="s">
        <v>757</v>
      </c>
      <c r="B569" s="23" t="s">
        <v>758</v>
      </c>
      <c r="C569" s="23" t="s">
        <v>167</v>
      </c>
      <c r="D569" s="23" t="s">
        <v>168</v>
      </c>
      <c r="E569" s="23" t="s">
        <v>169</v>
      </c>
      <c r="F569" s="23" t="s">
        <v>170</v>
      </c>
      <c r="G569" s="24" t="str">
        <f>A569&amp;"|"&amp;B569</f>
        <v>Honda|Accord</v>
      </c>
    </row>
    <row r="570" ht="15" customHeight="1" spans="1:7" x14ac:dyDescent="0.25">
      <c r="A570" s="23" t="s">
        <v>757</v>
      </c>
      <c r="B570" s="23" t="s">
        <v>759</v>
      </c>
      <c r="C570" s="23" t="s">
        <v>167</v>
      </c>
      <c r="D570" s="23" t="s">
        <v>168</v>
      </c>
      <c r="E570" s="23" t="s">
        <v>169</v>
      </c>
      <c r="F570" s="23" t="s">
        <v>170</v>
      </c>
      <c r="G570" s="24" t="str">
        <f>A570&amp;"|"&amp;B570</f>
        <v>Honda|Accord 2pts</v>
      </c>
    </row>
    <row r="571" ht="15" customHeight="1" spans="1:7" x14ac:dyDescent="0.25">
      <c r="A571" s="23" t="s">
        <v>757</v>
      </c>
      <c r="B571" s="23" t="s">
        <v>760</v>
      </c>
      <c r="C571" s="23" t="s">
        <v>167</v>
      </c>
      <c r="D571" s="23" t="s">
        <v>168</v>
      </c>
      <c r="E571" s="23" t="s">
        <v>169</v>
      </c>
      <c r="F571" s="23" t="s">
        <v>170</v>
      </c>
      <c r="G571" s="24" t="str">
        <f>A571&amp;"|"&amp;B571</f>
        <v>Honda|Accord-</v>
      </c>
    </row>
    <row r="572" ht="15" customHeight="1" spans="1:7" x14ac:dyDescent="0.25">
      <c r="A572" s="23" t="s">
        <v>757</v>
      </c>
      <c r="B572" s="23" t="s">
        <v>761</v>
      </c>
      <c r="C572" s="23" t="s">
        <v>162</v>
      </c>
      <c r="D572" s="23" t="s">
        <v>163</v>
      </c>
      <c r="E572" s="23" t="s">
        <v>164</v>
      </c>
      <c r="F572" s="23" t="s">
        <v>165</v>
      </c>
      <c r="G572" s="24" t="str">
        <f>A572&amp;"|"&amp;B572</f>
        <v>Honda|BR-V</v>
      </c>
    </row>
    <row r="573" ht="15" customHeight="1" spans="1:7" x14ac:dyDescent="0.25">
      <c r="A573" s="23" t="s">
        <v>757</v>
      </c>
      <c r="B573" s="23" t="s">
        <v>762</v>
      </c>
      <c r="C573" s="23" t="s">
        <v>162</v>
      </c>
      <c r="D573" s="23" t="s">
        <v>168</v>
      </c>
      <c r="E573" s="23" t="s">
        <v>385</v>
      </c>
      <c r="F573" s="23" t="s">
        <v>170</v>
      </c>
      <c r="G573" s="24" t="str">
        <f>A573&amp;"|"&amp;B573</f>
        <v>Honda|Civic</v>
      </c>
    </row>
    <row r="574" ht="15" customHeight="1" spans="1:7" x14ac:dyDescent="0.25">
      <c r="A574" s="23" t="s">
        <v>757</v>
      </c>
      <c r="B574" s="23" t="s">
        <v>763</v>
      </c>
      <c r="C574" s="23" t="s">
        <v>162</v>
      </c>
      <c r="D574" s="23" t="s">
        <v>168</v>
      </c>
      <c r="E574" s="23" t="s">
        <v>385</v>
      </c>
      <c r="F574" s="23" t="s">
        <v>170</v>
      </c>
      <c r="G574" s="24" t="str">
        <f>A574&amp;"|"&amp;B574</f>
        <v>Honda|Civic 2pts Ta</v>
      </c>
    </row>
    <row r="575" ht="15" customHeight="1" spans="1:7" x14ac:dyDescent="0.25">
      <c r="A575" s="23" t="s">
        <v>757</v>
      </c>
      <c r="B575" s="23" t="s">
        <v>764</v>
      </c>
      <c r="C575" s="23" t="s">
        <v>162</v>
      </c>
      <c r="D575" s="23" t="s">
        <v>168</v>
      </c>
      <c r="E575" s="23" t="s">
        <v>385</v>
      </c>
      <c r="F575" s="23" t="s">
        <v>170</v>
      </c>
      <c r="G575" s="24" t="str">
        <f>A575&amp;"|"&amp;B575</f>
        <v>Honda|Civic 2pts Tm</v>
      </c>
    </row>
    <row r="576" ht="15" customHeight="1" spans="1:7" x14ac:dyDescent="0.25">
      <c r="A576" s="23" t="s">
        <v>757</v>
      </c>
      <c r="B576" s="23" t="s">
        <v>765</v>
      </c>
      <c r="C576" s="23" t="s">
        <v>162</v>
      </c>
      <c r="D576" s="23" t="s">
        <v>168</v>
      </c>
      <c r="E576" s="23" t="s">
        <v>385</v>
      </c>
      <c r="F576" s="23" t="s">
        <v>170</v>
      </c>
      <c r="G576" s="24" t="str">
        <f>A576&amp;"|"&amp;B576</f>
        <v>Honda|Civic Ima</v>
      </c>
    </row>
    <row r="577" ht="15" customHeight="1" spans="1:7" x14ac:dyDescent="0.25">
      <c r="A577" s="23" t="s">
        <v>757</v>
      </c>
      <c r="B577" s="23" t="s">
        <v>766</v>
      </c>
      <c r="C577" s="23" t="s">
        <v>162</v>
      </c>
      <c r="D577" s="23" t="s">
        <v>168</v>
      </c>
      <c r="E577" s="23" t="s">
        <v>385</v>
      </c>
      <c r="F577" s="23" t="s">
        <v>170</v>
      </c>
      <c r="G577" s="24" t="str">
        <f>A577&amp;"|"&amp;B577</f>
        <v>Honda|Civic Si</v>
      </c>
    </row>
    <row r="578" ht="15" customHeight="1" spans="1:7" x14ac:dyDescent="0.25">
      <c r="A578" s="23" t="s">
        <v>757</v>
      </c>
      <c r="B578" s="23" t="s">
        <v>767</v>
      </c>
      <c r="C578" s="23" t="s">
        <v>162</v>
      </c>
      <c r="D578" s="23" t="s">
        <v>163</v>
      </c>
      <c r="E578" s="23" t="s">
        <v>164</v>
      </c>
      <c r="F578" s="23" t="s">
        <v>165</v>
      </c>
      <c r="G578" s="24" t="str">
        <f>A578&amp;"|"&amp;B578</f>
        <v>Honda|CR-V</v>
      </c>
    </row>
    <row r="579" ht="15" customHeight="1" spans="1:7" x14ac:dyDescent="0.25">
      <c r="A579" s="23" t="s">
        <v>757</v>
      </c>
      <c r="B579" s="23" t="s">
        <v>768</v>
      </c>
      <c r="C579" s="23" t="s">
        <v>162</v>
      </c>
      <c r="D579" s="23" t="s">
        <v>163</v>
      </c>
      <c r="E579" s="23" t="s">
        <v>164</v>
      </c>
      <c r="F579" s="23" t="s">
        <v>165</v>
      </c>
      <c r="G579" s="24" t="str">
        <f>A579&amp;"|"&amp;B579</f>
        <v>Honda|CR-V-</v>
      </c>
    </row>
    <row r="580" ht="15" customHeight="1" spans="1:7" x14ac:dyDescent="0.25">
      <c r="A580" s="23" t="s">
        <v>757</v>
      </c>
      <c r="B580" s="23" t="s">
        <v>769</v>
      </c>
      <c r="C580" s="23" t="s">
        <v>162</v>
      </c>
      <c r="D580" s="23" t="s">
        <v>168</v>
      </c>
      <c r="E580" s="23" t="s">
        <v>385</v>
      </c>
      <c r="F580" s="23" t="s">
        <v>170</v>
      </c>
      <c r="G580" s="24" t="str">
        <f>A580&amp;"|"&amp;B580</f>
        <v>Honda|CR-Z</v>
      </c>
    </row>
    <row r="581" ht="15" customHeight="1" spans="1:7" x14ac:dyDescent="0.25">
      <c r="A581" s="23" t="s">
        <v>757</v>
      </c>
      <c r="B581" s="23" t="s">
        <v>770</v>
      </c>
      <c r="C581" s="23" t="s">
        <v>167</v>
      </c>
      <c r="D581" s="23" t="s">
        <v>168</v>
      </c>
      <c r="E581" s="23" t="s">
        <v>169</v>
      </c>
      <c r="F581" s="23" t="s">
        <v>170</v>
      </c>
      <c r="G581" s="24" t="str">
        <f>A581&amp;"|"&amp;B581</f>
        <v>Honda|Crosstour</v>
      </c>
    </row>
    <row r="582" ht="15" customHeight="1" spans="1:7" x14ac:dyDescent="0.25">
      <c r="A582" s="23" t="s">
        <v>757</v>
      </c>
      <c r="B582" s="23" t="s">
        <v>771</v>
      </c>
      <c r="C582" s="23" t="s">
        <v>271</v>
      </c>
      <c r="D582" s="23" t="s">
        <v>168</v>
      </c>
      <c r="E582" s="23" t="s">
        <v>272</v>
      </c>
      <c r="F582" s="23" t="s">
        <v>170</v>
      </c>
      <c r="G582" s="24" t="str">
        <f>A582&amp;"|"&amp;B582</f>
        <v>Honda|Fit</v>
      </c>
    </row>
    <row r="583" ht="15" customHeight="1" spans="1:7" x14ac:dyDescent="0.25">
      <c r="A583" s="23" t="s">
        <v>757</v>
      </c>
      <c r="B583" s="23" t="s">
        <v>772</v>
      </c>
      <c r="C583" s="23" t="s">
        <v>271</v>
      </c>
      <c r="D583" s="23" t="s">
        <v>168</v>
      </c>
      <c r="E583" s="23" t="s">
        <v>272</v>
      </c>
      <c r="F583" s="23" t="s">
        <v>170</v>
      </c>
      <c r="G583" s="24" t="str">
        <f>A583&amp;"|"&amp;B583</f>
        <v>Honda|Fit-</v>
      </c>
    </row>
    <row r="584" ht="15" customHeight="1" spans="1:7" x14ac:dyDescent="0.25">
      <c r="A584" s="23" t="s">
        <v>757</v>
      </c>
      <c r="B584" s="23" t="s">
        <v>773</v>
      </c>
      <c r="C584" s="23" t="s">
        <v>162</v>
      </c>
      <c r="D584" s="23" t="s">
        <v>168</v>
      </c>
      <c r="E584" s="23" t="s">
        <v>385</v>
      </c>
      <c r="F584" s="23" t="s">
        <v>170</v>
      </c>
      <c r="G584" s="24" t="str">
        <f>A584&amp;"|"&amp;B584</f>
        <v>Honda|Honda City</v>
      </c>
    </row>
    <row r="585" ht="15" customHeight="1" spans="1:7" x14ac:dyDescent="0.25">
      <c r="A585" s="23" t="s">
        <v>757</v>
      </c>
      <c r="B585" s="23" t="s">
        <v>774</v>
      </c>
      <c r="C585" s="23" t="s">
        <v>162</v>
      </c>
      <c r="D585" s="23" t="s">
        <v>163</v>
      </c>
      <c r="E585" s="23" t="s">
        <v>164</v>
      </c>
      <c r="F585" s="23" t="s">
        <v>165</v>
      </c>
      <c r="G585" s="24" t="str">
        <f>A585&amp;"|"&amp;B585</f>
        <v>Honda|Honda Pilot</v>
      </c>
    </row>
    <row r="586" ht="15" customHeight="1" spans="1:7" x14ac:dyDescent="0.25">
      <c r="A586" s="23" t="s">
        <v>757</v>
      </c>
      <c r="B586" s="23" t="s">
        <v>775</v>
      </c>
      <c r="C586" s="23" t="s">
        <v>162</v>
      </c>
      <c r="D586" s="23" t="s">
        <v>163</v>
      </c>
      <c r="E586" s="23" t="s">
        <v>164</v>
      </c>
      <c r="F586" s="23" t="s">
        <v>165</v>
      </c>
      <c r="G586" s="24" t="str">
        <f>A586&amp;"|"&amp;B586</f>
        <v>Honda|HR-V-</v>
      </c>
    </row>
    <row r="587" ht="15" customHeight="1" spans="1:7" x14ac:dyDescent="0.25">
      <c r="A587" s="23" t="s">
        <v>757</v>
      </c>
      <c r="B587" s="23" t="s">
        <v>776</v>
      </c>
      <c r="C587" s="23" t="s">
        <v>162</v>
      </c>
      <c r="D587" s="23" t="s">
        <v>168</v>
      </c>
      <c r="E587" s="23" t="s">
        <v>385</v>
      </c>
      <c r="F587" s="23" t="s">
        <v>170</v>
      </c>
      <c r="G587" s="24" t="str">
        <f>A587&amp;"|"&amp;B587</f>
        <v>Honda|Insight Hybrid</v>
      </c>
    </row>
    <row r="588" ht="15" customHeight="1" spans="1:7" x14ac:dyDescent="0.25">
      <c r="A588" s="23" t="s">
        <v>757</v>
      </c>
      <c r="B588" s="23" t="s">
        <v>777</v>
      </c>
      <c r="C588" s="23" t="s">
        <v>271</v>
      </c>
      <c r="D588" s="23" t="s">
        <v>163</v>
      </c>
      <c r="E588" s="23" t="s">
        <v>277</v>
      </c>
      <c r="F588" s="23" t="s">
        <v>165</v>
      </c>
      <c r="G588" s="24" t="str">
        <f>A588&amp;"|"&amp;B588</f>
        <v>Honda|Odyssey</v>
      </c>
    </row>
    <row r="589" ht="15" customHeight="1" spans="1:7" x14ac:dyDescent="0.25">
      <c r="A589" s="23" t="s">
        <v>757</v>
      </c>
      <c r="B589" s="23" t="s">
        <v>778</v>
      </c>
      <c r="C589" s="23" t="s">
        <v>167</v>
      </c>
      <c r="D589" s="23" t="s">
        <v>168</v>
      </c>
      <c r="E589" s="23" t="s">
        <v>175</v>
      </c>
      <c r="F589" s="23" t="s">
        <v>170</v>
      </c>
      <c r="G589" s="24" t="str">
        <f>A589&amp;"|"&amp;B589</f>
        <v>Honda|Prelude</v>
      </c>
    </row>
    <row r="590" ht="15" customHeight="1" spans="1:7" x14ac:dyDescent="0.25">
      <c r="A590" s="23" t="s">
        <v>757</v>
      </c>
      <c r="B590" s="23" t="s">
        <v>779</v>
      </c>
      <c r="C590" s="23" t="s">
        <v>162</v>
      </c>
      <c r="D590" s="23" t="s">
        <v>163</v>
      </c>
      <c r="E590" s="23" t="s">
        <v>275</v>
      </c>
      <c r="F590" s="23" t="s">
        <v>165</v>
      </c>
      <c r="G590" s="24" t="str">
        <f>A590&amp;"|"&amp;B590</f>
        <v>Honda|Ridgeline</v>
      </c>
    </row>
    <row r="591" ht="15" customHeight="1" spans="1:7" x14ac:dyDescent="0.25">
      <c r="A591" s="23" t="s">
        <v>780</v>
      </c>
      <c r="B591" s="23" t="s">
        <v>781</v>
      </c>
      <c r="C591" s="23" t="s">
        <v>271</v>
      </c>
      <c r="D591" s="23" t="s">
        <v>168</v>
      </c>
      <c r="E591" s="23" t="s">
        <v>272</v>
      </c>
      <c r="F591" s="23" t="s">
        <v>170</v>
      </c>
      <c r="G591" s="24" t="str">
        <f>A591&amp;"|"&amp;B591</f>
        <v>Hyundai|Accent Hatchback</v>
      </c>
    </row>
    <row r="592" ht="15" customHeight="1" spans="1:7" x14ac:dyDescent="0.25">
      <c r="A592" s="23" t="s">
        <v>780</v>
      </c>
      <c r="B592" s="23" t="s">
        <v>782</v>
      </c>
      <c r="C592" s="23" t="s">
        <v>271</v>
      </c>
      <c r="D592" s="23" t="s">
        <v>168</v>
      </c>
      <c r="E592" s="23" t="s">
        <v>272</v>
      </c>
      <c r="F592" s="23" t="s">
        <v>170</v>
      </c>
      <c r="G592" s="24" t="str">
        <f>A592&amp;"|"&amp;B592</f>
        <v>Hyundai|Accent Sedan</v>
      </c>
    </row>
    <row r="593" ht="15" customHeight="1" spans="1:7" x14ac:dyDescent="0.25">
      <c r="A593" s="23" t="s">
        <v>780</v>
      </c>
      <c r="B593" s="23" t="s">
        <v>783</v>
      </c>
      <c r="C593" s="23" t="s">
        <v>162</v>
      </c>
      <c r="D593" s="23" t="s">
        <v>163</v>
      </c>
      <c r="E593" s="23" t="s">
        <v>164</v>
      </c>
      <c r="F593" s="23" t="s">
        <v>165</v>
      </c>
      <c r="G593" s="24" t="str">
        <f>A593&amp;"|"&amp;B593</f>
        <v>Hyundai|Creta</v>
      </c>
    </row>
    <row r="594" ht="15" customHeight="1" spans="1:7" x14ac:dyDescent="0.25">
      <c r="A594" s="23" t="s">
        <v>780</v>
      </c>
      <c r="B594" s="23" t="s">
        <v>784</v>
      </c>
      <c r="C594" s="23" t="s">
        <v>162</v>
      </c>
      <c r="D594" s="23" t="s">
        <v>168</v>
      </c>
      <c r="E594" s="23" t="s">
        <v>385</v>
      </c>
      <c r="F594" s="23" t="s">
        <v>170</v>
      </c>
      <c r="G594" s="24" t="str">
        <f>A594&amp;"|"&amp;B594</f>
        <v>Hyundai|Elantra</v>
      </c>
    </row>
    <row r="595" ht="15" customHeight="1" spans="1:7" x14ac:dyDescent="0.25">
      <c r="A595" s="23" t="s">
        <v>780</v>
      </c>
      <c r="B595" s="23" t="s">
        <v>785</v>
      </c>
      <c r="C595" s="23" t="s">
        <v>167</v>
      </c>
      <c r="D595" s="23" t="s">
        <v>168</v>
      </c>
      <c r="E595" s="23" t="s">
        <v>169</v>
      </c>
      <c r="F595" s="23" t="s">
        <v>170</v>
      </c>
      <c r="G595" s="24" t="str">
        <f>A595&amp;"|"&amp;B595</f>
        <v>Hyundai|Genesis</v>
      </c>
    </row>
    <row r="596" ht="15" customHeight="1" spans="1:7" x14ac:dyDescent="0.25">
      <c r="A596" s="23" t="s">
        <v>780</v>
      </c>
      <c r="B596" s="23" t="s">
        <v>786</v>
      </c>
      <c r="C596" s="23" t="s">
        <v>271</v>
      </c>
      <c r="D596" s="23" t="s">
        <v>168</v>
      </c>
      <c r="E596" s="23" t="s">
        <v>272</v>
      </c>
      <c r="F596" s="23" t="s">
        <v>170</v>
      </c>
      <c r="G596" s="24" t="str">
        <f>A596&amp;"|"&amp;B596</f>
        <v>Hyundai|Grand I10</v>
      </c>
    </row>
    <row r="597" ht="15" customHeight="1" spans="1:7" x14ac:dyDescent="0.25">
      <c r="A597" s="23" t="s">
        <v>780</v>
      </c>
      <c r="B597" s="23" t="s">
        <v>787</v>
      </c>
      <c r="C597" s="23" t="s">
        <v>271</v>
      </c>
      <c r="D597" s="23" t="s">
        <v>168</v>
      </c>
      <c r="E597" s="23" t="s">
        <v>272</v>
      </c>
      <c r="F597" s="23" t="s">
        <v>170</v>
      </c>
      <c r="G597" s="24" t="str">
        <f>A597&amp;"|"&amp;B597</f>
        <v>Hyundai|Grand I10 Sedán</v>
      </c>
    </row>
    <row r="598" ht="15" customHeight="1" spans="1:7" x14ac:dyDescent="0.25">
      <c r="A598" s="23" t="s">
        <v>780</v>
      </c>
      <c r="B598" s="23" t="s">
        <v>788</v>
      </c>
      <c r="C598" s="23" t="s">
        <v>162</v>
      </c>
      <c r="D598" s="23" t="s">
        <v>168</v>
      </c>
      <c r="E598" s="23" t="s">
        <v>385</v>
      </c>
      <c r="F598" s="23" t="s">
        <v>170</v>
      </c>
      <c r="G598" s="24" t="str">
        <f>A598&amp;"|"&amp;B598</f>
        <v>Hyundai|HB20 HATCHBACK</v>
      </c>
    </row>
    <row r="599" ht="15" customHeight="1" spans="1:7" x14ac:dyDescent="0.25">
      <c r="A599" s="23" t="s">
        <v>780</v>
      </c>
      <c r="B599" s="23" t="s">
        <v>789</v>
      </c>
      <c r="C599" s="23" t="s">
        <v>162</v>
      </c>
      <c r="D599" s="23" t="s">
        <v>168</v>
      </c>
      <c r="E599" s="23" t="s">
        <v>385</v>
      </c>
      <c r="F599" s="23" t="s">
        <v>170</v>
      </c>
      <c r="G599" s="24" t="str">
        <f>A599&amp;"|"&amp;B599</f>
        <v>Hyundai|HB20 SEDAN</v>
      </c>
    </row>
    <row r="600" ht="15" customHeight="1" spans="1:7" x14ac:dyDescent="0.25">
      <c r="A600" s="23" t="s">
        <v>780</v>
      </c>
      <c r="B600" s="23" t="s">
        <v>790</v>
      </c>
      <c r="C600" s="23" t="s">
        <v>162</v>
      </c>
      <c r="D600" s="23" t="s">
        <v>168</v>
      </c>
      <c r="E600" s="23" t="s">
        <v>385</v>
      </c>
      <c r="F600" s="23" t="s">
        <v>170</v>
      </c>
      <c r="G600" s="24" t="str">
        <f>A600&amp;"|"&amp;B600</f>
        <v>Hyundai|Ioniq</v>
      </c>
    </row>
    <row r="601" ht="15" customHeight="1" spans="1:7" x14ac:dyDescent="0.25">
      <c r="A601" s="23" t="s">
        <v>780</v>
      </c>
      <c r="B601" s="23" t="s">
        <v>791</v>
      </c>
      <c r="C601" s="23" t="s">
        <v>162</v>
      </c>
      <c r="D601" s="23" t="s">
        <v>168</v>
      </c>
      <c r="E601" s="23" t="s">
        <v>385</v>
      </c>
      <c r="F601" s="23" t="s">
        <v>170</v>
      </c>
      <c r="G601" s="24" t="str">
        <f>A601&amp;"|"&amp;B601</f>
        <v>Hyundai|Ioniq 5</v>
      </c>
    </row>
    <row r="602" ht="15" customHeight="1" spans="1:7" x14ac:dyDescent="0.25">
      <c r="A602" s="23" t="s">
        <v>780</v>
      </c>
      <c r="B602" s="23" t="s">
        <v>792</v>
      </c>
      <c r="C602" s="23" t="s">
        <v>162</v>
      </c>
      <c r="D602" s="23" t="s">
        <v>163</v>
      </c>
      <c r="E602" s="23" t="s">
        <v>164</v>
      </c>
      <c r="F602" s="23" t="s">
        <v>165</v>
      </c>
      <c r="G602" s="24" t="str">
        <f>A602&amp;"|"&amp;B602</f>
        <v>Hyundai|IX35</v>
      </c>
    </row>
    <row r="603" ht="15" customHeight="1" spans="1:7" x14ac:dyDescent="0.25">
      <c r="A603" s="23" t="s">
        <v>780</v>
      </c>
      <c r="B603" s="23" t="s">
        <v>793</v>
      </c>
      <c r="C603" s="23" t="s">
        <v>162</v>
      </c>
      <c r="D603" s="23" t="s">
        <v>163</v>
      </c>
      <c r="E603" s="23" t="s">
        <v>164</v>
      </c>
      <c r="F603" s="23" t="s">
        <v>165</v>
      </c>
      <c r="G603" s="24" t="str">
        <f>A603&amp;"|"&amp;B603</f>
        <v>Hyundai|Palisade</v>
      </c>
    </row>
    <row r="604" ht="15" customHeight="1" spans="1:7" x14ac:dyDescent="0.25">
      <c r="A604" s="23" t="s">
        <v>780</v>
      </c>
      <c r="B604" s="23" t="s">
        <v>794</v>
      </c>
      <c r="C604" s="23" t="s">
        <v>162</v>
      </c>
      <c r="D604" s="23" t="s">
        <v>163</v>
      </c>
      <c r="E604" s="23" t="s">
        <v>164</v>
      </c>
      <c r="F604" s="23" t="s">
        <v>165</v>
      </c>
      <c r="G604" s="24" t="str">
        <f>A604&amp;"|"&amp;B604</f>
        <v>Hyundai|Santa Fe</v>
      </c>
    </row>
    <row r="605" ht="15" customHeight="1" spans="1:7" x14ac:dyDescent="0.25">
      <c r="A605" s="23" t="s">
        <v>780</v>
      </c>
      <c r="B605" s="23" t="s">
        <v>795</v>
      </c>
      <c r="C605" s="23" t="s">
        <v>162</v>
      </c>
      <c r="D605" s="23" t="s">
        <v>163</v>
      </c>
      <c r="E605" s="23" t="s">
        <v>164</v>
      </c>
      <c r="F605" s="23" t="s">
        <v>165</v>
      </c>
      <c r="G605" s="24" t="str">
        <f>A605&amp;"|"&amp;B605</f>
        <v>Hyundai|Santa FE 7 P</v>
      </c>
    </row>
    <row r="606" ht="15" customHeight="1" spans="1:7" x14ac:dyDescent="0.25">
      <c r="A606" s="23" t="s">
        <v>780</v>
      </c>
      <c r="B606" s="23" t="s">
        <v>796</v>
      </c>
      <c r="C606" s="23" t="s">
        <v>162</v>
      </c>
      <c r="D606" s="23" t="s">
        <v>168</v>
      </c>
      <c r="E606" s="23" t="s">
        <v>385</v>
      </c>
      <c r="F606" s="23" t="s">
        <v>170</v>
      </c>
      <c r="G606" s="24" t="str">
        <f>A606&amp;"|"&amp;B606</f>
        <v>Hyundai|Sonata</v>
      </c>
    </row>
    <row r="607" ht="15" customHeight="1" spans="1:7" x14ac:dyDescent="0.25">
      <c r="A607" s="23" t="s">
        <v>780</v>
      </c>
      <c r="B607" s="23" t="s">
        <v>797</v>
      </c>
      <c r="C607" s="23" t="s">
        <v>271</v>
      </c>
      <c r="D607" s="23" t="s">
        <v>163</v>
      </c>
      <c r="E607" s="23" t="s">
        <v>277</v>
      </c>
      <c r="F607" s="23" t="s">
        <v>165</v>
      </c>
      <c r="G607" s="24" t="str">
        <f>A607&amp;"|"&amp;B607</f>
        <v>Hyundai|Starex</v>
      </c>
    </row>
    <row r="608" ht="15" customHeight="1" spans="1:7" x14ac:dyDescent="0.25">
      <c r="A608" s="23" t="s">
        <v>780</v>
      </c>
      <c r="B608" s="23" t="s">
        <v>798</v>
      </c>
      <c r="C608" s="23" t="s">
        <v>162</v>
      </c>
      <c r="D608" s="23" t="s">
        <v>163</v>
      </c>
      <c r="E608" s="23" t="s">
        <v>164</v>
      </c>
      <c r="F608" s="23" t="s">
        <v>165</v>
      </c>
      <c r="G608" s="24" t="str">
        <f>A608&amp;"|"&amp;B608</f>
        <v>Hyundai|Tucson</v>
      </c>
    </row>
    <row r="609" ht="15" customHeight="1" spans="1:7" x14ac:dyDescent="0.25">
      <c r="A609" s="23" t="s">
        <v>780</v>
      </c>
      <c r="B609" s="23" t="s">
        <v>799</v>
      </c>
      <c r="C609" s="23" t="s">
        <v>167</v>
      </c>
      <c r="D609" s="23" t="s">
        <v>168</v>
      </c>
      <c r="E609" s="23" t="s">
        <v>175</v>
      </c>
      <c r="F609" s="23" t="s">
        <v>170</v>
      </c>
      <c r="G609" s="24" t="str">
        <f>A609&amp;"|"&amp;B609</f>
        <v>Hyundai|Veloster</v>
      </c>
    </row>
    <row r="610" ht="15" customHeight="1" spans="1:7" x14ac:dyDescent="0.25">
      <c r="A610" s="23" t="s">
        <v>800</v>
      </c>
      <c r="B610" s="23" t="s">
        <v>801</v>
      </c>
      <c r="C610" s="23" t="s">
        <v>162</v>
      </c>
      <c r="D610" s="23" t="s">
        <v>163</v>
      </c>
      <c r="E610" s="23" t="s">
        <v>164</v>
      </c>
      <c r="F610" s="23" t="s">
        <v>165</v>
      </c>
      <c r="G610" s="24" t="str">
        <f>A610&amp;"|"&amp;B610</f>
        <v>Infiniti|FX</v>
      </c>
    </row>
    <row r="611" ht="15" customHeight="1" spans="1:7" x14ac:dyDescent="0.25">
      <c r="A611" s="23" t="s">
        <v>800</v>
      </c>
      <c r="B611" s="23" t="s">
        <v>802</v>
      </c>
      <c r="C611" s="23" t="s">
        <v>167</v>
      </c>
      <c r="D611" s="23" t="s">
        <v>168</v>
      </c>
      <c r="E611" s="23" t="s">
        <v>169</v>
      </c>
      <c r="F611" s="23" t="s">
        <v>170</v>
      </c>
      <c r="G611" s="24" t="str">
        <f>A611&amp;"|"&amp;B611</f>
        <v>Infiniti|G37 Coupe</v>
      </c>
    </row>
    <row r="612" ht="15" customHeight="1" spans="1:7" x14ac:dyDescent="0.25">
      <c r="A612" s="23" t="s">
        <v>800</v>
      </c>
      <c r="B612" s="23" t="s">
        <v>803</v>
      </c>
      <c r="C612" s="23" t="s">
        <v>167</v>
      </c>
      <c r="D612" s="23" t="s">
        <v>168</v>
      </c>
      <c r="E612" s="23" t="s">
        <v>169</v>
      </c>
      <c r="F612" s="23" t="s">
        <v>170</v>
      </c>
      <c r="G612" s="24" t="str">
        <f>A612&amp;"|"&amp;B612</f>
        <v>Infiniti|G37 Sedan</v>
      </c>
    </row>
    <row r="613" ht="15" customHeight="1" spans="1:7" x14ac:dyDescent="0.25">
      <c r="A613" s="23" t="s">
        <v>800</v>
      </c>
      <c r="B613" s="23" t="s">
        <v>800</v>
      </c>
      <c r="C613" s="23" t="s">
        <v>167</v>
      </c>
      <c r="D613" s="23" t="s">
        <v>168</v>
      </c>
      <c r="E613" s="23" t="s">
        <v>169</v>
      </c>
      <c r="F613" s="23" t="s">
        <v>170</v>
      </c>
      <c r="G613" s="24" t="str">
        <f>A613&amp;"|"&amp;B613</f>
        <v>Infiniti|Infiniti</v>
      </c>
    </row>
    <row r="614" ht="15" customHeight="1" spans="1:7" x14ac:dyDescent="0.25">
      <c r="A614" s="23" t="s">
        <v>800</v>
      </c>
      <c r="B614" s="23" t="s">
        <v>804</v>
      </c>
      <c r="C614" s="23" t="s">
        <v>162</v>
      </c>
      <c r="D614" s="23" t="s">
        <v>163</v>
      </c>
      <c r="E614" s="23" t="s">
        <v>164</v>
      </c>
      <c r="F614" s="23" t="s">
        <v>165</v>
      </c>
      <c r="G614" s="24" t="str">
        <f>A614&amp;"|"&amp;B614</f>
        <v>Infiniti|Infiniti Jx</v>
      </c>
    </row>
    <row r="615" ht="15" customHeight="1" spans="1:7" x14ac:dyDescent="0.25">
      <c r="A615" s="23" t="s">
        <v>800</v>
      </c>
      <c r="B615" s="23" t="s">
        <v>805</v>
      </c>
      <c r="C615" s="23" t="s">
        <v>167</v>
      </c>
      <c r="D615" s="23" t="s">
        <v>168</v>
      </c>
      <c r="E615" s="23" t="s">
        <v>169</v>
      </c>
      <c r="F615" s="23" t="s">
        <v>170</v>
      </c>
      <c r="G615" s="24" t="str">
        <f>A615&amp;"|"&amp;B615</f>
        <v>Infiniti|M</v>
      </c>
    </row>
    <row r="616" ht="15" customHeight="1" spans="1:7" x14ac:dyDescent="0.25">
      <c r="A616" s="23" t="s">
        <v>800</v>
      </c>
      <c r="B616" s="23" t="s">
        <v>806</v>
      </c>
      <c r="C616" s="23" t="s">
        <v>167</v>
      </c>
      <c r="D616" s="23" t="s">
        <v>168</v>
      </c>
      <c r="E616" s="23" t="s">
        <v>169</v>
      </c>
      <c r="F616" s="23" t="s">
        <v>170</v>
      </c>
      <c r="G616" s="24" t="str">
        <f>A616&amp;"|"&amp;B616</f>
        <v>Infiniti|Q50</v>
      </c>
    </row>
    <row r="617" ht="15" customHeight="1" spans="1:7" x14ac:dyDescent="0.25">
      <c r="A617" s="23" t="s">
        <v>800</v>
      </c>
      <c r="B617" s="23" t="s">
        <v>807</v>
      </c>
      <c r="C617" s="23" t="s">
        <v>167</v>
      </c>
      <c r="D617" s="23" t="s">
        <v>168</v>
      </c>
      <c r="E617" s="23" t="s">
        <v>169</v>
      </c>
      <c r="F617" s="23" t="s">
        <v>170</v>
      </c>
      <c r="G617" s="24" t="str">
        <f>A617&amp;"|"&amp;B617</f>
        <v>Infiniti|Q60</v>
      </c>
    </row>
    <row r="618" ht="15" customHeight="1" spans="1:7" x14ac:dyDescent="0.25">
      <c r="A618" s="23" t="s">
        <v>800</v>
      </c>
      <c r="B618" s="23" t="s">
        <v>808</v>
      </c>
      <c r="C618" s="23" t="s">
        <v>167</v>
      </c>
      <c r="D618" s="23" t="s">
        <v>168</v>
      </c>
      <c r="E618" s="23" t="s">
        <v>169</v>
      </c>
      <c r="F618" s="23" t="s">
        <v>170</v>
      </c>
      <c r="G618" s="24" t="str">
        <f>A618&amp;"|"&amp;B618</f>
        <v>Infiniti|Q70</v>
      </c>
    </row>
    <row r="619" ht="15" customHeight="1" spans="1:7" x14ac:dyDescent="0.25">
      <c r="A619" s="23" t="s">
        <v>800</v>
      </c>
      <c r="B619" s="23" t="s">
        <v>809</v>
      </c>
      <c r="C619" s="23" t="s">
        <v>162</v>
      </c>
      <c r="D619" s="23" t="s">
        <v>163</v>
      </c>
      <c r="E619" s="23" t="s">
        <v>164</v>
      </c>
      <c r="F619" s="23" t="s">
        <v>165</v>
      </c>
      <c r="G619" s="24" t="str">
        <f>A619&amp;"|"&amp;B619</f>
        <v>Infiniti|QX</v>
      </c>
    </row>
    <row r="620" ht="15" customHeight="1" spans="1:7" x14ac:dyDescent="0.25">
      <c r="A620" s="23" t="s">
        <v>800</v>
      </c>
      <c r="B620" s="23" t="s">
        <v>810</v>
      </c>
      <c r="C620" s="23" t="s">
        <v>167</v>
      </c>
      <c r="D620" s="23" t="s">
        <v>168</v>
      </c>
      <c r="E620" s="23" t="s">
        <v>169</v>
      </c>
      <c r="F620" s="23" t="s">
        <v>170</v>
      </c>
      <c r="G620" s="24" t="str">
        <f>A620&amp;"|"&amp;B620</f>
        <v>Infiniti|QX30</v>
      </c>
    </row>
    <row r="621" ht="15" customHeight="1" spans="1:7" x14ac:dyDescent="0.25">
      <c r="A621" s="23" t="s">
        <v>800</v>
      </c>
      <c r="B621" s="23" t="s">
        <v>811</v>
      </c>
      <c r="C621" s="23" t="s">
        <v>162</v>
      </c>
      <c r="D621" s="23" t="s">
        <v>163</v>
      </c>
      <c r="E621" s="23" t="s">
        <v>164</v>
      </c>
      <c r="F621" s="23" t="s">
        <v>165</v>
      </c>
      <c r="G621" s="24" t="str">
        <f>A621&amp;"|"&amp;B621</f>
        <v>Infiniti|QX50</v>
      </c>
    </row>
    <row r="622" ht="15" customHeight="1" spans="1:7" x14ac:dyDescent="0.25">
      <c r="A622" s="23" t="s">
        <v>800</v>
      </c>
      <c r="B622" s="23" t="s">
        <v>812</v>
      </c>
      <c r="C622" s="23" t="s">
        <v>162</v>
      </c>
      <c r="D622" s="23" t="s">
        <v>163</v>
      </c>
      <c r="E622" s="23" t="s">
        <v>164</v>
      </c>
      <c r="F622" s="23" t="s">
        <v>165</v>
      </c>
      <c r="G622" s="24" t="str">
        <f>A622&amp;"|"&amp;B622</f>
        <v>Infiniti|QX55</v>
      </c>
    </row>
    <row r="623" ht="15" customHeight="1" spans="1:7" x14ac:dyDescent="0.25">
      <c r="A623" s="23" t="s">
        <v>800</v>
      </c>
      <c r="B623" s="23" t="s">
        <v>813</v>
      </c>
      <c r="C623" s="23" t="s">
        <v>162</v>
      </c>
      <c r="D623" s="23" t="s">
        <v>163</v>
      </c>
      <c r="E623" s="23" t="s">
        <v>164</v>
      </c>
      <c r="F623" s="23" t="s">
        <v>165</v>
      </c>
      <c r="G623" s="24" t="str">
        <f>A623&amp;"|"&amp;B623</f>
        <v>Infiniti|QX60</v>
      </c>
    </row>
    <row r="624" ht="15" customHeight="1" spans="1:7" x14ac:dyDescent="0.25">
      <c r="A624" s="23" t="s">
        <v>800</v>
      </c>
      <c r="B624" s="23" t="s">
        <v>814</v>
      </c>
      <c r="C624" s="23" t="s">
        <v>162</v>
      </c>
      <c r="D624" s="23" t="s">
        <v>163</v>
      </c>
      <c r="E624" s="23" t="s">
        <v>164</v>
      </c>
      <c r="F624" s="23" t="s">
        <v>165</v>
      </c>
      <c r="G624" s="24" t="str">
        <f>A624&amp;"|"&amp;B624</f>
        <v>Infiniti|QX70</v>
      </c>
    </row>
    <row r="625" ht="15" customHeight="1" spans="1:7" x14ac:dyDescent="0.25">
      <c r="A625" s="23" t="s">
        <v>800</v>
      </c>
      <c r="B625" s="23" t="s">
        <v>815</v>
      </c>
      <c r="C625" s="23" t="s">
        <v>162</v>
      </c>
      <c r="D625" s="23" t="s">
        <v>163</v>
      </c>
      <c r="E625" s="23" t="s">
        <v>164</v>
      </c>
      <c r="F625" s="23" t="s">
        <v>165</v>
      </c>
      <c r="G625" s="24" t="str">
        <f>A625&amp;"|"&amp;B625</f>
        <v>Infiniti|QX80</v>
      </c>
    </row>
    <row r="626" ht="15" customHeight="1" spans="1:7" x14ac:dyDescent="0.25">
      <c r="A626" s="23" t="s">
        <v>816</v>
      </c>
      <c r="B626" s="23" t="s">
        <v>817</v>
      </c>
      <c r="C626" s="23" t="s">
        <v>162</v>
      </c>
      <c r="D626" s="23" t="s">
        <v>163</v>
      </c>
      <c r="E626" s="23" t="s">
        <v>275</v>
      </c>
      <c r="F626" s="23" t="s">
        <v>165</v>
      </c>
      <c r="G626" s="24" t="str">
        <f>A626&amp;"|"&amp;B626</f>
        <v>Isuzu|ELF 200</v>
      </c>
    </row>
    <row r="627" ht="15" customHeight="1" spans="1:7" x14ac:dyDescent="0.25">
      <c r="A627" s="23" t="s">
        <v>816</v>
      </c>
      <c r="B627" s="23" t="s">
        <v>818</v>
      </c>
      <c r="C627" s="23" t="s">
        <v>162</v>
      </c>
      <c r="D627" s="23" t="s">
        <v>163</v>
      </c>
      <c r="E627" s="23" t="s">
        <v>275</v>
      </c>
      <c r="F627" s="23" t="s">
        <v>165</v>
      </c>
      <c r="G627" s="24" t="str">
        <f>A627&amp;"|"&amp;B627</f>
        <v>Isuzu|ELF 300</v>
      </c>
    </row>
    <row r="628" ht="15" customHeight="1" spans="1:7" x14ac:dyDescent="0.25">
      <c r="A628" s="23" t="s">
        <v>816</v>
      </c>
      <c r="B628" s="23" t="s">
        <v>819</v>
      </c>
      <c r="C628" s="23" t="s">
        <v>162</v>
      </c>
      <c r="D628" s="23" t="s">
        <v>163</v>
      </c>
      <c r="E628" s="23" t="s">
        <v>275</v>
      </c>
      <c r="F628" s="23" t="s">
        <v>165</v>
      </c>
      <c r="G628" s="24" t="str">
        <f>A628&amp;"|"&amp;B628</f>
        <v>Isuzu|ELF 350</v>
      </c>
    </row>
    <row r="629" ht="15" customHeight="1" spans="1:7" x14ac:dyDescent="0.25">
      <c r="A629" s="23" t="s">
        <v>816</v>
      </c>
      <c r="B629" s="23" t="s">
        <v>820</v>
      </c>
      <c r="C629" s="23" t="s">
        <v>162</v>
      </c>
      <c r="D629" s="23" t="s">
        <v>163</v>
      </c>
      <c r="E629" s="23" t="s">
        <v>275</v>
      </c>
      <c r="F629" s="23" t="s">
        <v>165</v>
      </c>
      <c r="G629" s="24" t="str">
        <f>A629&amp;"|"&amp;B629</f>
        <v>Isuzu|ELF100</v>
      </c>
    </row>
    <row r="630" ht="15" customHeight="1" spans="1:7" x14ac:dyDescent="0.25">
      <c r="A630" s="23" t="s">
        <v>821</v>
      </c>
      <c r="B630" s="23" t="s">
        <v>822</v>
      </c>
      <c r="C630" s="23" t="s">
        <v>162</v>
      </c>
      <c r="D630" s="23" t="s">
        <v>168</v>
      </c>
      <c r="E630" s="23" t="s">
        <v>385</v>
      </c>
      <c r="F630" s="23" t="s">
        <v>170</v>
      </c>
      <c r="G630" s="24" t="str">
        <f>A630&amp;"|"&amp;B630</f>
        <v>JAC|E 10X</v>
      </c>
    </row>
    <row r="631" ht="15" customHeight="1" spans="1:7" x14ac:dyDescent="0.25">
      <c r="A631" s="23" t="s">
        <v>821</v>
      </c>
      <c r="B631" s="23" t="s">
        <v>823</v>
      </c>
      <c r="C631" s="23" t="s">
        <v>271</v>
      </c>
      <c r="D631" s="23" t="s">
        <v>168</v>
      </c>
      <c r="E631" s="23" t="s">
        <v>272</v>
      </c>
      <c r="F631" s="23" t="s">
        <v>170</v>
      </c>
      <c r="G631" s="24" t="str">
        <f>A631&amp;"|"&amp;B631</f>
        <v>JAC|E 30x</v>
      </c>
    </row>
    <row r="632" ht="15" customHeight="1" spans="1:7" x14ac:dyDescent="0.25">
      <c r="A632" s="23" t="s">
        <v>821</v>
      </c>
      <c r="B632" s="23" t="s">
        <v>824</v>
      </c>
      <c r="C632" s="23" t="s">
        <v>162</v>
      </c>
      <c r="D632" s="23" t="s">
        <v>163</v>
      </c>
      <c r="E632" s="23" t="s">
        <v>275</v>
      </c>
      <c r="F632" s="23" t="s">
        <v>165</v>
      </c>
      <c r="G632" s="24" t="str">
        <f>A632&amp;"|"&amp;B632</f>
        <v>JAC|E Frison T8</v>
      </c>
    </row>
    <row r="633" ht="15" customHeight="1" spans="1:7" x14ac:dyDescent="0.25">
      <c r="A633" s="23" t="s">
        <v>821</v>
      </c>
      <c r="B633" s="23" t="s">
        <v>825</v>
      </c>
      <c r="C633" s="23" t="s">
        <v>271</v>
      </c>
      <c r="D633" s="23" t="s">
        <v>168</v>
      </c>
      <c r="E633" s="23" t="s">
        <v>272</v>
      </c>
      <c r="F633" s="23" t="s">
        <v>170</v>
      </c>
      <c r="G633" s="24" t="str">
        <f>A633&amp;"|"&amp;B633</f>
        <v>JAC|E J4</v>
      </c>
    </row>
    <row r="634" ht="15" customHeight="1" spans="1:7" x14ac:dyDescent="0.25">
      <c r="A634" s="23" t="s">
        <v>821</v>
      </c>
      <c r="B634" s="23" t="s">
        <v>826</v>
      </c>
      <c r="C634" s="23" t="s">
        <v>162</v>
      </c>
      <c r="D634" s="23" t="s">
        <v>168</v>
      </c>
      <c r="E634" s="23" t="s">
        <v>385</v>
      </c>
      <c r="F634" s="23" t="s">
        <v>170</v>
      </c>
      <c r="G634" s="24" t="str">
        <f>A634&amp;"|"&amp;B634</f>
        <v>JAC|E J7</v>
      </c>
    </row>
    <row r="635" ht="15" customHeight="1" spans="1:7" x14ac:dyDescent="0.25">
      <c r="A635" s="23" t="s">
        <v>821</v>
      </c>
      <c r="B635" s="23" t="s">
        <v>827</v>
      </c>
      <c r="C635" s="23" t="s">
        <v>162</v>
      </c>
      <c r="D635" s="23" t="s">
        <v>163</v>
      </c>
      <c r="E635" s="23" t="s">
        <v>164</v>
      </c>
      <c r="F635" s="23" t="s">
        <v>165</v>
      </c>
      <c r="G635" s="24" t="str">
        <f>A635&amp;"|"&amp;B635</f>
        <v>JAC|E Sei 1</v>
      </c>
    </row>
    <row r="636" ht="15" customHeight="1" spans="1:7" x14ac:dyDescent="0.25">
      <c r="A636" s="23" t="s">
        <v>821</v>
      </c>
      <c r="B636" s="23" t="s">
        <v>828</v>
      </c>
      <c r="C636" s="23" t="s">
        <v>162</v>
      </c>
      <c r="D636" s="23" t="s">
        <v>163</v>
      </c>
      <c r="E636" s="23" t="s">
        <v>164</v>
      </c>
      <c r="F636" s="23" t="s">
        <v>165</v>
      </c>
      <c r="G636" s="24" t="str">
        <f>A636&amp;"|"&amp;B636</f>
        <v>JAC|E Sei 2</v>
      </c>
    </row>
    <row r="637" ht="15" customHeight="1" spans="1:7" x14ac:dyDescent="0.25">
      <c r="A637" s="23" t="s">
        <v>821</v>
      </c>
      <c r="B637" s="23" t="s">
        <v>829</v>
      </c>
      <c r="C637" s="23" t="s">
        <v>162</v>
      </c>
      <c r="D637" s="23" t="s">
        <v>163</v>
      </c>
      <c r="E637" s="23" t="s">
        <v>164</v>
      </c>
      <c r="F637" s="23" t="s">
        <v>165</v>
      </c>
      <c r="G637" s="24" t="str">
        <f>A637&amp;"|"&amp;B637</f>
        <v>JAC|E Sei 4</v>
      </c>
    </row>
    <row r="638" ht="15" customHeight="1" spans="1:7" x14ac:dyDescent="0.25">
      <c r="A638" s="23" t="s">
        <v>821</v>
      </c>
      <c r="B638" s="23" t="s">
        <v>830</v>
      </c>
      <c r="C638" s="23" t="s">
        <v>271</v>
      </c>
      <c r="D638" s="23" t="s">
        <v>163</v>
      </c>
      <c r="E638" s="23" t="s">
        <v>277</v>
      </c>
      <c r="F638" s="23" t="s">
        <v>165</v>
      </c>
      <c r="G638" s="24" t="str">
        <f>A638&amp;"|"&amp;B638</f>
        <v>JAC|E SUNRAY</v>
      </c>
    </row>
    <row r="639" ht="15" customHeight="1" spans="1:7" x14ac:dyDescent="0.25">
      <c r="A639" s="23" t="s">
        <v>821</v>
      </c>
      <c r="B639" s="23" t="s">
        <v>831</v>
      </c>
      <c r="C639" s="23" t="s">
        <v>271</v>
      </c>
      <c r="D639" s="23" t="s">
        <v>163</v>
      </c>
      <c r="E639" s="23" t="s">
        <v>277</v>
      </c>
      <c r="F639" s="23" t="s">
        <v>165</v>
      </c>
      <c r="G639" s="24" t="str">
        <f>A639&amp;"|"&amp;B639</f>
        <v>JAC|E Sunray City</v>
      </c>
    </row>
    <row r="640" ht="15" customHeight="1" spans="1:7" x14ac:dyDescent="0.25">
      <c r="A640" s="23" t="s">
        <v>821</v>
      </c>
      <c r="B640" s="23" t="s">
        <v>832</v>
      </c>
      <c r="C640" s="23" t="s">
        <v>162</v>
      </c>
      <c r="D640" s="23" t="s">
        <v>163</v>
      </c>
      <c r="E640" s="23" t="s">
        <v>275</v>
      </c>
      <c r="F640" s="23" t="s">
        <v>165</v>
      </c>
      <c r="G640" s="24" t="str">
        <f>A640&amp;"|"&amp;B640</f>
        <v>JAC|E X350</v>
      </c>
    </row>
    <row r="641" ht="15" customHeight="1" spans="1:7" x14ac:dyDescent="0.25">
      <c r="A641" s="23" t="s">
        <v>821</v>
      </c>
      <c r="B641" s="23" t="s">
        <v>833</v>
      </c>
      <c r="C641" s="23" t="s">
        <v>162</v>
      </c>
      <c r="D641" s="23" t="s">
        <v>163</v>
      </c>
      <c r="E641" s="23" t="s">
        <v>164</v>
      </c>
      <c r="F641" s="23" t="s">
        <v>165</v>
      </c>
      <c r="G641" s="24" t="str">
        <f>A641&amp;"|"&amp;B641</f>
        <v>JAC|ESei4 Pro</v>
      </c>
    </row>
    <row r="642" ht="15" customHeight="1" spans="1:7" x14ac:dyDescent="0.25">
      <c r="A642" s="23" t="s">
        <v>821</v>
      </c>
      <c r="B642" s="23" t="s">
        <v>834</v>
      </c>
      <c r="C642" s="23" t="s">
        <v>162</v>
      </c>
      <c r="D642" s="23" t="s">
        <v>163</v>
      </c>
      <c r="E642" s="23" t="s">
        <v>275</v>
      </c>
      <c r="F642" s="23" t="s">
        <v>165</v>
      </c>
      <c r="G642" s="24" t="str">
        <f>A642&amp;"|"&amp;B642</f>
        <v>JAC|EX450</v>
      </c>
    </row>
    <row r="643" ht="15" customHeight="1" spans="1:7" x14ac:dyDescent="0.25">
      <c r="A643" s="23" t="s">
        <v>821</v>
      </c>
      <c r="B643" s="23" t="s">
        <v>835</v>
      </c>
      <c r="C643" s="23" t="s">
        <v>162</v>
      </c>
      <c r="D643" s="23" t="s">
        <v>163</v>
      </c>
      <c r="E643" s="23" t="s">
        <v>275</v>
      </c>
      <c r="F643" s="23" t="s">
        <v>165</v>
      </c>
      <c r="G643" s="24" t="str">
        <f>A643&amp;"|"&amp;B643</f>
        <v>JAC|Frison</v>
      </c>
    </row>
    <row r="644" ht="15" customHeight="1" spans="1:7" x14ac:dyDescent="0.25">
      <c r="A644" s="23" t="s">
        <v>821</v>
      </c>
      <c r="B644" s="23" t="s">
        <v>836</v>
      </c>
      <c r="C644" s="23" t="s">
        <v>162</v>
      </c>
      <c r="D644" s="23" t="s">
        <v>163</v>
      </c>
      <c r="E644" s="23" t="s">
        <v>275</v>
      </c>
      <c r="F644" s="23" t="s">
        <v>165</v>
      </c>
      <c r="G644" s="24" t="str">
        <f>A644&amp;"|"&amp;B644</f>
        <v>JAC|GML X150 EV</v>
      </c>
    </row>
    <row r="645" ht="15" customHeight="1" spans="1:7" x14ac:dyDescent="0.25">
      <c r="A645" s="23" t="s">
        <v>821</v>
      </c>
      <c r="B645" s="23" t="s">
        <v>837</v>
      </c>
      <c r="C645" s="23" t="s">
        <v>271</v>
      </c>
      <c r="D645" s="23" t="s">
        <v>168</v>
      </c>
      <c r="E645" s="23" t="s">
        <v>272</v>
      </c>
      <c r="F645" s="23" t="s">
        <v>170</v>
      </c>
      <c r="G645" s="24" t="str">
        <f>A645&amp;"|"&amp;B645</f>
        <v>JAC|J4</v>
      </c>
    </row>
    <row r="646" ht="15" customHeight="1" spans="1:7" x14ac:dyDescent="0.25">
      <c r="A646" s="23" t="s">
        <v>821</v>
      </c>
      <c r="B646" s="23" t="s">
        <v>838</v>
      </c>
      <c r="C646" s="23" t="s">
        <v>162</v>
      </c>
      <c r="D646" s="23" t="s">
        <v>168</v>
      </c>
      <c r="E646" s="23" t="s">
        <v>385</v>
      </c>
      <c r="F646" s="23" t="s">
        <v>170</v>
      </c>
      <c r="G646" s="24" t="str">
        <f>A646&amp;"|"&amp;B646</f>
        <v>JAC|J7</v>
      </c>
    </row>
    <row r="647" ht="15" customHeight="1" spans="1:7" x14ac:dyDescent="0.25">
      <c r="A647" s="23" t="s">
        <v>821</v>
      </c>
      <c r="B647" s="23" t="s">
        <v>839</v>
      </c>
      <c r="C647" s="23" t="s">
        <v>162</v>
      </c>
      <c r="D647" s="23" t="s">
        <v>163</v>
      </c>
      <c r="E647" s="23" t="s">
        <v>164</v>
      </c>
      <c r="F647" s="23" t="s">
        <v>165</v>
      </c>
      <c r="G647" s="24" t="str">
        <f>A647&amp;"|"&amp;B647</f>
        <v>JAC|JAC2</v>
      </c>
    </row>
    <row r="648" ht="15" customHeight="1" spans="1:7" x14ac:dyDescent="0.25">
      <c r="A648" s="23" t="s">
        <v>821</v>
      </c>
      <c r="B648" s="23" t="s">
        <v>840</v>
      </c>
      <c r="C648" s="23" t="s">
        <v>162</v>
      </c>
      <c r="D648" s="23" t="s">
        <v>163</v>
      </c>
      <c r="E648" s="23" t="s">
        <v>164</v>
      </c>
      <c r="F648" s="23" t="s">
        <v>165</v>
      </c>
      <c r="G648" s="24" t="str">
        <f>A648&amp;"|"&amp;B648</f>
        <v>JAC|JAC4</v>
      </c>
    </row>
    <row r="649" ht="15" customHeight="1" spans="1:7" x14ac:dyDescent="0.25">
      <c r="A649" s="23" t="s">
        <v>821</v>
      </c>
      <c r="B649" s="23" t="s">
        <v>841</v>
      </c>
      <c r="C649" s="23" t="s">
        <v>162</v>
      </c>
      <c r="D649" s="23" t="s">
        <v>163</v>
      </c>
      <c r="E649" s="23" t="s">
        <v>164</v>
      </c>
      <c r="F649" s="23" t="s">
        <v>165</v>
      </c>
      <c r="G649" s="24" t="str">
        <f>A649&amp;"|"&amp;B649</f>
        <v>JAC|JAC6</v>
      </c>
    </row>
    <row r="650" ht="15" customHeight="1" spans="1:7" x14ac:dyDescent="0.25">
      <c r="A650" s="23" t="s">
        <v>821</v>
      </c>
      <c r="B650" s="23" t="s">
        <v>842</v>
      </c>
      <c r="C650" s="23" t="s">
        <v>162</v>
      </c>
      <c r="D650" s="23" t="s">
        <v>163</v>
      </c>
      <c r="E650" s="23" t="s">
        <v>164</v>
      </c>
      <c r="F650" s="23" t="s">
        <v>165</v>
      </c>
      <c r="G650" s="24" t="str">
        <f>A650&amp;"|"&amp;B650</f>
        <v>JAC|JAC8</v>
      </c>
    </row>
    <row r="651" ht="15" customHeight="1" spans="1:7" x14ac:dyDescent="0.25">
      <c r="A651" s="23" t="s">
        <v>821</v>
      </c>
      <c r="B651" s="23" t="s">
        <v>843</v>
      </c>
      <c r="C651" s="23" t="s">
        <v>162</v>
      </c>
      <c r="D651" s="23" t="s">
        <v>163</v>
      </c>
      <c r="E651" s="23" t="s">
        <v>164</v>
      </c>
      <c r="F651" s="23" t="s">
        <v>165</v>
      </c>
      <c r="G651" s="24" t="str">
        <f>A651&amp;"|"&amp;B651</f>
        <v>JAC|Sei2</v>
      </c>
    </row>
    <row r="652" ht="15" customHeight="1" spans="1:7" x14ac:dyDescent="0.25">
      <c r="A652" s="23" t="s">
        <v>821</v>
      </c>
      <c r="B652" s="23" t="s">
        <v>844</v>
      </c>
      <c r="C652" s="23" t="s">
        <v>162</v>
      </c>
      <c r="D652" s="23" t="s">
        <v>163</v>
      </c>
      <c r="E652" s="23" t="s">
        <v>164</v>
      </c>
      <c r="F652" s="23" t="s">
        <v>165</v>
      </c>
      <c r="G652" s="24" t="str">
        <f>A652&amp;"|"&amp;B652</f>
        <v>JAC|Sei3</v>
      </c>
    </row>
    <row r="653" ht="15" customHeight="1" spans="1:7" x14ac:dyDescent="0.25">
      <c r="A653" s="23" t="s">
        <v>821</v>
      </c>
      <c r="B653" s="23" t="s">
        <v>845</v>
      </c>
      <c r="C653" s="23" t="s">
        <v>162</v>
      </c>
      <c r="D653" s="23" t="s">
        <v>163</v>
      </c>
      <c r="E653" s="23" t="s">
        <v>164</v>
      </c>
      <c r="F653" s="23" t="s">
        <v>165</v>
      </c>
      <c r="G653" s="24" t="str">
        <f>A653&amp;"|"&amp;B653</f>
        <v>JAC|Sei4</v>
      </c>
    </row>
    <row r="654" ht="15" customHeight="1" spans="1:7" x14ac:dyDescent="0.25">
      <c r="A654" s="23" t="s">
        <v>821</v>
      </c>
      <c r="B654" s="23" t="s">
        <v>846</v>
      </c>
      <c r="C654" s="23" t="s">
        <v>162</v>
      </c>
      <c r="D654" s="23" t="s">
        <v>163</v>
      </c>
      <c r="E654" s="23" t="s">
        <v>164</v>
      </c>
      <c r="F654" s="23" t="s">
        <v>165</v>
      </c>
      <c r="G654" s="24" t="str">
        <f>A654&amp;"|"&amp;B654</f>
        <v>JAC|Sei4 Pro</v>
      </c>
    </row>
    <row r="655" ht="15" customHeight="1" spans="1:7" x14ac:dyDescent="0.25">
      <c r="A655" s="23" t="s">
        <v>821</v>
      </c>
      <c r="B655" s="23" t="s">
        <v>847</v>
      </c>
      <c r="C655" s="23" t="s">
        <v>162</v>
      </c>
      <c r="D655" s="23" t="s">
        <v>163</v>
      </c>
      <c r="E655" s="23" t="s">
        <v>164</v>
      </c>
      <c r="F655" s="23" t="s">
        <v>165</v>
      </c>
      <c r="G655" s="24" t="str">
        <f>A655&amp;"|"&amp;B655</f>
        <v>JAC|Sei6 Pro</v>
      </c>
    </row>
    <row r="656" ht="15" customHeight="1" spans="1:7" x14ac:dyDescent="0.25">
      <c r="A656" s="23" t="s">
        <v>821</v>
      </c>
      <c r="B656" s="23" t="s">
        <v>848</v>
      </c>
      <c r="C656" s="23" t="s">
        <v>162</v>
      </c>
      <c r="D656" s="23" t="s">
        <v>163</v>
      </c>
      <c r="E656" s="23" t="s">
        <v>164</v>
      </c>
      <c r="F656" s="23" t="s">
        <v>165</v>
      </c>
      <c r="G656" s="24" t="str">
        <f>A656&amp;"|"&amp;B656</f>
        <v>JAC|Sei7</v>
      </c>
    </row>
    <row r="657" ht="15" customHeight="1" spans="1:7" x14ac:dyDescent="0.25">
      <c r="A657" s="23" t="s">
        <v>821</v>
      </c>
      <c r="B657" s="23" t="s">
        <v>849</v>
      </c>
      <c r="C657" s="23" t="s">
        <v>162</v>
      </c>
      <c r="D657" s="23" t="s">
        <v>163</v>
      </c>
      <c r="E657" s="23" t="s">
        <v>164</v>
      </c>
      <c r="F657" s="23" t="s">
        <v>165</v>
      </c>
      <c r="G657" s="24" t="str">
        <f>A657&amp;"|"&amp;B657</f>
        <v>JAC|SEI7 PRO</v>
      </c>
    </row>
    <row r="658" ht="15" customHeight="1" spans="1:7" x14ac:dyDescent="0.25">
      <c r="A658" s="23" t="s">
        <v>821</v>
      </c>
      <c r="B658" s="23" t="s">
        <v>850</v>
      </c>
      <c r="C658" s="23" t="s">
        <v>271</v>
      </c>
      <c r="D658" s="23" t="s">
        <v>163</v>
      </c>
      <c r="E658" s="23" t="s">
        <v>277</v>
      </c>
      <c r="F658" s="23" t="s">
        <v>165</v>
      </c>
      <c r="G658" s="24" t="str">
        <f>A658&amp;"|"&amp;B658</f>
        <v>JAC|SUNRAY</v>
      </c>
    </row>
    <row r="659" ht="15" customHeight="1" spans="1:7" x14ac:dyDescent="0.25">
      <c r="A659" s="23" t="s">
        <v>821</v>
      </c>
      <c r="B659" s="23" t="s">
        <v>851</v>
      </c>
      <c r="C659" s="23" t="s">
        <v>271</v>
      </c>
      <c r="D659" s="23" t="s">
        <v>163</v>
      </c>
      <c r="E659" s="23" t="s">
        <v>277</v>
      </c>
      <c r="F659" s="23" t="s">
        <v>165</v>
      </c>
      <c r="G659" s="24" t="str">
        <f>A659&amp;"|"&amp;B659</f>
        <v>JAC|Sunray City</v>
      </c>
    </row>
    <row r="660" ht="15" customHeight="1" spans="1:7" x14ac:dyDescent="0.25">
      <c r="A660" s="23" t="s">
        <v>821</v>
      </c>
      <c r="B660" s="23" t="s">
        <v>852</v>
      </c>
      <c r="C660" s="23" t="s">
        <v>162</v>
      </c>
      <c r="D660" s="23" t="s">
        <v>168</v>
      </c>
      <c r="E660" s="23" t="s">
        <v>385</v>
      </c>
      <c r="F660" s="23" t="s">
        <v>170</v>
      </c>
      <c r="G660" s="24" t="str">
        <f>A660&amp;"|"&amp;B660</f>
        <v>JAC|Traveler</v>
      </c>
    </row>
    <row r="661" ht="15" customHeight="1" spans="1:7" x14ac:dyDescent="0.25">
      <c r="A661" s="23" t="s">
        <v>821</v>
      </c>
      <c r="B661" s="23" t="s">
        <v>853</v>
      </c>
      <c r="C661" s="23" t="s">
        <v>162</v>
      </c>
      <c r="D661" s="23" t="s">
        <v>163</v>
      </c>
      <c r="E661" s="23" t="s">
        <v>275</v>
      </c>
      <c r="F661" s="23" t="s">
        <v>165</v>
      </c>
      <c r="G661" s="24" t="str">
        <f>A661&amp;"|"&amp;B661</f>
        <v>JAC|X 200</v>
      </c>
    </row>
    <row r="662" ht="15" customHeight="1" spans="1:7" x14ac:dyDescent="0.25">
      <c r="A662" s="23" t="s">
        <v>821</v>
      </c>
      <c r="B662" s="23" t="s">
        <v>854</v>
      </c>
      <c r="C662" s="23" t="s">
        <v>162</v>
      </c>
      <c r="D662" s="23" t="s">
        <v>163</v>
      </c>
      <c r="E662" s="23" t="s">
        <v>275</v>
      </c>
      <c r="F662" s="23" t="s">
        <v>165</v>
      </c>
      <c r="G662" s="24" t="str">
        <f>A662&amp;"|"&amp;B662</f>
        <v>JAC|X250</v>
      </c>
    </row>
    <row r="663" ht="15" customHeight="1" spans="1:7" x14ac:dyDescent="0.25">
      <c r="A663" s="23" t="s">
        <v>821</v>
      </c>
      <c r="B663" s="23" t="s">
        <v>855</v>
      </c>
      <c r="C663" s="23" t="s">
        <v>162</v>
      </c>
      <c r="D663" s="23" t="s">
        <v>163</v>
      </c>
      <c r="E663" s="23" t="s">
        <v>275</v>
      </c>
      <c r="F663" s="23" t="s">
        <v>165</v>
      </c>
      <c r="G663" s="24" t="str">
        <f>A663&amp;"|"&amp;B663</f>
        <v>JAC|X350</v>
      </c>
    </row>
    <row r="664" ht="15" customHeight="1" spans="1:7" x14ac:dyDescent="0.25">
      <c r="A664" s="23" t="s">
        <v>856</v>
      </c>
      <c r="B664" s="23" t="s">
        <v>857</v>
      </c>
      <c r="C664" s="23" t="s">
        <v>167</v>
      </c>
      <c r="D664" s="23" t="s">
        <v>168</v>
      </c>
      <c r="E664" s="23" t="s">
        <v>169</v>
      </c>
      <c r="F664" s="23" t="s">
        <v>170</v>
      </c>
      <c r="G664" s="24" t="str">
        <f>A664&amp;"|"&amp;B664</f>
        <v>Jaguar|E-Pace</v>
      </c>
    </row>
    <row r="665" ht="15" customHeight="1" spans="1:7" x14ac:dyDescent="0.25">
      <c r="A665" s="23" t="s">
        <v>856</v>
      </c>
      <c r="B665" s="23" t="s">
        <v>858</v>
      </c>
      <c r="C665" s="23" t="s">
        <v>167</v>
      </c>
      <c r="D665" s="23" t="s">
        <v>168</v>
      </c>
      <c r="E665" s="23" t="s">
        <v>169</v>
      </c>
      <c r="F665" s="23" t="s">
        <v>170</v>
      </c>
      <c r="G665" s="24" t="str">
        <f>A665&amp;"|"&amp;B665</f>
        <v>Jaguar|F Type</v>
      </c>
    </row>
    <row r="666" ht="15" customHeight="1" spans="1:7" x14ac:dyDescent="0.25">
      <c r="A666" s="23" t="s">
        <v>856</v>
      </c>
      <c r="B666" s="23" t="s">
        <v>859</v>
      </c>
      <c r="C666" s="23" t="s">
        <v>167</v>
      </c>
      <c r="D666" s="23" t="s">
        <v>168</v>
      </c>
      <c r="E666" s="23" t="s">
        <v>169</v>
      </c>
      <c r="F666" s="23" t="s">
        <v>170</v>
      </c>
      <c r="G666" s="24" t="str">
        <f>A666&amp;"|"&amp;B666</f>
        <v>Jaguar|F-Pace</v>
      </c>
    </row>
    <row r="667" ht="15" customHeight="1" spans="1:7" x14ac:dyDescent="0.25">
      <c r="A667" s="23" t="s">
        <v>856</v>
      </c>
      <c r="B667" s="23" t="s">
        <v>860</v>
      </c>
      <c r="C667" s="23" t="s">
        <v>167</v>
      </c>
      <c r="D667" s="23" t="s">
        <v>168</v>
      </c>
      <c r="E667" s="23" t="s">
        <v>175</v>
      </c>
      <c r="F667" s="23" t="s">
        <v>170</v>
      </c>
      <c r="G667" s="24" t="str">
        <f>A667&amp;"|"&amp;B667</f>
        <v>Jaguar|F-Type</v>
      </c>
    </row>
    <row r="668" ht="15" customHeight="1" spans="1:7" x14ac:dyDescent="0.25">
      <c r="A668" s="23" t="s">
        <v>856</v>
      </c>
      <c r="B668" s="23" t="s">
        <v>861</v>
      </c>
      <c r="C668" s="23" t="s">
        <v>167</v>
      </c>
      <c r="D668" s="23" t="s">
        <v>168</v>
      </c>
      <c r="E668" s="23" t="s">
        <v>169</v>
      </c>
      <c r="F668" s="23" t="s">
        <v>170</v>
      </c>
      <c r="G668" s="24" t="str">
        <f>A668&amp;"|"&amp;B668</f>
        <v>Jaguar|I-Pace</v>
      </c>
    </row>
    <row r="669" ht="15" customHeight="1" spans="1:7" x14ac:dyDescent="0.25">
      <c r="A669" s="23" t="s">
        <v>856</v>
      </c>
      <c r="B669" s="23" t="s">
        <v>862</v>
      </c>
      <c r="C669" s="23" t="s">
        <v>167</v>
      </c>
      <c r="D669" s="23" t="s">
        <v>168</v>
      </c>
      <c r="E669" s="23" t="s">
        <v>169</v>
      </c>
      <c r="F669" s="23" t="s">
        <v>170</v>
      </c>
      <c r="G669" s="24" t="str">
        <f>A669&amp;"|"&amp;B669</f>
        <v>Jaguar|S Type 3.0l</v>
      </c>
    </row>
    <row r="670" ht="15" customHeight="1" spans="1:7" x14ac:dyDescent="0.25">
      <c r="A670" s="23" t="s">
        <v>856</v>
      </c>
      <c r="B670" s="23" t="s">
        <v>863</v>
      </c>
      <c r="C670" s="23" t="s">
        <v>167</v>
      </c>
      <c r="D670" s="23" t="s">
        <v>168</v>
      </c>
      <c r="E670" s="23" t="s">
        <v>169</v>
      </c>
      <c r="F670" s="23" t="s">
        <v>170</v>
      </c>
      <c r="G670" s="24" t="str">
        <f>A670&amp;"|"&amp;B670</f>
        <v>Jaguar|S Type 4.2l</v>
      </c>
    </row>
    <row r="671" ht="15" customHeight="1" spans="1:7" x14ac:dyDescent="0.25">
      <c r="A671" s="23" t="s">
        <v>856</v>
      </c>
      <c r="B671" s="23" t="s">
        <v>864</v>
      </c>
      <c r="C671" s="23" t="s">
        <v>167</v>
      </c>
      <c r="D671" s="23" t="s">
        <v>168</v>
      </c>
      <c r="E671" s="23" t="s">
        <v>169</v>
      </c>
      <c r="F671" s="23" t="s">
        <v>170</v>
      </c>
      <c r="G671" s="24" t="str">
        <f>A671&amp;"|"&amp;B671</f>
        <v>Jaguar|X Type 2.5l</v>
      </c>
    </row>
    <row r="672" ht="15" customHeight="1" spans="1:7" x14ac:dyDescent="0.25">
      <c r="A672" s="23" t="s">
        <v>856</v>
      </c>
      <c r="B672" s="23" t="s">
        <v>865</v>
      </c>
      <c r="C672" s="23" t="s">
        <v>167</v>
      </c>
      <c r="D672" s="23" t="s">
        <v>168</v>
      </c>
      <c r="E672" s="23" t="s">
        <v>169</v>
      </c>
      <c r="F672" s="23" t="s">
        <v>170</v>
      </c>
      <c r="G672" s="24" t="str">
        <f>A672&amp;"|"&amp;B672</f>
        <v>Jaguar|X Type 3.0l</v>
      </c>
    </row>
    <row r="673" ht="15" customHeight="1" spans="1:7" x14ac:dyDescent="0.25">
      <c r="A673" s="23" t="s">
        <v>856</v>
      </c>
      <c r="B673" s="23" t="s">
        <v>866</v>
      </c>
      <c r="C673" s="23" t="s">
        <v>167</v>
      </c>
      <c r="D673" s="23" t="s">
        <v>168</v>
      </c>
      <c r="E673" s="23" t="s">
        <v>169</v>
      </c>
      <c r="F673" s="23" t="s">
        <v>170</v>
      </c>
      <c r="G673" s="24" t="str">
        <f>A673&amp;"|"&amp;B673</f>
        <v>Jaguar|XE</v>
      </c>
    </row>
    <row r="674" ht="15" customHeight="1" spans="1:7" x14ac:dyDescent="0.25">
      <c r="A674" s="23" t="s">
        <v>856</v>
      </c>
      <c r="B674" s="23" t="s">
        <v>867</v>
      </c>
      <c r="C674" s="23" t="s">
        <v>167</v>
      </c>
      <c r="D674" s="23" t="s">
        <v>168</v>
      </c>
      <c r="E674" s="23" t="s">
        <v>169</v>
      </c>
      <c r="F674" s="23" t="s">
        <v>170</v>
      </c>
      <c r="G674" s="24" t="str">
        <f>A674&amp;"|"&amp;B674</f>
        <v>Jaguar|XF</v>
      </c>
    </row>
    <row r="675" ht="15" customHeight="1" spans="1:7" x14ac:dyDescent="0.25">
      <c r="A675" s="23" t="s">
        <v>856</v>
      </c>
      <c r="B675" s="23" t="s">
        <v>868</v>
      </c>
      <c r="C675" s="23" t="s">
        <v>167</v>
      </c>
      <c r="D675" s="23" t="s">
        <v>168</v>
      </c>
      <c r="E675" s="23" t="s">
        <v>169</v>
      </c>
      <c r="F675" s="23" t="s">
        <v>170</v>
      </c>
      <c r="G675" s="24" t="str">
        <f>A675&amp;"|"&amp;B675</f>
        <v>Jaguar|XF 4.2L</v>
      </c>
    </row>
    <row r="676" ht="15" customHeight="1" spans="1:7" x14ac:dyDescent="0.25">
      <c r="A676" s="23" t="s">
        <v>856</v>
      </c>
      <c r="B676" s="23" t="s">
        <v>869</v>
      </c>
      <c r="C676" s="23" t="s">
        <v>167</v>
      </c>
      <c r="D676" s="23" t="s">
        <v>168</v>
      </c>
      <c r="E676" s="23" t="s">
        <v>169</v>
      </c>
      <c r="F676" s="23" t="s">
        <v>170</v>
      </c>
      <c r="G676" s="24" t="str">
        <f>A676&amp;"|"&amp;B676</f>
        <v>Jaguar|XF 5.0L</v>
      </c>
    </row>
    <row r="677" ht="15" customHeight="1" spans="1:7" x14ac:dyDescent="0.25">
      <c r="A677" s="23" t="s">
        <v>856</v>
      </c>
      <c r="B677" s="23" t="s">
        <v>870</v>
      </c>
      <c r="C677" s="23" t="s">
        <v>167</v>
      </c>
      <c r="D677" s="23" t="s">
        <v>168</v>
      </c>
      <c r="E677" s="23" t="s">
        <v>169</v>
      </c>
      <c r="F677" s="23" t="s">
        <v>170</v>
      </c>
      <c r="G677" s="24" t="str">
        <f>A677&amp;"|"&amp;B677</f>
        <v>Jaguar|XJ</v>
      </c>
    </row>
    <row r="678" ht="15" customHeight="1" spans="1:7" x14ac:dyDescent="0.25">
      <c r="A678" s="23" t="s">
        <v>856</v>
      </c>
      <c r="B678" s="23" t="s">
        <v>871</v>
      </c>
      <c r="C678" s="23" t="s">
        <v>167</v>
      </c>
      <c r="D678" s="23" t="s">
        <v>168</v>
      </c>
      <c r="E678" s="23" t="s">
        <v>169</v>
      </c>
      <c r="F678" s="23" t="s">
        <v>170</v>
      </c>
      <c r="G678" s="24" t="str">
        <f>A678&amp;"|"&amp;B678</f>
        <v>Jaguar|Xj Sedan Series</v>
      </c>
    </row>
    <row r="679" ht="15" customHeight="1" spans="1:7" x14ac:dyDescent="0.25">
      <c r="A679" s="23" t="s">
        <v>856</v>
      </c>
      <c r="B679" s="23" t="s">
        <v>872</v>
      </c>
      <c r="C679" s="23" t="s">
        <v>167</v>
      </c>
      <c r="D679" s="23" t="s">
        <v>168</v>
      </c>
      <c r="E679" s="23" t="s">
        <v>169</v>
      </c>
      <c r="F679" s="23" t="s">
        <v>170</v>
      </c>
      <c r="G679" s="24" t="str">
        <f>A679&amp;"|"&amp;B679</f>
        <v>Jaguar|XK</v>
      </c>
    </row>
    <row r="680" ht="15" customHeight="1" spans="1:7" x14ac:dyDescent="0.25">
      <c r="A680" s="23" t="s">
        <v>856</v>
      </c>
      <c r="B680" s="23" t="s">
        <v>873</v>
      </c>
      <c r="C680" s="23" t="s">
        <v>167</v>
      </c>
      <c r="D680" s="23" t="s">
        <v>168</v>
      </c>
      <c r="E680" s="23" t="s">
        <v>175</v>
      </c>
      <c r="F680" s="23" t="s">
        <v>170</v>
      </c>
      <c r="G680" s="24" t="str">
        <f>A680&amp;"|"&amp;B680</f>
        <v>Jaguar|Xk Series</v>
      </c>
    </row>
    <row r="681" ht="15" customHeight="1" spans="1:7" x14ac:dyDescent="0.25">
      <c r="A681" s="23" t="s">
        <v>874</v>
      </c>
      <c r="B681" s="23" t="s">
        <v>875</v>
      </c>
      <c r="C681" s="23" t="s">
        <v>162</v>
      </c>
      <c r="D681" s="23" t="s">
        <v>163</v>
      </c>
      <c r="E681" s="23" t="s">
        <v>164</v>
      </c>
      <c r="F681" s="23" t="s">
        <v>165</v>
      </c>
      <c r="G681" s="24" t="str">
        <f>A681&amp;"|"&amp;B681</f>
        <v>JETOUR|Dashing</v>
      </c>
    </row>
    <row r="682" ht="15" customHeight="1" spans="1:7" x14ac:dyDescent="0.25">
      <c r="A682" s="23" t="s">
        <v>874</v>
      </c>
      <c r="B682" s="23" t="s">
        <v>876</v>
      </c>
      <c r="C682" s="23" t="s">
        <v>162</v>
      </c>
      <c r="D682" s="23" t="s">
        <v>163</v>
      </c>
      <c r="E682" s="23" t="s">
        <v>164</v>
      </c>
      <c r="F682" s="23" t="s">
        <v>165</v>
      </c>
      <c r="G682" s="24" t="str">
        <f>A682&amp;"|"&amp;B682</f>
        <v>JETOUR|T2</v>
      </c>
    </row>
    <row r="683" ht="15" customHeight="1" spans="1:7" x14ac:dyDescent="0.25">
      <c r="A683" s="23" t="s">
        <v>874</v>
      </c>
      <c r="B683" s="23" t="s">
        <v>877</v>
      </c>
      <c r="C683" s="23" t="s">
        <v>162</v>
      </c>
      <c r="D683" s="23" t="s">
        <v>163</v>
      </c>
      <c r="E683" s="23" t="s">
        <v>164</v>
      </c>
      <c r="F683" s="23" t="s">
        <v>165</v>
      </c>
      <c r="G683" s="24" t="str">
        <f>A683&amp;"|"&amp;B683</f>
        <v>JETOUR|X70</v>
      </c>
    </row>
    <row r="684" ht="15" customHeight="1" spans="1:7" x14ac:dyDescent="0.25">
      <c r="A684" s="23" t="s">
        <v>874</v>
      </c>
      <c r="B684" s="23" t="s">
        <v>878</v>
      </c>
      <c r="C684" s="23" t="s">
        <v>162</v>
      </c>
      <c r="D684" s="23" t="s">
        <v>163</v>
      </c>
      <c r="E684" s="23" t="s">
        <v>164</v>
      </c>
      <c r="F684" s="23" t="s">
        <v>165</v>
      </c>
      <c r="G684" s="24" t="str">
        <f>A684&amp;"|"&amp;B684</f>
        <v>JETOUR|X70 Plus</v>
      </c>
    </row>
    <row r="685" ht="15" customHeight="1" spans="1:7" x14ac:dyDescent="0.25">
      <c r="A685" s="23" t="s">
        <v>879</v>
      </c>
      <c r="B685" s="23" t="s">
        <v>875</v>
      </c>
      <c r="C685" s="23" t="s">
        <v>162</v>
      </c>
      <c r="D685" s="23" t="s">
        <v>163</v>
      </c>
      <c r="E685" s="23" t="s">
        <v>164</v>
      </c>
      <c r="F685" s="23" t="s">
        <v>165</v>
      </c>
      <c r="G685" s="24" t="str">
        <f>A685&amp;"|"&amp;B685</f>
        <v>Jetour Soueast|Dashing</v>
      </c>
    </row>
    <row r="686" ht="15" customHeight="1" spans="1:7" x14ac:dyDescent="0.25">
      <c r="A686" s="23" t="s">
        <v>879</v>
      </c>
      <c r="B686" s="23" t="s">
        <v>880</v>
      </c>
      <c r="C686" s="23" t="s">
        <v>162</v>
      </c>
      <c r="D686" s="23" t="s">
        <v>163</v>
      </c>
      <c r="E686" s="23" t="s">
        <v>164</v>
      </c>
      <c r="F686" s="23" t="s">
        <v>165</v>
      </c>
      <c r="G686" s="24" t="str">
        <f>A686&amp;"|"&amp;B686</f>
        <v>Jetour Soueast|G700 PHEV</v>
      </c>
    </row>
    <row r="687" ht="15" customHeight="1" spans="1:7" x14ac:dyDescent="0.25">
      <c r="A687" s="23" t="s">
        <v>879</v>
      </c>
      <c r="B687" s="23" t="s">
        <v>881</v>
      </c>
      <c r="C687" s="23" t="s">
        <v>162</v>
      </c>
      <c r="D687" s="23" t="s">
        <v>163</v>
      </c>
      <c r="E687" s="23" t="s">
        <v>164</v>
      </c>
      <c r="F687" s="23" t="s">
        <v>165</v>
      </c>
      <c r="G687" s="24" t="str">
        <f>A687&amp;"|"&amp;B687</f>
        <v>Jetour Soueast|S06 i-DM</v>
      </c>
    </row>
    <row r="688" ht="15" customHeight="1" spans="1:7" x14ac:dyDescent="0.25">
      <c r="A688" s="23" t="s">
        <v>879</v>
      </c>
      <c r="B688" s="23" t="s">
        <v>882</v>
      </c>
      <c r="C688" s="23" t="s">
        <v>162</v>
      </c>
      <c r="D688" s="23" t="s">
        <v>163</v>
      </c>
      <c r="E688" s="23" t="s">
        <v>164</v>
      </c>
      <c r="F688" s="23" t="s">
        <v>165</v>
      </c>
      <c r="G688" s="24" t="str">
        <f>A688&amp;"|"&amp;B688</f>
        <v>Jetour Soueast|S07</v>
      </c>
    </row>
    <row r="689" ht="15" customHeight="1" spans="1:7" x14ac:dyDescent="0.25">
      <c r="A689" s="23" t="s">
        <v>879</v>
      </c>
      <c r="B689" s="23" t="s">
        <v>883</v>
      </c>
      <c r="C689" s="23" t="s">
        <v>162</v>
      </c>
      <c r="D689" s="23" t="s">
        <v>163</v>
      </c>
      <c r="E689" s="23" t="s">
        <v>164</v>
      </c>
      <c r="F689" s="23" t="s">
        <v>165</v>
      </c>
      <c r="G689" s="24" t="str">
        <f>A689&amp;"|"&amp;B689</f>
        <v>Jetour Soueast|S08 i-DM</v>
      </c>
    </row>
    <row r="690" ht="15" customHeight="1" spans="1:7" x14ac:dyDescent="0.25">
      <c r="A690" s="23" t="s">
        <v>879</v>
      </c>
      <c r="B690" s="23" t="s">
        <v>884</v>
      </c>
      <c r="C690" s="23" t="s">
        <v>162</v>
      </c>
      <c r="D690" s="23" t="s">
        <v>163</v>
      </c>
      <c r="E690" s="23" t="s">
        <v>164</v>
      </c>
      <c r="F690" s="23" t="s">
        <v>165</v>
      </c>
      <c r="G690" s="24" t="str">
        <f>A690&amp;"|"&amp;B690</f>
        <v>Jetour Soueast|S09</v>
      </c>
    </row>
    <row r="691" ht="15" customHeight="1" spans="1:7" x14ac:dyDescent="0.25">
      <c r="A691" s="23" t="s">
        <v>879</v>
      </c>
      <c r="B691" s="23" t="s">
        <v>885</v>
      </c>
      <c r="C691" s="23" t="s">
        <v>162</v>
      </c>
      <c r="D691" s="23" t="s">
        <v>163</v>
      </c>
      <c r="E691" s="23" t="s">
        <v>164</v>
      </c>
      <c r="F691" s="23" t="s">
        <v>165</v>
      </c>
      <c r="G691" s="24" t="str">
        <f>A691&amp;"|"&amp;B691</f>
        <v>Jetour Soueast|T1</v>
      </c>
    </row>
    <row r="692" ht="15" customHeight="1" spans="1:7" x14ac:dyDescent="0.25">
      <c r="A692" s="23" t="s">
        <v>879</v>
      </c>
      <c r="B692" s="23" t="s">
        <v>886</v>
      </c>
      <c r="C692" s="23" t="s">
        <v>162</v>
      </c>
      <c r="D692" s="23" t="s">
        <v>163</v>
      </c>
      <c r="E692" s="23" t="s">
        <v>164</v>
      </c>
      <c r="F692" s="23" t="s">
        <v>165</v>
      </c>
      <c r="G692" s="24" t="str">
        <f>A692&amp;"|"&amp;B692</f>
        <v>Jetour Soueast|T1 i-DM</v>
      </c>
    </row>
    <row r="693" ht="15" customHeight="1" spans="1:7" x14ac:dyDescent="0.25">
      <c r="A693" s="23" t="s">
        <v>879</v>
      </c>
      <c r="B693" s="23" t="s">
        <v>876</v>
      </c>
      <c r="C693" s="23" t="s">
        <v>162</v>
      </c>
      <c r="D693" s="23" t="s">
        <v>163</v>
      </c>
      <c r="E693" s="23" t="s">
        <v>164</v>
      </c>
      <c r="F693" s="23" t="s">
        <v>165</v>
      </c>
      <c r="G693" s="24" t="str">
        <f>A693&amp;"|"&amp;B693</f>
        <v>Jetour Soueast|T2</v>
      </c>
    </row>
    <row r="694" ht="15" customHeight="1" spans="1:7" x14ac:dyDescent="0.25">
      <c r="A694" s="23" t="s">
        <v>879</v>
      </c>
      <c r="B694" s="23" t="s">
        <v>887</v>
      </c>
      <c r="C694" s="23" t="s">
        <v>162</v>
      </c>
      <c r="D694" s="23" t="s">
        <v>163</v>
      </c>
      <c r="E694" s="23" t="s">
        <v>164</v>
      </c>
      <c r="F694" s="23" t="s">
        <v>165</v>
      </c>
      <c r="G694" s="24" t="str">
        <f>A694&amp;"|"&amp;B694</f>
        <v>Jetour Soueast|T2 i-DM</v>
      </c>
    </row>
    <row r="695" ht="15" customHeight="1" spans="1:7" x14ac:dyDescent="0.25">
      <c r="A695" s="23" t="s">
        <v>879</v>
      </c>
      <c r="B695" s="23" t="s">
        <v>877</v>
      </c>
      <c r="C695" s="23" t="s">
        <v>162</v>
      </c>
      <c r="D695" s="23" t="s">
        <v>163</v>
      </c>
      <c r="E695" s="23" t="s">
        <v>164</v>
      </c>
      <c r="F695" s="23" t="s">
        <v>165</v>
      </c>
      <c r="G695" s="24" t="str">
        <f>A695&amp;"|"&amp;B695</f>
        <v>Jetour Soueast|X70</v>
      </c>
    </row>
    <row r="696" ht="15" customHeight="1" spans="1:7" x14ac:dyDescent="0.25">
      <c r="A696" s="23" t="s">
        <v>879</v>
      </c>
      <c r="B696" s="23" t="s">
        <v>878</v>
      </c>
      <c r="C696" s="23" t="s">
        <v>162</v>
      </c>
      <c r="D696" s="23" t="s">
        <v>163</v>
      </c>
      <c r="E696" s="23" t="s">
        <v>164</v>
      </c>
      <c r="F696" s="23" t="s">
        <v>165</v>
      </c>
      <c r="G696" s="24" t="str">
        <f>A696&amp;"|"&amp;B696</f>
        <v>Jetour Soueast|X70 Plus</v>
      </c>
    </row>
    <row r="697" ht="15" customHeight="1" spans="1:7" x14ac:dyDescent="0.25">
      <c r="A697" s="23" t="s">
        <v>888</v>
      </c>
      <c r="B697" s="23" t="s">
        <v>889</v>
      </c>
      <c r="C697" s="23" t="s">
        <v>162</v>
      </c>
      <c r="D697" s="23" t="s">
        <v>163</v>
      </c>
      <c r="E697" s="23" t="s">
        <v>164</v>
      </c>
      <c r="F697" s="23" t="s">
        <v>165</v>
      </c>
      <c r="G697" s="24" t="str">
        <f>A697&amp;"|"&amp;B697</f>
        <v>KIA|EV6</v>
      </c>
    </row>
    <row r="698" ht="15" customHeight="1" spans="1:7" x14ac:dyDescent="0.25">
      <c r="A698" s="23" t="s">
        <v>888</v>
      </c>
      <c r="B698" s="23" t="s">
        <v>890</v>
      </c>
      <c r="C698" s="23" t="s">
        <v>162</v>
      </c>
      <c r="D698" s="23" t="s">
        <v>168</v>
      </c>
      <c r="E698" s="23" t="s">
        <v>385</v>
      </c>
      <c r="F698" s="23" t="s">
        <v>170</v>
      </c>
      <c r="G698" s="24" t="str">
        <f>A698&amp;"|"&amp;B698</f>
        <v>KIA|Forte</v>
      </c>
    </row>
    <row r="699" ht="15" customHeight="1" spans="1:7" x14ac:dyDescent="0.25">
      <c r="A699" s="23" t="s">
        <v>888</v>
      </c>
      <c r="B699" s="23" t="s">
        <v>891</v>
      </c>
      <c r="C699" s="23" t="s">
        <v>162</v>
      </c>
      <c r="D699" s="23" t="s">
        <v>168</v>
      </c>
      <c r="E699" s="23" t="s">
        <v>385</v>
      </c>
      <c r="F699" s="23" t="s">
        <v>170</v>
      </c>
      <c r="G699" s="24" t="str">
        <f>A699&amp;"|"&amp;B699</f>
        <v>KIA|Forte Hatchback</v>
      </c>
    </row>
    <row r="700" ht="15" customHeight="1" spans="1:7" x14ac:dyDescent="0.25">
      <c r="A700" s="23" t="s">
        <v>888</v>
      </c>
      <c r="B700" s="23" t="s">
        <v>892</v>
      </c>
      <c r="C700" s="23" t="s">
        <v>162</v>
      </c>
      <c r="D700" s="23" t="s">
        <v>168</v>
      </c>
      <c r="E700" s="23" t="s">
        <v>385</v>
      </c>
      <c r="F700" s="23" t="s">
        <v>170</v>
      </c>
      <c r="G700" s="24" t="str">
        <f>A700&amp;"|"&amp;B700</f>
        <v>KIA|Forte-</v>
      </c>
    </row>
    <row r="701" ht="15" customHeight="1" spans="1:7" x14ac:dyDescent="0.25">
      <c r="A701" s="23" t="s">
        <v>888</v>
      </c>
      <c r="B701" s="23" t="s">
        <v>893</v>
      </c>
      <c r="C701" s="23" t="s">
        <v>162</v>
      </c>
      <c r="D701" s="23" t="s">
        <v>168</v>
      </c>
      <c r="E701" s="23" t="s">
        <v>385</v>
      </c>
      <c r="F701" s="23" t="s">
        <v>170</v>
      </c>
      <c r="G701" s="24" t="str">
        <f>A701&amp;"|"&amp;B701</f>
        <v>KIA|K4 Hatchback</v>
      </c>
    </row>
    <row r="702" ht="15" customHeight="1" spans="1:7" x14ac:dyDescent="0.25">
      <c r="A702" s="23" t="s">
        <v>888</v>
      </c>
      <c r="B702" s="23" t="s">
        <v>894</v>
      </c>
      <c r="C702" s="23" t="s">
        <v>162</v>
      </c>
      <c r="D702" s="23" t="s">
        <v>168</v>
      </c>
      <c r="E702" s="23" t="s">
        <v>385</v>
      </c>
      <c r="F702" s="23" t="s">
        <v>170</v>
      </c>
      <c r="G702" s="24" t="str">
        <f>A702&amp;"|"&amp;B702</f>
        <v>KIA|K4 Sedán</v>
      </c>
    </row>
    <row r="703" ht="15" customHeight="1" spans="1:7" x14ac:dyDescent="0.25">
      <c r="A703" s="23" t="s">
        <v>888</v>
      </c>
      <c r="B703" s="23" t="s">
        <v>895</v>
      </c>
      <c r="C703" s="23" t="s">
        <v>271</v>
      </c>
      <c r="D703" s="23" t="s">
        <v>168</v>
      </c>
      <c r="E703" s="23" t="s">
        <v>272</v>
      </c>
      <c r="F703" s="23" t="s">
        <v>170</v>
      </c>
      <c r="G703" s="24" t="str">
        <f>A703&amp;"|"&amp;B703</f>
        <v>KIA|KIA K3 Hatchback</v>
      </c>
    </row>
    <row r="704" ht="15" customHeight="1" spans="1:7" x14ac:dyDescent="0.25">
      <c r="A704" s="23" t="s">
        <v>888</v>
      </c>
      <c r="B704" s="23" t="s">
        <v>896</v>
      </c>
      <c r="C704" s="23" t="s">
        <v>271</v>
      </c>
      <c r="D704" s="23" t="s">
        <v>168</v>
      </c>
      <c r="E704" s="23" t="s">
        <v>272</v>
      </c>
      <c r="F704" s="23" t="s">
        <v>170</v>
      </c>
      <c r="G704" s="24" t="str">
        <f>A704&amp;"|"&amp;B704</f>
        <v>KIA|KIA K3 Sedán</v>
      </c>
    </row>
    <row r="705" ht="15" customHeight="1" spans="1:7" x14ac:dyDescent="0.25">
      <c r="A705" s="23" t="s">
        <v>888</v>
      </c>
      <c r="B705" s="23" t="s">
        <v>897</v>
      </c>
      <c r="C705" s="23" t="s">
        <v>162</v>
      </c>
      <c r="D705" s="23" t="s">
        <v>163</v>
      </c>
      <c r="E705" s="23" t="s">
        <v>164</v>
      </c>
      <c r="F705" s="23" t="s">
        <v>165</v>
      </c>
      <c r="G705" s="24" t="str">
        <f>A705&amp;"|"&amp;B705</f>
        <v>KIA|KIA Niro</v>
      </c>
    </row>
    <row r="706" ht="15" customHeight="1" spans="1:7" x14ac:dyDescent="0.25">
      <c r="A706" s="23" t="s">
        <v>888</v>
      </c>
      <c r="B706" s="23" t="s">
        <v>898</v>
      </c>
      <c r="C706" s="23" t="s">
        <v>271</v>
      </c>
      <c r="D706" s="23" t="s">
        <v>168</v>
      </c>
      <c r="E706" s="23" t="s">
        <v>272</v>
      </c>
      <c r="F706" s="23" t="s">
        <v>170</v>
      </c>
      <c r="G706" s="24" t="str">
        <f>A706&amp;"|"&amp;B706</f>
        <v>KIA|KIA Río Hatchback</v>
      </c>
    </row>
    <row r="707" ht="15" customHeight="1" spans="1:7" x14ac:dyDescent="0.25">
      <c r="A707" s="23" t="s">
        <v>888</v>
      </c>
      <c r="B707" s="23" t="s">
        <v>899</v>
      </c>
      <c r="C707" s="23" t="s">
        <v>271</v>
      </c>
      <c r="D707" s="23" t="s">
        <v>168</v>
      </c>
      <c r="E707" s="23" t="s">
        <v>272</v>
      </c>
      <c r="F707" s="23" t="s">
        <v>170</v>
      </c>
      <c r="G707" s="24" t="str">
        <f>A707&amp;"|"&amp;B707</f>
        <v>KIA|Kia Río Hatchback-</v>
      </c>
    </row>
    <row r="708" ht="15" customHeight="1" spans="1:7" x14ac:dyDescent="0.25">
      <c r="A708" s="23" t="s">
        <v>888</v>
      </c>
      <c r="B708" s="23" t="s">
        <v>900</v>
      </c>
      <c r="C708" s="23" t="s">
        <v>271</v>
      </c>
      <c r="D708" s="23" t="s">
        <v>168</v>
      </c>
      <c r="E708" s="23" t="s">
        <v>272</v>
      </c>
      <c r="F708" s="23" t="s">
        <v>170</v>
      </c>
      <c r="G708" s="24" t="str">
        <f>A708&amp;"|"&amp;B708</f>
        <v>KIA|KIA Río Sedan</v>
      </c>
    </row>
    <row r="709" ht="15" customHeight="1" spans="1:7" x14ac:dyDescent="0.25">
      <c r="A709" s="23" t="s">
        <v>888</v>
      </c>
      <c r="B709" s="23" t="s">
        <v>901</v>
      </c>
      <c r="C709" s="23" t="s">
        <v>271</v>
      </c>
      <c r="D709" s="23" t="s">
        <v>168</v>
      </c>
      <c r="E709" s="23" t="s">
        <v>272</v>
      </c>
      <c r="F709" s="23" t="s">
        <v>170</v>
      </c>
      <c r="G709" s="24" t="str">
        <f>A709&amp;"|"&amp;B709</f>
        <v>KIA|KIA Río Sedan-</v>
      </c>
    </row>
    <row r="710" ht="15" customHeight="1" spans="1:7" x14ac:dyDescent="0.25">
      <c r="A710" s="23" t="s">
        <v>888</v>
      </c>
      <c r="B710" s="23" t="s">
        <v>902</v>
      </c>
      <c r="C710" s="23" t="s">
        <v>167</v>
      </c>
      <c r="D710" s="23" t="s">
        <v>168</v>
      </c>
      <c r="E710" s="23" t="s">
        <v>169</v>
      </c>
      <c r="F710" s="23" t="s">
        <v>170</v>
      </c>
      <c r="G710" s="24" t="str">
        <f>A710&amp;"|"&amp;B710</f>
        <v>KIA|KIA Óptima</v>
      </c>
    </row>
    <row r="711" ht="15" customHeight="1" spans="1:7" x14ac:dyDescent="0.25">
      <c r="A711" s="23" t="s">
        <v>888</v>
      </c>
      <c r="B711" s="23" t="s">
        <v>903</v>
      </c>
      <c r="C711" s="23" t="s">
        <v>271</v>
      </c>
      <c r="D711" s="23" t="s">
        <v>163</v>
      </c>
      <c r="E711" s="23" t="s">
        <v>277</v>
      </c>
      <c r="F711" s="23" t="s">
        <v>165</v>
      </c>
      <c r="G711" s="24" t="str">
        <f>A711&amp;"|"&amp;B711</f>
        <v>KIA|Sedona</v>
      </c>
    </row>
    <row r="712" ht="15" customHeight="1" spans="1:7" x14ac:dyDescent="0.25">
      <c r="A712" s="23" t="s">
        <v>888</v>
      </c>
      <c r="B712" s="23" t="s">
        <v>904</v>
      </c>
      <c r="C712" s="23" t="s">
        <v>162</v>
      </c>
      <c r="D712" s="23" t="s">
        <v>163</v>
      </c>
      <c r="E712" s="23" t="s">
        <v>164</v>
      </c>
      <c r="F712" s="23" t="s">
        <v>165</v>
      </c>
      <c r="G712" s="24" t="str">
        <f>A712&amp;"|"&amp;B712</f>
        <v>KIA|Seltos</v>
      </c>
    </row>
    <row r="713" ht="15" customHeight="1" spans="1:7" x14ac:dyDescent="0.25">
      <c r="A713" s="23" t="s">
        <v>888</v>
      </c>
      <c r="B713" s="23" t="s">
        <v>905</v>
      </c>
      <c r="C713" s="23" t="s">
        <v>162</v>
      </c>
      <c r="D713" s="23" t="s">
        <v>163</v>
      </c>
      <c r="E713" s="23" t="s">
        <v>164</v>
      </c>
      <c r="F713" s="23" t="s">
        <v>165</v>
      </c>
      <c r="G713" s="24" t="str">
        <f>A713&amp;"|"&amp;B713</f>
        <v>KIA|Seltos-</v>
      </c>
    </row>
    <row r="714" ht="15" customHeight="1" spans="1:7" x14ac:dyDescent="0.25">
      <c r="A714" s="23" t="s">
        <v>888</v>
      </c>
      <c r="B714" s="23" t="s">
        <v>906</v>
      </c>
      <c r="C714" s="23" t="s">
        <v>162</v>
      </c>
      <c r="D714" s="23" t="s">
        <v>163</v>
      </c>
      <c r="E714" s="23" t="s">
        <v>164</v>
      </c>
      <c r="F714" s="23" t="s">
        <v>165</v>
      </c>
      <c r="G714" s="24" t="str">
        <f>A714&amp;"|"&amp;B714</f>
        <v>KIA|Sonet</v>
      </c>
    </row>
    <row r="715" ht="15" customHeight="1" spans="1:7" x14ac:dyDescent="0.25">
      <c r="A715" s="23" t="s">
        <v>888</v>
      </c>
      <c r="B715" s="23" t="s">
        <v>907</v>
      </c>
      <c r="C715" s="23" t="s">
        <v>162</v>
      </c>
      <c r="D715" s="23" t="s">
        <v>163</v>
      </c>
      <c r="E715" s="23" t="s">
        <v>164</v>
      </c>
      <c r="F715" s="23" t="s">
        <v>165</v>
      </c>
      <c r="G715" s="24" t="str">
        <f>A715&amp;"|"&amp;B715</f>
        <v>KIA|Sorento</v>
      </c>
    </row>
    <row r="716" ht="15" customHeight="1" spans="1:7" x14ac:dyDescent="0.25">
      <c r="A716" s="23" t="s">
        <v>888</v>
      </c>
      <c r="B716" s="23" t="s">
        <v>908</v>
      </c>
      <c r="C716" s="23" t="s">
        <v>162</v>
      </c>
      <c r="D716" s="23" t="s">
        <v>163</v>
      </c>
      <c r="E716" s="23" t="s">
        <v>164</v>
      </c>
      <c r="F716" s="23" t="s">
        <v>165</v>
      </c>
      <c r="G716" s="24" t="str">
        <f>A716&amp;"|"&amp;B716</f>
        <v>KIA|Soul</v>
      </c>
    </row>
    <row r="717" ht="15" customHeight="1" spans="1:7" x14ac:dyDescent="0.25">
      <c r="A717" s="23" t="s">
        <v>888</v>
      </c>
      <c r="B717" s="23" t="s">
        <v>909</v>
      </c>
      <c r="C717" s="23" t="s">
        <v>162</v>
      </c>
      <c r="D717" s="23" t="s">
        <v>163</v>
      </c>
      <c r="E717" s="23" t="s">
        <v>164</v>
      </c>
      <c r="F717" s="23" t="s">
        <v>165</v>
      </c>
      <c r="G717" s="24" t="str">
        <f>A717&amp;"|"&amp;B717</f>
        <v>KIA|SPORTAGE</v>
      </c>
    </row>
    <row r="718" ht="15" customHeight="1" spans="1:7" x14ac:dyDescent="0.25">
      <c r="A718" s="23" t="s">
        <v>888</v>
      </c>
      <c r="B718" s="23" t="s">
        <v>910</v>
      </c>
      <c r="C718" s="23" t="s">
        <v>162</v>
      </c>
      <c r="D718" s="23" t="s">
        <v>163</v>
      </c>
      <c r="E718" s="23" t="s">
        <v>164</v>
      </c>
      <c r="F718" s="23" t="s">
        <v>165</v>
      </c>
      <c r="G718" s="24" t="str">
        <f>A718&amp;"|"&amp;B718</f>
        <v>KIA|Sportage HEV</v>
      </c>
    </row>
    <row r="719" ht="15" customHeight="1" spans="1:7" x14ac:dyDescent="0.25">
      <c r="A719" s="23" t="s">
        <v>888</v>
      </c>
      <c r="B719" s="23" t="s">
        <v>911</v>
      </c>
      <c r="C719" s="23" t="s">
        <v>167</v>
      </c>
      <c r="D719" s="23" t="s">
        <v>168</v>
      </c>
      <c r="E719" s="23" t="s">
        <v>169</v>
      </c>
      <c r="F719" s="23" t="s">
        <v>170</v>
      </c>
      <c r="G719" s="24" t="str">
        <f>A719&amp;"|"&amp;B719</f>
        <v>KIA|Stinger</v>
      </c>
    </row>
    <row r="720" ht="15" customHeight="1" spans="1:7" x14ac:dyDescent="0.25">
      <c r="A720" s="23" t="s">
        <v>888</v>
      </c>
      <c r="B720" s="23" t="s">
        <v>912</v>
      </c>
      <c r="C720" s="23" t="s">
        <v>162</v>
      </c>
      <c r="D720" s="23" t="s">
        <v>163</v>
      </c>
      <c r="E720" s="23" t="s">
        <v>164</v>
      </c>
      <c r="F720" s="23" t="s">
        <v>165</v>
      </c>
      <c r="G720" s="24" t="str">
        <f>A720&amp;"|"&amp;B720</f>
        <v>KIA|Telluride</v>
      </c>
    </row>
    <row r="721" ht="15" customHeight="1" spans="1:7" x14ac:dyDescent="0.25">
      <c r="A721" s="23" t="s">
        <v>888</v>
      </c>
      <c r="B721" s="23" t="s">
        <v>798</v>
      </c>
      <c r="C721" s="23" t="s">
        <v>162</v>
      </c>
      <c r="D721" s="23" t="s">
        <v>163</v>
      </c>
      <c r="E721" s="23" t="s">
        <v>164</v>
      </c>
      <c r="F721" s="23" t="s">
        <v>165</v>
      </c>
      <c r="G721" s="24" t="str">
        <f>A721&amp;"|"&amp;B721</f>
        <v>KIA|Tucson</v>
      </c>
    </row>
    <row r="722" ht="15" customHeight="1" spans="1:7" x14ac:dyDescent="0.25">
      <c r="A722" s="23" t="s">
        <v>913</v>
      </c>
      <c r="B722" s="23" t="s">
        <v>914</v>
      </c>
      <c r="C722" s="23" t="s">
        <v>162</v>
      </c>
      <c r="D722" s="23" t="s">
        <v>163</v>
      </c>
      <c r="E722" s="23" t="s">
        <v>164</v>
      </c>
      <c r="F722" s="23" t="s">
        <v>165</v>
      </c>
      <c r="G722" s="24" t="str">
        <f>A722&amp;"|"&amp;B722</f>
        <v>Land Rover|Defender</v>
      </c>
    </row>
    <row r="723" ht="15" customHeight="1" spans="1:7" x14ac:dyDescent="0.25">
      <c r="A723" s="23" t="s">
        <v>913</v>
      </c>
      <c r="B723" s="23" t="s">
        <v>915</v>
      </c>
      <c r="C723" s="23" t="s">
        <v>167</v>
      </c>
      <c r="D723" s="23" t="s">
        <v>168</v>
      </c>
      <c r="E723" s="23" t="s">
        <v>169</v>
      </c>
      <c r="F723" s="23" t="s">
        <v>170</v>
      </c>
      <c r="G723" s="24" t="str">
        <f>A723&amp;"|"&amp;B723</f>
        <v>Land Rover|Discovery</v>
      </c>
    </row>
    <row r="724" ht="15" customHeight="1" spans="1:7" x14ac:dyDescent="0.25">
      <c r="A724" s="23" t="s">
        <v>913</v>
      </c>
      <c r="B724" s="23" t="s">
        <v>916</v>
      </c>
      <c r="C724" s="23" t="s">
        <v>167</v>
      </c>
      <c r="D724" s="23" t="s">
        <v>168</v>
      </c>
      <c r="E724" s="23" t="s">
        <v>169</v>
      </c>
      <c r="F724" s="23" t="s">
        <v>170</v>
      </c>
      <c r="G724" s="24" t="str">
        <f>A724&amp;"|"&amp;B724</f>
        <v>Land Rover|Discovery Sport</v>
      </c>
    </row>
    <row r="725" ht="15" customHeight="1" spans="1:7" x14ac:dyDescent="0.25">
      <c r="A725" s="23" t="s">
        <v>913</v>
      </c>
      <c r="B725" s="23" t="s">
        <v>917</v>
      </c>
      <c r="C725" s="23" t="s">
        <v>162</v>
      </c>
      <c r="D725" s="23" t="s">
        <v>163</v>
      </c>
      <c r="E725" s="23" t="s">
        <v>164</v>
      </c>
      <c r="F725" s="23" t="s">
        <v>165</v>
      </c>
      <c r="G725" s="24" t="str">
        <f>A725&amp;"|"&amp;B725</f>
        <v>Land Rover|Evoque</v>
      </c>
    </row>
    <row r="726" ht="15" customHeight="1" spans="1:7" x14ac:dyDescent="0.25">
      <c r="A726" s="23" t="s">
        <v>913</v>
      </c>
      <c r="B726" s="23" t="s">
        <v>918</v>
      </c>
      <c r="C726" s="23" t="s">
        <v>162</v>
      </c>
      <c r="D726" s="23" t="s">
        <v>163</v>
      </c>
      <c r="E726" s="23" t="s">
        <v>164</v>
      </c>
      <c r="F726" s="23" t="s">
        <v>165</v>
      </c>
      <c r="G726" s="24" t="str">
        <f>A726&amp;"|"&amp;B726</f>
        <v>Land Rover|Freelander 2.5</v>
      </c>
    </row>
    <row r="727" ht="15" customHeight="1" spans="1:7" x14ac:dyDescent="0.25">
      <c r="A727" s="23" t="s">
        <v>913</v>
      </c>
      <c r="B727" s="23" t="s">
        <v>919</v>
      </c>
      <c r="C727" s="23" t="s">
        <v>162</v>
      </c>
      <c r="D727" s="23" t="s">
        <v>163</v>
      </c>
      <c r="E727" s="23" t="s">
        <v>164</v>
      </c>
      <c r="F727" s="23" t="s">
        <v>165</v>
      </c>
      <c r="G727" s="24" t="str">
        <f>A727&amp;"|"&amp;B727</f>
        <v>Land Rover|Lr2</v>
      </c>
    </row>
    <row r="728" ht="15" customHeight="1" spans="1:7" x14ac:dyDescent="0.25">
      <c r="A728" s="23" t="s">
        <v>913</v>
      </c>
      <c r="B728" s="23" t="s">
        <v>920</v>
      </c>
      <c r="C728" s="23" t="s">
        <v>162</v>
      </c>
      <c r="D728" s="23" t="s">
        <v>163</v>
      </c>
      <c r="E728" s="23" t="s">
        <v>164</v>
      </c>
      <c r="F728" s="23" t="s">
        <v>165</v>
      </c>
      <c r="G728" s="24" t="str">
        <f>A728&amp;"|"&amp;B728</f>
        <v>Land Rover|Lr3/Lr4</v>
      </c>
    </row>
    <row r="729" ht="15" customHeight="1" spans="1:7" x14ac:dyDescent="0.25">
      <c r="A729" s="23" t="s">
        <v>913</v>
      </c>
      <c r="B729" s="23" t="s">
        <v>921</v>
      </c>
      <c r="C729" s="23" t="s">
        <v>167</v>
      </c>
      <c r="D729" s="23" t="s">
        <v>168</v>
      </c>
      <c r="E729" s="23" t="s">
        <v>169</v>
      </c>
      <c r="F729" s="23" t="s">
        <v>170</v>
      </c>
      <c r="G729" s="24" t="str">
        <f>A729&amp;"|"&amp;B729</f>
        <v>Land Rover|Range Rover</v>
      </c>
    </row>
    <row r="730" ht="15" customHeight="1" spans="1:7" x14ac:dyDescent="0.25">
      <c r="A730" s="23" t="s">
        <v>913</v>
      </c>
      <c r="B730" s="23" t="s">
        <v>922</v>
      </c>
      <c r="C730" s="23" t="s">
        <v>167</v>
      </c>
      <c r="D730" s="23" t="s">
        <v>168</v>
      </c>
      <c r="E730" s="23" t="s">
        <v>169</v>
      </c>
      <c r="F730" s="23" t="s">
        <v>170</v>
      </c>
      <c r="G730" s="24" t="str">
        <f>A730&amp;"|"&amp;B730</f>
        <v>Land Rover|Range Rover Evoque</v>
      </c>
    </row>
    <row r="731" ht="15" customHeight="1" spans="1:7" x14ac:dyDescent="0.25">
      <c r="A731" s="23" t="s">
        <v>913</v>
      </c>
      <c r="B731" s="23" t="s">
        <v>923</v>
      </c>
      <c r="C731" s="23" t="s">
        <v>162</v>
      </c>
      <c r="D731" s="23" t="s">
        <v>163</v>
      </c>
      <c r="E731" s="23" t="s">
        <v>164</v>
      </c>
      <c r="F731" s="23" t="s">
        <v>165</v>
      </c>
      <c r="G731" s="24" t="str">
        <f>A731&amp;"|"&amp;B731</f>
        <v>Land Rover|Range Rover Sport</v>
      </c>
    </row>
    <row r="732" ht="15" customHeight="1" spans="1:7" x14ac:dyDescent="0.25">
      <c r="A732" s="23" t="s">
        <v>913</v>
      </c>
      <c r="B732" s="23" t="s">
        <v>924</v>
      </c>
      <c r="C732" s="23" t="s">
        <v>167</v>
      </c>
      <c r="D732" s="23" t="s">
        <v>168</v>
      </c>
      <c r="E732" s="23" t="s">
        <v>169</v>
      </c>
      <c r="F732" s="23" t="s">
        <v>170</v>
      </c>
      <c r="G732" s="24" t="str">
        <f>A732&amp;"|"&amp;B732</f>
        <v>Land Rover|Range Rover Velar</v>
      </c>
    </row>
    <row r="733" ht="15" customHeight="1" spans="1:7" x14ac:dyDescent="0.25">
      <c r="A733" s="23" t="s">
        <v>925</v>
      </c>
      <c r="B733" s="23" t="s">
        <v>926</v>
      </c>
      <c r="C733" s="23" t="s">
        <v>162</v>
      </c>
      <c r="D733" s="23" t="s">
        <v>163</v>
      </c>
      <c r="E733" s="23" t="s">
        <v>164</v>
      </c>
      <c r="F733" s="23" t="s">
        <v>165</v>
      </c>
      <c r="G733" s="24" t="str">
        <f>A733&amp;"|"&amp;B733</f>
        <v>Leapmotor|B10</v>
      </c>
    </row>
    <row r="734" ht="15" customHeight="1" spans="1:7" x14ac:dyDescent="0.25">
      <c r="A734" s="23" t="s">
        <v>927</v>
      </c>
      <c r="B734" s="23" t="s">
        <v>928</v>
      </c>
      <c r="C734" s="23" t="s">
        <v>167</v>
      </c>
      <c r="D734" s="23" t="s">
        <v>168</v>
      </c>
      <c r="E734" s="23" t="s">
        <v>169</v>
      </c>
      <c r="F734" s="23" t="s">
        <v>170</v>
      </c>
      <c r="G734" s="24" t="str">
        <f>A734&amp;"|"&amp;B734</f>
        <v>Lexus|ES</v>
      </c>
    </row>
    <row r="735" ht="15" customHeight="1" spans="1:7" x14ac:dyDescent="0.25">
      <c r="A735" s="23" t="s">
        <v>927</v>
      </c>
      <c r="B735" s="23" t="s">
        <v>929</v>
      </c>
      <c r="C735" s="23" t="s">
        <v>162</v>
      </c>
      <c r="D735" s="23" t="s">
        <v>163</v>
      </c>
      <c r="E735" s="23" t="s">
        <v>164</v>
      </c>
      <c r="F735" s="23" t="s">
        <v>165</v>
      </c>
      <c r="G735" s="24" t="str">
        <f>A735&amp;"|"&amp;B735</f>
        <v>Lexus|GX</v>
      </c>
    </row>
    <row r="736" ht="15" customHeight="1" spans="1:7" x14ac:dyDescent="0.25">
      <c r="A736" s="23" t="s">
        <v>927</v>
      </c>
      <c r="B736" s="23" t="s">
        <v>930</v>
      </c>
      <c r="C736" s="23" t="s">
        <v>167</v>
      </c>
      <c r="D736" s="23" t="s">
        <v>168</v>
      </c>
      <c r="E736" s="23" t="s">
        <v>169</v>
      </c>
      <c r="F736" s="23" t="s">
        <v>170</v>
      </c>
      <c r="G736" s="24" t="str">
        <f>A736&amp;"|"&amp;B736</f>
        <v>Lexus|IS</v>
      </c>
    </row>
    <row r="737" ht="15" customHeight="1" spans="1:7" x14ac:dyDescent="0.25">
      <c r="A737" s="23" t="s">
        <v>927</v>
      </c>
      <c r="B737" s="23" t="s">
        <v>931</v>
      </c>
      <c r="C737" s="23" t="s">
        <v>167</v>
      </c>
      <c r="D737" s="23" t="s">
        <v>168</v>
      </c>
      <c r="E737" s="23" t="s">
        <v>169</v>
      </c>
      <c r="F737" s="23" t="s">
        <v>170</v>
      </c>
      <c r="G737" s="24" t="str">
        <f>A737&amp;"|"&amp;B737</f>
        <v>Lexus|LC</v>
      </c>
    </row>
    <row r="738" ht="15" customHeight="1" spans="1:7" x14ac:dyDescent="0.25">
      <c r="A738" s="23" t="s">
        <v>927</v>
      </c>
      <c r="B738" s="23" t="s">
        <v>932</v>
      </c>
      <c r="C738" s="23" t="s">
        <v>167</v>
      </c>
      <c r="D738" s="23" t="s">
        <v>168</v>
      </c>
      <c r="E738" s="23" t="s">
        <v>169</v>
      </c>
      <c r="F738" s="23" t="s">
        <v>170</v>
      </c>
      <c r="G738" s="24" t="str">
        <f>A738&amp;"|"&amp;B738</f>
        <v>Lexus|LS</v>
      </c>
    </row>
    <row r="739" ht="15" customHeight="1" spans="1:7" x14ac:dyDescent="0.25">
      <c r="A739" s="23" t="s">
        <v>927</v>
      </c>
      <c r="B739" s="23" t="s">
        <v>933</v>
      </c>
      <c r="C739" s="23" t="s">
        <v>162</v>
      </c>
      <c r="D739" s="23" t="s">
        <v>163</v>
      </c>
      <c r="E739" s="23" t="s">
        <v>164</v>
      </c>
      <c r="F739" s="23" t="s">
        <v>165</v>
      </c>
      <c r="G739" s="24" t="str">
        <f>A739&amp;"|"&amp;B739</f>
        <v>Lexus|LX</v>
      </c>
    </row>
    <row r="740" ht="15" customHeight="1" spans="1:7" x14ac:dyDescent="0.25">
      <c r="A740" s="23" t="s">
        <v>927</v>
      </c>
      <c r="B740" s="23" t="s">
        <v>934</v>
      </c>
      <c r="C740" s="23" t="s">
        <v>162</v>
      </c>
      <c r="D740" s="23" t="s">
        <v>163</v>
      </c>
      <c r="E740" s="23" t="s">
        <v>164</v>
      </c>
      <c r="F740" s="23" t="s">
        <v>165</v>
      </c>
      <c r="G740" s="24" t="str">
        <f>A740&amp;"|"&amp;B740</f>
        <v>Lexus|NX</v>
      </c>
    </row>
    <row r="741" ht="15" customHeight="1" spans="1:7" x14ac:dyDescent="0.25">
      <c r="A741" s="23" t="s">
        <v>927</v>
      </c>
      <c r="B741" s="23" t="s">
        <v>935</v>
      </c>
      <c r="C741" s="23" t="s">
        <v>162</v>
      </c>
      <c r="D741" s="23" t="s">
        <v>163</v>
      </c>
      <c r="E741" s="23" t="s">
        <v>164</v>
      </c>
      <c r="F741" s="23" t="s">
        <v>165</v>
      </c>
      <c r="G741" s="24" t="str">
        <f>A741&amp;"|"&amp;B741</f>
        <v>Lexus|RX</v>
      </c>
    </row>
    <row r="742" ht="15" customHeight="1" spans="1:7" x14ac:dyDescent="0.25">
      <c r="A742" s="23" t="s">
        <v>927</v>
      </c>
      <c r="B742" s="23" t="s">
        <v>936</v>
      </c>
      <c r="C742" s="23" t="s">
        <v>162</v>
      </c>
      <c r="D742" s="23" t="s">
        <v>163</v>
      </c>
      <c r="E742" s="23" t="s">
        <v>164</v>
      </c>
      <c r="F742" s="23" t="s">
        <v>165</v>
      </c>
      <c r="G742" s="24" t="str">
        <f>A742&amp;"|"&amp;B742</f>
        <v>Lexus|TX</v>
      </c>
    </row>
    <row r="743" ht="15" customHeight="1" spans="1:7" x14ac:dyDescent="0.25">
      <c r="A743" s="23" t="s">
        <v>927</v>
      </c>
      <c r="B743" s="23" t="s">
        <v>937</v>
      </c>
      <c r="C743" s="23" t="s">
        <v>162</v>
      </c>
      <c r="D743" s="23" t="s">
        <v>163</v>
      </c>
      <c r="E743" s="23" t="s">
        <v>164</v>
      </c>
      <c r="F743" s="23" t="s">
        <v>165</v>
      </c>
      <c r="G743" s="24" t="str">
        <f>A743&amp;"|"&amp;B743</f>
        <v>Lexus|UX</v>
      </c>
    </row>
    <row r="744" ht="15" customHeight="1" spans="1:7" x14ac:dyDescent="0.25">
      <c r="A744" s="23" t="s">
        <v>938</v>
      </c>
      <c r="B744" s="23" t="s">
        <v>939</v>
      </c>
      <c r="C744" s="23" t="s">
        <v>271</v>
      </c>
      <c r="D744" s="23" t="s">
        <v>163</v>
      </c>
      <c r="E744" s="23" t="s">
        <v>277</v>
      </c>
      <c r="F744" s="23" t="s">
        <v>165</v>
      </c>
      <c r="G744" s="24" t="str">
        <f>A744&amp;"|"&amp;B744</f>
        <v>Lincoln|Aviator</v>
      </c>
    </row>
    <row r="745" ht="15" customHeight="1" spans="1:7" x14ac:dyDescent="0.25">
      <c r="A745" s="23" t="s">
        <v>938</v>
      </c>
      <c r="B745" s="23" t="s">
        <v>940</v>
      </c>
      <c r="C745" s="23" t="s">
        <v>162</v>
      </c>
      <c r="D745" s="23" t="s">
        <v>163</v>
      </c>
      <c r="E745" s="23" t="s">
        <v>164</v>
      </c>
      <c r="F745" s="23" t="s">
        <v>165</v>
      </c>
      <c r="G745" s="24" t="str">
        <f>A745&amp;"|"&amp;B745</f>
        <v>Lincoln|Aviator Grand Touring</v>
      </c>
    </row>
    <row r="746" ht="15" customHeight="1" spans="1:7" x14ac:dyDescent="0.25">
      <c r="A746" s="23" t="s">
        <v>938</v>
      </c>
      <c r="B746" s="23" t="s">
        <v>941</v>
      </c>
      <c r="C746" s="23" t="s">
        <v>162</v>
      </c>
      <c r="D746" s="23" t="s">
        <v>163</v>
      </c>
      <c r="E746" s="23" t="s">
        <v>164</v>
      </c>
      <c r="F746" s="23" t="s">
        <v>165</v>
      </c>
      <c r="G746" s="24" t="str">
        <f>A746&amp;"|"&amp;B746</f>
        <v>Lincoln|Corsair</v>
      </c>
    </row>
    <row r="747" ht="15" customHeight="1" spans="1:7" x14ac:dyDescent="0.25">
      <c r="A747" s="23" t="s">
        <v>938</v>
      </c>
      <c r="B747" s="23" t="s">
        <v>942</v>
      </c>
      <c r="C747" s="23" t="s">
        <v>167</v>
      </c>
      <c r="D747" s="23" t="s">
        <v>168</v>
      </c>
      <c r="E747" s="23" t="s">
        <v>169</v>
      </c>
      <c r="F747" s="23" t="s">
        <v>170</v>
      </c>
      <c r="G747" s="24" t="str">
        <f>A747&amp;"|"&amp;B747</f>
        <v>Lincoln|Lincoln Continental</v>
      </c>
    </row>
    <row r="748" ht="15" customHeight="1" spans="1:7" x14ac:dyDescent="0.25">
      <c r="A748" s="23" t="s">
        <v>938</v>
      </c>
      <c r="B748" s="23" t="s">
        <v>943</v>
      </c>
      <c r="C748" s="23" t="s">
        <v>167</v>
      </c>
      <c r="D748" s="23" t="s">
        <v>168</v>
      </c>
      <c r="E748" s="23" t="s">
        <v>169</v>
      </c>
      <c r="F748" s="23" t="s">
        <v>170</v>
      </c>
      <c r="G748" s="24" t="str">
        <f>A748&amp;"|"&amp;B748</f>
        <v>Lincoln|Lincoln Ls</v>
      </c>
    </row>
    <row r="749" ht="15" customHeight="1" spans="1:7" x14ac:dyDescent="0.25">
      <c r="A749" s="23" t="s">
        <v>938</v>
      </c>
      <c r="B749" s="23" t="s">
        <v>944</v>
      </c>
      <c r="C749" s="23" t="s">
        <v>271</v>
      </c>
      <c r="D749" s="23" t="s">
        <v>163</v>
      </c>
      <c r="E749" s="23" t="s">
        <v>277</v>
      </c>
      <c r="F749" s="23" t="s">
        <v>165</v>
      </c>
      <c r="G749" s="24" t="str">
        <f>A749&amp;"|"&amp;B749</f>
        <v>Lincoln|Mariner</v>
      </c>
    </row>
    <row r="750" ht="15" customHeight="1" spans="1:7" x14ac:dyDescent="0.25">
      <c r="A750" s="23" t="s">
        <v>938</v>
      </c>
      <c r="B750" s="23" t="s">
        <v>945</v>
      </c>
      <c r="C750" s="23" t="s">
        <v>162</v>
      </c>
      <c r="D750" s="23" t="s">
        <v>163</v>
      </c>
      <c r="E750" s="23" t="s">
        <v>275</v>
      </c>
      <c r="F750" s="23" t="s">
        <v>165</v>
      </c>
      <c r="G750" s="24" t="str">
        <f>A750&amp;"|"&amp;B750</f>
        <v>Lincoln|Mark Lt</v>
      </c>
    </row>
    <row r="751" ht="15" customHeight="1" spans="1:7" x14ac:dyDescent="0.25">
      <c r="A751" s="23" t="s">
        <v>938</v>
      </c>
      <c r="B751" s="23" t="s">
        <v>946</v>
      </c>
      <c r="C751" s="23" t="s">
        <v>167</v>
      </c>
      <c r="D751" s="23" t="s">
        <v>168</v>
      </c>
      <c r="E751" s="23" t="s">
        <v>169</v>
      </c>
      <c r="F751" s="23" t="s">
        <v>170</v>
      </c>
      <c r="G751" s="24" t="str">
        <f>A751&amp;"|"&amp;B751</f>
        <v>Lincoln|Milan</v>
      </c>
    </row>
    <row r="752" ht="15" customHeight="1" spans="1:7" x14ac:dyDescent="0.25">
      <c r="A752" s="23" t="s">
        <v>938</v>
      </c>
      <c r="B752" s="23" t="s">
        <v>947</v>
      </c>
      <c r="C752" s="23" t="s">
        <v>162</v>
      </c>
      <c r="D752" s="23" t="s">
        <v>163</v>
      </c>
      <c r="E752" s="23" t="s">
        <v>164</v>
      </c>
      <c r="F752" s="23" t="s">
        <v>165</v>
      </c>
      <c r="G752" s="24" t="str">
        <f>A752&amp;"|"&amp;B752</f>
        <v>Lincoln|MKC</v>
      </c>
    </row>
    <row r="753" ht="15" customHeight="1" spans="1:7" x14ac:dyDescent="0.25">
      <c r="A753" s="23" t="s">
        <v>938</v>
      </c>
      <c r="B753" s="23" t="s">
        <v>948</v>
      </c>
      <c r="C753" s="23" t="s">
        <v>167</v>
      </c>
      <c r="D753" s="23" t="s">
        <v>168</v>
      </c>
      <c r="E753" s="23" t="s">
        <v>169</v>
      </c>
      <c r="F753" s="23" t="s">
        <v>170</v>
      </c>
      <c r="G753" s="24" t="str">
        <f>A753&amp;"|"&amp;B753</f>
        <v>Lincoln|Mks</v>
      </c>
    </row>
    <row r="754" ht="15" customHeight="1" spans="1:7" x14ac:dyDescent="0.25">
      <c r="A754" s="23" t="s">
        <v>938</v>
      </c>
      <c r="B754" s="23" t="s">
        <v>949</v>
      </c>
      <c r="C754" s="23" t="s">
        <v>167</v>
      </c>
      <c r="D754" s="23" t="s">
        <v>168</v>
      </c>
      <c r="E754" s="23" t="s">
        <v>169</v>
      </c>
      <c r="F754" s="23" t="s">
        <v>170</v>
      </c>
      <c r="G754" s="24" t="str">
        <f>A754&amp;"|"&amp;B754</f>
        <v>Lincoln|MKZ</v>
      </c>
    </row>
    <row r="755" ht="15" customHeight="1" spans="1:7" x14ac:dyDescent="0.25">
      <c r="A755" s="23" t="s">
        <v>938</v>
      </c>
      <c r="B755" s="23" t="s">
        <v>950</v>
      </c>
      <c r="C755" s="23" t="s">
        <v>167</v>
      </c>
      <c r="D755" s="23" t="s">
        <v>168</v>
      </c>
      <c r="E755" s="23" t="s">
        <v>169</v>
      </c>
      <c r="F755" s="23" t="s">
        <v>170</v>
      </c>
      <c r="G755" s="24" t="str">
        <f>A755&amp;"|"&amp;B755</f>
        <v>Lincoln|MKZ Hibrido</v>
      </c>
    </row>
    <row r="756" ht="15" customHeight="1" spans="1:7" x14ac:dyDescent="0.25">
      <c r="A756" s="23" t="s">
        <v>938</v>
      </c>
      <c r="B756" s="23" t="s">
        <v>951</v>
      </c>
      <c r="C756" s="23" t="s">
        <v>167</v>
      </c>
      <c r="D756" s="23" t="s">
        <v>168</v>
      </c>
      <c r="E756" s="23" t="s">
        <v>169</v>
      </c>
      <c r="F756" s="23" t="s">
        <v>170</v>
      </c>
      <c r="G756" s="24" t="str">
        <f>A756&amp;"|"&amp;B756</f>
        <v>Lincoln|MKZ-</v>
      </c>
    </row>
    <row r="757" ht="15" customHeight="1" spans="1:7" x14ac:dyDescent="0.25">
      <c r="A757" s="23" t="s">
        <v>938</v>
      </c>
      <c r="B757" s="23" t="s">
        <v>952</v>
      </c>
      <c r="C757" s="23" t="s">
        <v>167</v>
      </c>
      <c r="D757" s="23" t="s">
        <v>168</v>
      </c>
      <c r="E757" s="23" t="s">
        <v>169</v>
      </c>
      <c r="F757" s="23" t="s">
        <v>170</v>
      </c>
      <c r="G757" s="24" t="str">
        <f>A757&amp;"|"&amp;B757</f>
        <v>Lincoln|Montego</v>
      </c>
    </row>
    <row r="758" ht="15" customHeight="1" spans="1:7" x14ac:dyDescent="0.25">
      <c r="A758" s="23" t="s">
        <v>938</v>
      </c>
      <c r="B758" s="23" t="s">
        <v>953</v>
      </c>
      <c r="C758" s="23" t="s">
        <v>167</v>
      </c>
      <c r="D758" s="23" t="s">
        <v>168</v>
      </c>
      <c r="E758" s="23" t="s">
        <v>169</v>
      </c>
      <c r="F758" s="23" t="s">
        <v>170</v>
      </c>
      <c r="G758" s="24" t="str">
        <f>A758&amp;"|"&amp;B758</f>
        <v>Lincoln|NAUTILUS</v>
      </c>
    </row>
    <row r="759" ht="15" customHeight="1" spans="1:7" x14ac:dyDescent="0.25">
      <c r="A759" s="23" t="s">
        <v>938</v>
      </c>
      <c r="B759" s="23" t="s">
        <v>954</v>
      </c>
      <c r="C759" s="23" t="s">
        <v>271</v>
      </c>
      <c r="D759" s="23" t="s">
        <v>163</v>
      </c>
      <c r="E759" s="23" t="s">
        <v>277</v>
      </c>
      <c r="F759" s="23" t="s">
        <v>165</v>
      </c>
      <c r="G759" s="24" t="str">
        <f>A759&amp;"|"&amp;B759</f>
        <v>Lincoln|Navigator</v>
      </c>
    </row>
    <row r="760" ht="15" customHeight="1" spans="1:7" x14ac:dyDescent="0.25">
      <c r="A760" s="23" t="s">
        <v>938</v>
      </c>
      <c r="B760" s="23" t="s">
        <v>955</v>
      </c>
      <c r="C760" s="23" t="s">
        <v>167</v>
      </c>
      <c r="D760" s="23" t="s">
        <v>168</v>
      </c>
      <c r="E760" s="23" t="s">
        <v>169</v>
      </c>
      <c r="F760" s="23" t="s">
        <v>170</v>
      </c>
      <c r="G760" s="24" t="str">
        <f>A760&amp;"|"&amp;B760</f>
        <v>Lincoln|Town Car</v>
      </c>
    </row>
    <row r="761" ht="15" customHeight="1" spans="1:7" x14ac:dyDescent="0.25">
      <c r="A761" s="23" t="s">
        <v>956</v>
      </c>
      <c r="B761" s="23" t="s">
        <v>957</v>
      </c>
      <c r="C761" s="23" t="s">
        <v>167</v>
      </c>
      <c r="D761" s="23" t="s">
        <v>168</v>
      </c>
      <c r="E761" s="23" t="s">
        <v>169</v>
      </c>
      <c r="F761" s="23" t="s">
        <v>170</v>
      </c>
      <c r="G761" s="24" t="str">
        <f>A761&amp;"|"&amp;B761</f>
        <v>Lynk&amp;Co|01</v>
      </c>
    </row>
    <row r="762" ht="15" customHeight="1" spans="1:7" x14ac:dyDescent="0.25">
      <c r="A762" s="23" t="s">
        <v>956</v>
      </c>
      <c r="B762" s="23" t="s">
        <v>958</v>
      </c>
      <c r="C762" s="23" t="s">
        <v>167</v>
      </c>
      <c r="D762" s="23" t="s">
        <v>168</v>
      </c>
      <c r="E762" s="23" t="s">
        <v>169</v>
      </c>
      <c r="F762" s="23" t="s">
        <v>170</v>
      </c>
      <c r="G762" s="24" t="str">
        <f>A762&amp;"|"&amp;B762</f>
        <v>Lynk&amp;Co|02</v>
      </c>
    </row>
    <row r="763" ht="15" customHeight="1" spans="1:7" x14ac:dyDescent="0.25">
      <c r="A763" s="23" t="s">
        <v>956</v>
      </c>
      <c r="B763" s="23" t="s">
        <v>959</v>
      </c>
      <c r="C763" s="23" t="s">
        <v>167</v>
      </c>
      <c r="D763" s="23" t="s">
        <v>168</v>
      </c>
      <c r="E763" s="23" t="s">
        <v>169</v>
      </c>
      <c r="F763" s="23" t="s">
        <v>170</v>
      </c>
      <c r="G763" s="24" t="str">
        <f>A763&amp;"|"&amp;B763</f>
        <v>Lynk&amp;Co|08</v>
      </c>
    </row>
    <row r="764" ht="15" customHeight="1" spans="1:7" x14ac:dyDescent="0.25">
      <c r="A764" s="23" t="s">
        <v>956</v>
      </c>
      <c r="B764" s="23" t="s">
        <v>960</v>
      </c>
      <c r="C764" s="23" t="s">
        <v>167</v>
      </c>
      <c r="D764" s="23" t="s">
        <v>168</v>
      </c>
      <c r="E764" s="23" t="s">
        <v>169</v>
      </c>
      <c r="F764" s="23" t="s">
        <v>170</v>
      </c>
      <c r="G764" s="24" t="str">
        <f>A764&amp;"|"&amp;B764</f>
        <v>Lynk&amp;Co|09</v>
      </c>
    </row>
    <row r="765" ht="15" customHeight="1" spans="1:7" x14ac:dyDescent="0.25">
      <c r="A765" s="23" t="s">
        <v>961</v>
      </c>
      <c r="B765" s="23" t="s">
        <v>962</v>
      </c>
      <c r="C765" s="23" t="s">
        <v>162</v>
      </c>
      <c r="D765" s="23" t="s">
        <v>163</v>
      </c>
      <c r="E765" s="23" t="s">
        <v>275</v>
      </c>
      <c r="F765" s="23" t="s">
        <v>165</v>
      </c>
      <c r="G765" s="24" t="str">
        <f>A765&amp;"|"&amp;B765</f>
        <v>Mazda|BT-50</v>
      </c>
    </row>
    <row r="766" ht="15" customHeight="1" spans="1:7" x14ac:dyDescent="0.25">
      <c r="A766" s="23" t="s">
        <v>961</v>
      </c>
      <c r="B766" s="23" t="s">
        <v>963</v>
      </c>
      <c r="C766" s="23" t="s">
        <v>162</v>
      </c>
      <c r="D766" s="23" t="s">
        <v>163</v>
      </c>
      <c r="E766" s="23" t="s">
        <v>164</v>
      </c>
      <c r="F766" s="23" t="s">
        <v>165</v>
      </c>
      <c r="G766" s="24" t="str">
        <f>A766&amp;"|"&amp;B766</f>
        <v>Mazda|CX-3</v>
      </c>
    </row>
    <row r="767" ht="15" customHeight="1" spans="1:7" x14ac:dyDescent="0.25">
      <c r="A767" s="23" t="s">
        <v>961</v>
      </c>
      <c r="B767" s="23" t="s">
        <v>964</v>
      </c>
      <c r="C767" s="23" t="s">
        <v>162</v>
      </c>
      <c r="D767" s="23" t="s">
        <v>163</v>
      </c>
      <c r="E767" s="23" t="s">
        <v>164</v>
      </c>
      <c r="F767" s="23" t="s">
        <v>165</v>
      </c>
      <c r="G767" s="24" t="str">
        <f>A767&amp;"|"&amp;B767</f>
        <v>Mazda|CX-30</v>
      </c>
    </row>
    <row r="768" ht="15" customHeight="1" spans="1:7" x14ac:dyDescent="0.25">
      <c r="A768" s="23" t="s">
        <v>961</v>
      </c>
      <c r="B768" s="23" t="s">
        <v>965</v>
      </c>
      <c r="C768" s="23" t="s">
        <v>162</v>
      </c>
      <c r="D768" s="23" t="s">
        <v>163</v>
      </c>
      <c r="E768" s="23" t="s">
        <v>164</v>
      </c>
      <c r="F768" s="23" t="s">
        <v>165</v>
      </c>
      <c r="G768" s="24" t="str">
        <f>A768&amp;"|"&amp;B768</f>
        <v>Mazda|CX-5</v>
      </c>
    </row>
    <row r="769" ht="15" customHeight="1" spans="1:7" x14ac:dyDescent="0.25">
      <c r="A769" s="23" t="s">
        <v>961</v>
      </c>
      <c r="B769" s="23" t="s">
        <v>966</v>
      </c>
      <c r="C769" s="23" t="s">
        <v>162</v>
      </c>
      <c r="D769" s="23" t="s">
        <v>163</v>
      </c>
      <c r="E769" s="23" t="s">
        <v>164</v>
      </c>
      <c r="F769" s="23" t="s">
        <v>165</v>
      </c>
      <c r="G769" s="24" t="str">
        <f>A769&amp;"|"&amp;B769</f>
        <v>Mazda|CX-50</v>
      </c>
    </row>
    <row r="770" ht="15" customHeight="1" spans="1:7" x14ac:dyDescent="0.25">
      <c r="A770" s="23" t="s">
        <v>961</v>
      </c>
      <c r="B770" s="23" t="s">
        <v>967</v>
      </c>
      <c r="C770" s="23" t="s">
        <v>162</v>
      </c>
      <c r="D770" s="23" t="s">
        <v>163</v>
      </c>
      <c r="E770" s="23" t="s">
        <v>164</v>
      </c>
      <c r="F770" s="23" t="s">
        <v>165</v>
      </c>
      <c r="G770" s="24" t="str">
        <f>A770&amp;"|"&amp;B770</f>
        <v>Mazda|Cx-7</v>
      </c>
    </row>
    <row r="771" ht="15" customHeight="1" spans="1:7" x14ac:dyDescent="0.25">
      <c r="A771" s="23" t="s">
        <v>961</v>
      </c>
      <c r="B771" s="23" t="s">
        <v>968</v>
      </c>
      <c r="C771" s="23" t="s">
        <v>162</v>
      </c>
      <c r="D771" s="23" t="s">
        <v>163</v>
      </c>
      <c r="E771" s="23" t="s">
        <v>164</v>
      </c>
      <c r="F771" s="23" t="s">
        <v>165</v>
      </c>
      <c r="G771" s="24" t="str">
        <f>A771&amp;"|"&amp;B771</f>
        <v>Mazda|CX-70</v>
      </c>
    </row>
    <row r="772" ht="15" customHeight="1" spans="1:7" x14ac:dyDescent="0.25">
      <c r="A772" s="23" t="s">
        <v>961</v>
      </c>
      <c r="B772" s="23" t="s">
        <v>969</v>
      </c>
      <c r="C772" s="23" t="s">
        <v>162</v>
      </c>
      <c r="D772" s="23" t="s">
        <v>163</v>
      </c>
      <c r="E772" s="23" t="s">
        <v>164</v>
      </c>
      <c r="F772" s="23" t="s">
        <v>165</v>
      </c>
      <c r="G772" s="24" t="str">
        <f>A772&amp;"|"&amp;B772</f>
        <v>Mazda|CX-9</v>
      </c>
    </row>
    <row r="773" ht="15" customHeight="1" spans="1:7" x14ac:dyDescent="0.25">
      <c r="A773" s="23" t="s">
        <v>961</v>
      </c>
      <c r="B773" s="23" t="s">
        <v>970</v>
      </c>
      <c r="C773" s="23" t="s">
        <v>162</v>
      </c>
      <c r="D773" s="23" t="s">
        <v>163</v>
      </c>
      <c r="E773" s="23" t="s">
        <v>164</v>
      </c>
      <c r="F773" s="23" t="s">
        <v>165</v>
      </c>
      <c r="G773" s="24" t="str">
        <f>A773&amp;"|"&amp;B773</f>
        <v>Mazda|CX-90</v>
      </c>
    </row>
    <row r="774" ht="15" customHeight="1" spans="1:7" x14ac:dyDescent="0.25">
      <c r="A774" s="23" t="s">
        <v>961</v>
      </c>
      <c r="B774" s="23" t="s">
        <v>971</v>
      </c>
      <c r="C774" s="23" t="s">
        <v>271</v>
      </c>
      <c r="D774" s="23" t="s">
        <v>168</v>
      </c>
      <c r="E774" s="23" t="s">
        <v>272</v>
      </c>
      <c r="F774" s="23" t="s">
        <v>170</v>
      </c>
      <c r="G774" s="24" t="str">
        <f>A774&amp;"|"&amp;B774</f>
        <v>Mazda|Mazda 2</v>
      </c>
    </row>
    <row r="775" ht="15" customHeight="1" spans="1:7" x14ac:dyDescent="0.25">
      <c r="A775" s="23" t="s">
        <v>961</v>
      </c>
      <c r="B775" s="23" t="s">
        <v>972</v>
      </c>
      <c r="C775" s="23" t="s">
        <v>271</v>
      </c>
      <c r="D775" s="23" t="s">
        <v>168</v>
      </c>
      <c r="E775" s="23" t="s">
        <v>272</v>
      </c>
      <c r="F775" s="23" t="s">
        <v>170</v>
      </c>
      <c r="G775" s="24" t="str">
        <f>A775&amp;"|"&amp;B775</f>
        <v>Mazda|Mazda 2 Hatchback</v>
      </c>
    </row>
    <row r="776" ht="15" customHeight="1" spans="1:7" x14ac:dyDescent="0.25">
      <c r="A776" s="23" t="s">
        <v>961</v>
      </c>
      <c r="B776" s="23" t="s">
        <v>973</v>
      </c>
      <c r="C776" s="23" t="s">
        <v>271</v>
      </c>
      <c r="D776" s="23" t="s">
        <v>168</v>
      </c>
      <c r="E776" s="23" t="s">
        <v>272</v>
      </c>
      <c r="F776" s="23" t="s">
        <v>170</v>
      </c>
      <c r="G776" s="24" t="str">
        <f>A776&amp;"|"&amp;B776</f>
        <v>Mazda|Mazda 2 Sedán</v>
      </c>
    </row>
    <row r="777" ht="15" customHeight="1" spans="1:7" x14ac:dyDescent="0.25">
      <c r="A777" s="23" t="s">
        <v>961</v>
      </c>
      <c r="B777" s="23" t="s">
        <v>974</v>
      </c>
      <c r="C777" s="23" t="s">
        <v>271</v>
      </c>
      <c r="D777" s="23" t="s">
        <v>168</v>
      </c>
      <c r="E777" s="23" t="s">
        <v>272</v>
      </c>
      <c r="F777" s="23" t="s">
        <v>170</v>
      </c>
      <c r="G777" s="24" t="str">
        <f>A777&amp;"|"&amp;B777</f>
        <v>Mazda|Mazda 2-</v>
      </c>
    </row>
    <row r="778" ht="15" customHeight="1" spans="1:7" x14ac:dyDescent="0.25">
      <c r="A778" s="23" t="s">
        <v>961</v>
      </c>
      <c r="B778" s="23" t="s">
        <v>975</v>
      </c>
      <c r="C778" s="23" t="s">
        <v>162</v>
      </c>
      <c r="D778" s="23" t="s">
        <v>168</v>
      </c>
      <c r="E778" s="23" t="s">
        <v>385</v>
      </c>
      <c r="F778" s="23" t="s">
        <v>170</v>
      </c>
      <c r="G778" s="24" t="str">
        <f>A778&amp;"|"&amp;B778</f>
        <v>Mazda|Mazda 3 Hatchback</v>
      </c>
    </row>
    <row r="779" ht="15" customHeight="1" spans="1:7" x14ac:dyDescent="0.25">
      <c r="A779" s="23" t="s">
        <v>961</v>
      </c>
      <c r="B779" s="23" t="s">
        <v>976</v>
      </c>
      <c r="C779" s="23" t="s">
        <v>162</v>
      </c>
      <c r="D779" s="23" t="s">
        <v>168</v>
      </c>
      <c r="E779" s="23" t="s">
        <v>385</v>
      </c>
      <c r="F779" s="23" t="s">
        <v>170</v>
      </c>
      <c r="G779" s="24" t="str">
        <f>A779&amp;"|"&amp;B779</f>
        <v>Mazda|Mazda 3 Sedán</v>
      </c>
    </row>
    <row r="780" ht="15" customHeight="1" spans="1:7" x14ac:dyDescent="0.25">
      <c r="A780" s="23" t="s">
        <v>961</v>
      </c>
      <c r="B780" s="23" t="s">
        <v>977</v>
      </c>
      <c r="C780" s="23" t="s">
        <v>162</v>
      </c>
      <c r="D780" s="23" t="s">
        <v>168</v>
      </c>
      <c r="E780" s="23" t="s">
        <v>385</v>
      </c>
      <c r="F780" s="23" t="s">
        <v>170</v>
      </c>
      <c r="G780" s="24" t="str">
        <f>A780&amp;"|"&amp;B780</f>
        <v>Mazda|Mazda 3 Sedán-</v>
      </c>
    </row>
    <row r="781" ht="15" customHeight="1" spans="1:7" x14ac:dyDescent="0.25">
      <c r="A781" s="23" t="s">
        <v>961</v>
      </c>
      <c r="B781" s="23" t="s">
        <v>978</v>
      </c>
      <c r="C781" s="23" t="s">
        <v>162</v>
      </c>
      <c r="D781" s="23" t="s">
        <v>168</v>
      </c>
      <c r="E781" s="23" t="s">
        <v>385</v>
      </c>
      <c r="F781" s="23" t="s">
        <v>170</v>
      </c>
      <c r="G781" s="24" t="str">
        <f>A781&amp;"|"&amp;B781</f>
        <v>Mazda|Mazda 5</v>
      </c>
    </row>
    <row r="782" ht="15" customHeight="1" spans="1:7" x14ac:dyDescent="0.25">
      <c r="A782" s="23" t="s">
        <v>961</v>
      </c>
      <c r="B782" s="23" t="s">
        <v>979</v>
      </c>
      <c r="C782" s="23" t="s">
        <v>167</v>
      </c>
      <c r="D782" s="23" t="s">
        <v>168</v>
      </c>
      <c r="E782" s="23" t="s">
        <v>169</v>
      </c>
      <c r="F782" s="23" t="s">
        <v>170</v>
      </c>
      <c r="G782" s="24" t="str">
        <f>A782&amp;"|"&amp;B782</f>
        <v>Mazda|Mazda 6</v>
      </c>
    </row>
    <row r="783" ht="15" customHeight="1" spans="1:7" x14ac:dyDescent="0.25">
      <c r="A783" s="23" t="s">
        <v>961</v>
      </c>
      <c r="B783" s="23" t="s">
        <v>980</v>
      </c>
      <c r="C783" s="23" t="s">
        <v>167</v>
      </c>
      <c r="D783" s="23" t="s">
        <v>168</v>
      </c>
      <c r="E783" s="23" t="s">
        <v>175</v>
      </c>
      <c r="F783" s="23" t="s">
        <v>170</v>
      </c>
      <c r="G783" s="24" t="str">
        <f>A783&amp;"|"&amp;B783</f>
        <v>Mazda|Mx-5</v>
      </c>
    </row>
    <row r="784" ht="15" customHeight="1" spans="1:7" x14ac:dyDescent="0.25">
      <c r="A784" s="23" t="s">
        <v>981</v>
      </c>
      <c r="B784" s="23" t="s">
        <v>982</v>
      </c>
      <c r="C784" s="23" t="s">
        <v>162</v>
      </c>
      <c r="D784" s="23" t="s">
        <v>168</v>
      </c>
      <c r="E784" s="23" t="s">
        <v>385</v>
      </c>
      <c r="F784" s="23" t="s">
        <v>170</v>
      </c>
      <c r="G784" s="24" t="str">
        <f>A784&amp;"|"&amp;B784</f>
        <v>Mercedes Benz|A 160</v>
      </c>
    </row>
    <row r="785" ht="15" customHeight="1" spans="1:7" x14ac:dyDescent="0.25">
      <c r="A785" s="23" t="s">
        <v>981</v>
      </c>
      <c r="B785" s="23" t="s">
        <v>983</v>
      </c>
      <c r="C785" s="23" t="s">
        <v>167</v>
      </c>
      <c r="D785" s="23" t="s">
        <v>168</v>
      </c>
      <c r="E785" s="23" t="s">
        <v>169</v>
      </c>
      <c r="F785" s="23" t="s">
        <v>170</v>
      </c>
      <c r="G785" s="24" t="str">
        <f>A785&amp;"|"&amp;B785</f>
        <v>Mercedes Benz|A 190</v>
      </c>
    </row>
    <row r="786" ht="15" customHeight="1" spans="1:7" x14ac:dyDescent="0.25">
      <c r="A786" s="23" t="s">
        <v>981</v>
      </c>
      <c r="B786" s="23" t="s">
        <v>984</v>
      </c>
      <c r="C786" s="23" t="s">
        <v>174</v>
      </c>
      <c r="D786" s="23" t="s">
        <v>168</v>
      </c>
      <c r="E786" s="23" t="s">
        <v>169</v>
      </c>
      <c r="F786" s="23" t="s">
        <v>170</v>
      </c>
      <c r="G786" s="24" t="str">
        <f>A786&amp;"|"&amp;B786</f>
        <v>Mercedes Benz|AMG GT</v>
      </c>
    </row>
    <row r="787" ht="15" customHeight="1" spans="1:7" x14ac:dyDescent="0.25">
      <c r="A787" s="23" t="s">
        <v>981</v>
      </c>
      <c r="B787" s="23" t="s">
        <v>985</v>
      </c>
      <c r="C787" s="23" t="s">
        <v>162</v>
      </c>
      <c r="D787" s="23" t="s">
        <v>168</v>
      </c>
      <c r="E787" s="23" t="s">
        <v>385</v>
      </c>
      <c r="F787" s="23" t="s">
        <v>170</v>
      </c>
      <c r="G787" s="24" t="str">
        <f>A787&amp;"|"&amp;B787</f>
        <v>Mercedes Benz|B 200</v>
      </c>
    </row>
    <row r="788" ht="15" customHeight="1" spans="1:7" x14ac:dyDescent="0.25">
      <c r="A788" s="23" t="s">
        <v>981</v>
      </c>
      <c r="B788" s="23" t="s">
        <v>986</v>
      </c>
      <c r="C788" s="23" t="s">
        <v>167</v>
      </c>
      <c r="D788" s="23" t="s">
        <v>168</v>
      </c>
      <c r="E788" s="23" t="s">
        <v>169</v>
      </c>
      <c r="F788" s="23" t="s">
        <v>170</v>
      </c>
      <c r="G788" s="24" t="str">
        <f>A788&amp;"|"&amp;B788</f>
        <v>Mercedes Benz|C 200 K</v>
      </c>
    </row>
    <row r="789" ht="15" customHeight="1" spans="1:7" x14ac:dyDescent="0.25">
      <c r="A789" s="23" t="s">
        <v>981</v>
      </c>
      <c r="B789" s="23" t="s">
        <v>987</v>
      </c>
      <c r="C789" s="23" t="s">
        <v>167</v>
      </c>
      <c r="D789" s="23" t="s">
        <v>168</v>
      </c>
      <c r="E789" s="23" t="s">
        <v>169</v>
      </c>
      <c r="F789" s="23" t="s">
        <v>170</v>
      </c>
      <c r="G789" s="24" t="str">
        <f>A789&amp;"|"&amp;B789</f>
        <v>Mercedes Benz|C 230 K</v>
      </c>
    </row>
    <row r="790" ht="15" customHeight="1" spans="1:7" x14ac:dyDescent="0.25">
      <c r="A790" s="23" t="s">
        <v>981</v>
      </c>
      <c r="B790" s="23" t="s">
        <v>988</v>
      </c>
      <c r="C790" s="23" t="s">
        <v>167</v>
      </c>
      <c r="D790" s="23" t="s">
        <v>168</v>
      </c>
      <c r="E790" s="23" t="s">
        <v>169</v>
      </c>
      <c r="F790" s="23" t="s">
        <v>170</v>
      </c>
      <c r="G790" s="24" t="str">
        <f>A790&amp;"|"&amp;B790</f>
        <v>Mercedes Benz|C 280</v>
      </c>
    </row>
    <row r="791" ht="15" customHeight="1" spans="1:7" x14ac:dyDescent="0.25">
      <c r="A791" s="23" t="s">
        <v>981</v>
      </c>
      <c r="B791" s="23" t="s">
        <v>989</v>
      </c>
      <c r="C791" s="23" t="s">
        <v>167</v>
      </c>
      <c r="D791" s="23" t="s">
        <v>168</v>
      </c>
      <c r="E791" s="23" t="s">
        <v>169</v>
      </c>
      <c r="F791" s="23" t="s">
        <v>170</v>
      </c>
      <c r="G791" s="24" t="str">
        <f>A791&amp;"|"&amp;B791</f>
        <v>Mercedes Benz|C 320</v>
      </c>
    </row>
    <row r="792" ht="15" customHeight="1" spans="1:7" x14ac:dyDescent="0.25">
      <c r="A792" s="23" t="s">
        <v>981</v>
      </c>
      <c r="B792" s="23" t="s">
        <v>990</v>
      </c>
      <c r="C792" s="23" t="s">
        <v>167</v>
      </c>
      <c r="D792" s="23" t="s">
        <v>168</v>
      </c>
      <c r="E792" s="23" t="s">
        <v>169</v>
      </c>
      <c r="F792" s="23" t="s">
        <v>170</v>
      </c>
      <c r="G792" s="24" t="str">
        <f>A792&amp;"|"&amp;B792</f>
        <v>Mercedes Benz|C 350</v>
      </c>
    </row>
    <row r="793" ht="15" customHeight="1" spans="1:7" x14ac:dyDescent="0.25">
      <c r="A793" s="23" t="s">
        <v>981</v>
      </c>
      <c r="B793" s="23" t="s">
        <v>991</v>
      </c>
      <c r="C793" s="23" t="s">
        <v>167</v>
      </c>
      <c r="D793" s="23" t="s">
        <v>168</v>
      </c>
      <c r="E793" s="23" t="s">
        <v>169</v>
      </c>
      <c r="F793" s="23" t="s">
        <v>170</v>
      </c>
      <c r="G793" s="24" t="str">
        <f>A793&amp;"|"&amp;B793</f>
        <v>Mercedes Benz|C 55 Amg</v>
      </c>
    </row>
    <row r="794" ht="15" customHeight="1" spans="1:7" x14ac:dyDescent="0.25">
      <c r="A794" s="23" t="s">
        <v>981</v>
      </c>
      <c r="B794" s="23" t="s">
        <v>992</v>
      </c>
      <c r="C794" s="23" t="s">
        <v>167</v>
      </c>
      <c r="D794" s="23" t="s">
        <v>168</v>
      </c>
      <c r="E794" s="23" t="s">
        <v>169</v>
      </c>
      <c r="F794" s="23" t="s">
        <v>170</v>
      </c>
      <c r="G794" s="24" t="str">
        <f>A794&amp;"|"&amp;B794</f>
        <v>Mercedes Benz|C 63 Amg</v>
      </c>
    </row>
    <row r="795" ht="15" customHeight="1" spans="1:7" x14ac:dyDescent="0.25">
      <c r="A795" s="23" t="s">
        <v>981</v>
      </c>
      <c r="B795" s="23" t="s">
        <v>993</v>
      </c>
      <c r="C795" s="23" t="s">
        <v>162</v>
      </c>
      <c r="D795" s="23" t="s">
        <v>163</v>
      </c>
      <c r="E795" s="23" t="s">
        <v>275</v>
      </c>
      <c r="F795" s="23" t="s">
        <v>165</v>
      </c>
      <c r="G795" s="24" t="str">
        <f>A795&amp;"|"&amp;B795</f>
        <v>Mercedes Benz|Cab Chassis</v>
      </c>
    </row>
    <row r="796" ht="15" customHeight="1" spans="1:7" x14ac:dyDescent="0.25">
      <c r="A796" s="23" t="s">
        <v>981</v>
      </c>
      <c r="B796" s="23" t="s">
        <v>994</v>
      </c>
      <c r="C796" s="23" t="s">
        <v>162</v>
      </c>
      <c r="D796" s="23" t="s">
        <v>163</v>
      </c>
      <c r="E796" s="23" t="s">
        <v>275</v>
      </c>
      <c r="F796" s="23" t="s">
        <v>165</v>
      </c>
      <c r="G796" s="24" t="str">
        <f>A796&amp;"|"&amp;B796</f>
        <v>Mercedes Benz|Cargo Van</v>
      </c>
    </row>
    <row r="797" ht="15" customHeight="1" spans="1:7" x14ac:dyDescent="0.25">
      <c r="A797" s="23" t="s">
        <v>981</v>
      </c>
      <c r="B797" s="23" t="s">
        <v>995</v>
      </c>
      <c r="C797" s="23" t="s">
        <v>167</v>
      </c>
      <c r="D797" s="23" t="s">
        <v>168</v>
      </c>
      <c r="E797" s="23" t="s">
        <v>169</v>
      </c>
      <c r="F797" s="23" t="s">
        <v>170</v>
      </c>
      <c r="G797" s="24" t="str">
        <f>A797&amp;"|"&amp;B797</f>
        <v>Mercedes Benz|Cl 230 K</v>
      </c>
    </row>
    <row r="798" ht="15" customHeight="1" spans="1:7" x14ac:dyDescent="0.25">
      <c r="A798" s="23" t="s">
        <v>981</v>
      </c>
      <c r="B798" s="23" t="s">
        <v>996</v>
      </c>
      <c r="C798" s="23" t="s">
        <v>167</v>
      </c>
      <c r="D798" s="23" t="s">
        <v>168</v>
      </c>
      <c r="E798" s="23" t="s">
        <v>169</v>
      </c>
      <c r="F798" s="23" t="s">
        <v>170</v>
      </c>
      <c r="G798" s="24" t="str">
        <f>A798&amp;"|"&amp;B798</f>
        <v>Mercedes Benz|Cl 500</v>
      </c>
    </row>
    <row r="799" ht="15" customHeight="1" spans="1:7" x14ac:dyDescent="0.25">
      <c r="A799" s="23" t="s">
        <v>981</v>
      </c>
      <c r="B799" s="23" t="s">
        <v>997</v>
      </c>
      <c r="C799" s="23" t="s">
        <v>167</v>
      </c>
      <c r="D799" s="23" t="s">
        <v>168</v>
      </c>
      <c r="E799" s="23" t="s">
        <v>169</v>
      </c>
      <c r="F799" s="23" t="s">
        <v>170</v>
      </c>
      <c r="G799" s="24" t="str">
        <f>A799&amp;"|"&amp;B799</f>
        <v>Mercedes Benz|CLA</v>
      </c>
    </row>
    <row r="800" ht="15" customHeight="1" spans="1:7" x14ac:dyDescent="0.25">
      <c r="A800" s="23" t="s">
        <v>981</v>
      </c>
      <c r="B800" s="23" t="s">
        <v>998</v>
      </c>
      <c r="C800" s="23" t="s">
        <v>167</v>
      </c>
      <c r="D800" s="23" t="s">
        <v>168</v>
      </c>
      <c r="E800" s="23" t="s">
        <v>169</v>
      </c>
      <c r="F800" s="23" t="s">
        <v>170</v>
      </c>
      <c r="G800" s="24" t="str">
        <f>A800&amp;"|"&amp;B800</f>
        <v>Mercedes Benz|Clase A hatchback</v>
      </c>
    </row>
    <row r="801" ht="15" customHeight="1" spans="1:7" x14ac:dyDescent="0.25">
      <c r="A801" s="23" t="s">
        <v>981</v>
      </c>
      <c r="B801" s="23" t="s">
        <v>999</v>
      </c>
      <c r="C801" s="23" t="s">
        <v>167</v>
      </c>
      <c r="D801" s="23" t="s">
        <v>168</v>
      </c>
      <c r="E801" s="23" t="s">
        <v>169</v>
      </c>
      <c r="F801" s="23" t="s">
        <v>170</v>
      </c>
      <c r="G801" s="24" t="str">
        <f>A801&amp;"|"&amp;B801</f>
        <v>Mercedes Benz|Clase A Sedan</v>
      </c>
    </row>
    <row r="802" ht="15" customHeight="1" spans="1:7" x14ac:dyDescent="0.25">
      <c r="A802" s="23" t="s">
        <v>981</v>
      </c>
      <c r="B802" s="23" t="s">
        <v>1000</v>
      </c>
      <c r="C802" s="23" t="s">
        <v>167</v>
      </c>
      <c r="D802" s="23" t="s">
        <v>168</v>
      </c>
      <c r="E802" s="23" t="s">
        <v>169</v>
      </c>
      <c r="F802" s="23" t="s">
        <v>170</v>
      </c>
      <c r="G802" s="24" t="str">
        <f>A802&amp;"|"&amp;B802</f>
        <v>Mercedes Benz|Clase B</v>
      </c>
    </row>
    <row r="803" ht="15" customHeight="1" spans="1:7" x14ac:dyDescent="0.25">
      <c r="A803" s="23" t="s">
        <v>981</v>
      </c>
      <c r="B803" s="23" t="s">
        <v>1001</v>
      </c>
      <c r="C803" s="23" t="s">
        <v>167</v>
      </c>
      <c r="D803" s="23" t="s">
        <v>168</v>
      </c>
      <c r="E803" s="23" t="s">
        <v>169</v>
      </c>
      <c r="F803" s="23" t="s">
        <v>170</v>
      </c>
      <c r="G803" s="24" t="str">
        <f>A803&amp;"|"&amp;B803</f>
        <v>Mercedes Benz|Clase C 250 Coupe</v>
      </c>
    </row>
    <row r="804" ht="15" customHeight="1" spans="1:7" x14ac:dyDescent="0.25">
      <c r="A804" s="23" t="s">
        <v>981</v>
      </c>
      <c r="B804" s="23" t="s">
        <v>1002</v>
      </c>
      <c r="C804" s="23" t="s">
        <v>167</v>
      </c>
      <c r="D804" s="23" t="s">
        <v>168</v>
      </c>
      <c r="E804" s="23" t="s">
        <v>169</v>
      </c>
      <c r="F804" s="23" t="s">
        <v>170</v>
      </c>
      <c r="G804" s="24" t="str">
        <f>A804&amp;"|"&amp;B804</f>
        <v>Mercedes Benz|Clase C 350 Coupe</v>
      </c>
    </row>
    <row r="805" ht="15" customHeight="1" spans="1:7" x14ac:dyDescent="0.25">
      <c r="A805" s="23" t="s">
        <v>981</v>
      </c>
      <c r="B805" s="23" t="s">
        <v>1003</v>
      </c>
      <c r="C805" s="23" t="s">
        <v>167</v>
      </c>
      <c r="D805" s="23" t="s">
        <v>168</v>
      </c>
      <c r="E805" s="23" t="s">
        <v>169</v>
      </c>
      <c r="F805" s="23" t="s">
        <v>170</v>
      </c>
      <c r="G805" s="24" t="str">
        <f>A805&amp;"|"&amp;B805</f>
        <v>Mercedes Benz|Clase C coupe</v>
      </c>
    </row>
    <row r="806" ht="15" customHeight="1" spans="1:7" x14ac:dyDescent="0.25">
      <c r="A806" s="23" t="s">
        <v>981</v>
      </c>
      <c r="B806" s="23" t="s">
        <v>1004</v>
      </c>
      <c r="C806" s="23" t="s">
        <v>167</v>
      </c>
      <c r="D806" s="23" t="s">
        <v>168</v>
      </c>
      <c r="E806" s="23" t="s">
        <v>169</v>
      </c>
      <c r="F806" s="23" t="s">
        <v>170</v>
      </c>
      <c r="G806" s="24" t="str">
        <f>A806&amp;"|"&amp;B806</f>
        <v>Mercedes Benz|Clase C Sedan</v>
      </c>
    </row>
    <row r="807" ht="15" customHeight="1" spans="1:7" x14ac:dyDescent="0.25">
      <c r="A807" s="23" t="s">
        <v>981</v>
      </c>
      <c r="B807" s="23" t="s">
        <v>1005</v>
      </c>
      <c r="C807" s="23" t="s">
        <v>167</v>
      </c>
      <c r="D807" s="23" t="s">
        <v>168</v>
      </c>
      <c r="E807" s="23" t="s">
        <v>169</v>
      </c>
      <c r="F807" s="23" t="s">
        <v>170</v>
      </c>
      <c r="G807" s="24" t="str">
        <f>A807&amp;"|"&amp;B807</f>
        <v>Mercedes Benz|Clase E coupe</v>
      </c>
    </row>
    <row r="808" ht="15" customHeight="1" spans="1:7" x14ac:dyDescent="0.25">
      <c r="A808" s="23" t="s">
        <v>981</v>
      </c>
      <c r="B808" s="23" t="s">
        <v>1006</v>
      </c>
      <c r="C808" s="23" t="s">
        <v>167</v>
      </c>
      <c r="D808" s="23" t="s">
        <v>168</v>
      </c>
      <c r="E808" s="23" t="s">
        <v>169</v>
      </c>
      <c r="F808" s="23" t="s">
        <v>170</v>
      </c>
      <c r="G808" s="24" t="str">
        <f>A808&amp;"|"&amp;B808</f>
        <v>Mercedes Benz|Clase E sedan</v>
      </c>
    </row>
    <row r="809" ht="15" customHeight="1" spans="1:7" x14ac:dyDescent="0.25">
      <c r="A809" s="23" t="s">
        <v>981</v>
      </c>
      <c r="B809" s="23" t="s">
        <v>1007</v>
      </c>
      <c r="C809" s="23" t="s">
        <v>162</v>
      </c>
      <c r="D809" s="23" t="s">
        <v>163</v>
      </c>
      <c r="E809" s="23" t="s">
        <v>164</v>
      </c>
      <c r="F809" s="23" t="s">
        <v>165</v>
      </c>
      <c r="G809" s="24" t="str">
        <f>A809&amp;"|"&amp;B809</f>
        <v>Mercedes Benz|Clase G</v>
      </c>
    </row>
    <row r="810" ht="15" customHeight="1" spans="1:7" x14ac:dyDescent="0.25">
      <c r="A810" s="23" t="s">
        <v>981</v>
      </c>
      <c r="B810" s="23" t="s">
        <v>1008</v>
      </c>
      <c r="C810" s="23" t="s">
        <v>162</v>
      </c>
      <c r="D810" s="23" t="s">
        <v>163</v>
      </c>
      <c r="E810" s="23" t="s">
        <v>164</v>
      </c>
      <c r="F810" s="23" t="s">
        <v>165</v>
      </c>
      <c r="G810" s="24" t="str">
        <f>A810&amp;"|"&amp;B810</f>
        <v>Mercedes Benz|Clase GLE</v>
      </c>
    </row>
    <row r="811" ht="15" customHeight="1" spans="1:7" x14ac:dyDescent="0.25">
      <c r="A811" s="23" t="s">
        <v>981</v>
      </c>
      <c r="B811" s="23" t="s">
        <v>1009</v>
      </c>
      <c r="C811" s="23" t="s">
        <v>162</v>
      </c>
      <c r="D811" s="23" t="s">
        <v>163</v>
      </c>
      <c r="E811" s="23" t="s">
        <v>164</v>
      </c>
      <c r="F811" s="23" t="s">
        <v>165</v>
      </c>
      <c r="G811" s="24" t="str">
        <f>A811&amp;"|"&amp;B811</f>
        <v>Mercedes Benz|Clase GLS</v>
      </c>
    </row>
    <row r="812" ht="15" customHeight="1" spans="1:7" x14ac:dyDescent="0.25">
      <c r="A812" s="23" t="s">
        <v>981</v>
      </c>
      <c r="B812" s="23" t="s">
        <v>1010</v>
      </c>
      <c r="C812" s="23" t="s">
        <v>167</v>
      </c>
      <c r="D812" s="23" t="s">
        <v>168</v>
      </c>
      <c r="E812" s="23" t="s">
        <v>169</v>
      </c>
      <c r="F812" s="23" t="s">
        <v>170</v>
      </c>
      <c r="G812" s="24" t="str">
        <f>A812&amp;"|"&amp;B812</f>
        <v>Mercedes Benz|Clase S coupe</v>
      </c>
    </row>
    <row r="813" ht="15" customHeight="1" spans="1:7" x14ac:dyDescent="0.25">
      <c r="A813" s="23" t="s">
        <v>981</v>
      </c>
      <c r="B813" s="23" t="s">
        <v>1011</v>
      </c>
      <c r="C813" s="23" t="s">
        <v>167</v>
      </c>
      <c r="D813" s="23" t="s">
        <v>168</v>
      </c>
      <c r="E813" s="23" t="s">
        <v>169</v>
      </c>
      <c r="F813" s="23" t="s">
        <v>170</v>
      </c>
      <c r="G813" s="24" t="str">
        <f>A813&amp;"|"&amp;B813</f>
        <v>Mercedes Benz|Clase S sedan</v>
      </c>
    </row>
    <row r="814" ht="15" customHeight="1" spans="1:7" x14ac:dyDescent="0.25">
      <c r="A814" s="23" t="s">
        <v>981</v>
      </c>
      <c r="B814" s="23" t="s">
        <v>1012</v>
      </c>
      <c r="C814" s="23" t="s">
        <v>167</v>
      </c>
      <c r="D814" s="23" t="s">
        <v>168</v>
      </c>
      <c r="E814" s="23" t="s">
        <v>169</v>
      </c>
      <c r="F814" s="23" t="s">
        <v>170</v>
      </c>
      <c r="G814" s="24" t="str">
        <f>A814&amp;"|"&amp;B814</f>
        <v>Mercedes Benz|Clase SL</v>
      </c>
    </row>
    <row r="815" ht="15" customHeight="1" spans="1:7" x14ac:dyDescent="0.25">
      <c r="A815" s="23" t="s">
        <v>981</v>
      </c>
      <c r="B815" s="23" t="s">
        <v>1013</v>
      </c>
      <c r="C815" s="23" t="s">
        <v>162</v>
      </c>
      <c r="D815" s="23" t="s">
        <v>163</v>
      </c>
      <c r="E815" s="23" t="s">
        <v>164</v>
      </c>
      <c r="F815" s="23" t="s">
        <v>165</v>
      </c>
      <c r="G815" s="24" t="str">
        <f>A815&amp;"|"&amp;B815</f>
        <v>Mercedes Benz|Clase V</v>
      </c>
    </row>
    <row r="816" ht="15" customHeight="1" spans="1:7" x14ac:dyDescent="0.25">
      <c r="A816" s="23" t="s">
        <v>981</v>
      </c>
      <c r="B816" s="23" t="s">
        <v>1014</v>
      </c>
      <c r="C816" s="23" t="s">
        <v>167</v>
      </c>
      <c r="D816" s="23" t="s">
        <v>168</v>
      </c>
      <c r="E816" s="23" t="s">
        <v>169</v>
      </c>
      <c r="F816" s="23" t="s">
        <v>170</v>
      </c>
      <c r="G816" s="24" t="str">
        <f>A816&amp;"|"&amp;B816</f>
        <v>Mercedes Benz|CLE</v>
      </c>
    </row>
    <row r="817" ht="15" customHeight="1" spans="1:7" x14ac:dyDescent="0.25">
      <c r="A817" s="23" t="s">
        <v>981</v>
      </c>
      <c r="B817" s="23" t="s">
        <v>1015</v>
      </c>
      <c r="C817" s="23" t="s">
        <v>167</v>
      </c>
      <c r="D817" s="23" t="s">
        <v>168</v>
      </c>
      <c r="E817" s="23" t="s">
        <v>169</v>
      </c>
      <c r="F817" s="23" t="s">
        <v>170</v>
      </c>
      <c r="G817" s="24" t="str">
        <f>A817&amp;"|"&amp;B817</f>
        <v>Mercedes Benz|Clk 280</v>
      </c>
    </row>
    <row r="818" ht="15" customHeight="1" spans="1:7" x14ac:dyDescent="0.25">
      <c r="A818" s="23" t="s">
        <v>981</v>
      </c>
      <c r="B818" s="23" t="s">
        <v>1016</v>
      </c>
      <c r="C818" s="23" t="s">
        <v>167</v>
      </c>
      <c r="D818" s="23" t="s">
        <v>168</v>
      </c>
      <c r="E818" s="23" t="s">
        <v>169</v>
      </c>
      <c r="F818" s="23" t="s">
        <v>170</v>
      </c>
      <c r="G818" s="24" t="str">
        <f>A818&amp;"|"&amp;B818</f>
        <v>Mercedes Benz|Clk 280 C</v>
      </c>
    </row>
    <row r="819" ht="15" customHeight="1" spans="1:7" x14ac:dyDescent="0.25">
      <c r="A819" s="23" t="s">
        <v>981</v>
      </c>
      <c r="B819" s="23" t="s">
        <v>1017</v>
      </c>
      <c r="C819" s="23" t="s">
        <v>167</v>
      </c>
      <c r="D819" s="23" t="s">
        <v>168</v>
      </c>
      <c r="E819" s="23" t="s">
        <v>169</v>
      </c>
      <c r="F819" s="23" t="s">
        <v>170</v>
      </c>
      <c r="G819" s="24" t="str">
        <f>A819&amp;"|"&amp;B819</f>
        <v>Mercedes Benz|Clk 320</v>
      </c>
    </row>
    <row r="820" ht="15" customHeight="1" spans="1:7" x14ac:dyDescent="0.25">
      <c r="A820" s="23" t="s">
        <v>981</v>
      </c>
      <c r="B820" s="23" t="s">
        <v>1018</v>
      </c>
      <c r="C820" s="23" t="s">
        <v>167</v>
      </c>
      <c r="D820" s="23" t="s">
        <v>168</v>
      </c>
      <c r="E820" s="23" t="s">
        <v>169</v>
      </c>
      <c r="F820" s="23" t="s">
        <v>170</v>
      </c>
      <c r="G820" s="24" t="str">
        <f>A820&amp;"|"&amp;B820</f>
        <v>Mercedes Benz|Clk 320 C</v>
      </c>
    </row>
    <row r="821" ht="15" customHeight="1" spans="1:7" x14ac:dyDescent="0.25">
      <c r="A821" s="23" t="s">
        <v>981</v>
      </c>
      <c r="B821" s="23" t="s">
        <v>1019</v>
      </c>
      <c r="C821" s="23" t="s">
        <v>167</v>
      </c>
      <c r="D821" s="23" t="s">
        <v>168</v>
      </c>
      <c r="E821" s="23" t="s">
        <v>169</v>
      </c>
      <c r="F821" s="23" t="s">
        <v>170</v>
      </c>
      <c r="G821" s="24" t="str">
        <f>A821&amp;"|"&amp;B821</f>
        <v>Mercedes Benz|Clk 350</v>
      </c>
    </row>
    <row r="822" ht="15" customHeight="1" spans="1:7" x14ac:dyDescent="0.25">
      <c r="A822" s="23" t="s">
        <v>981</v>
      </c>
      <c r="B822" s="23" t="s">
        <v>1020</v>
      </c>
      <c r="C822" s="23" t="s">
        <v>167</v>
      </c>
      <c r="D822" s="23" t="s">
        <v>168</v>
      </c>
      <c r="E822" s="23" t="s">
        <v>169</v>
      </c>
      <c r="F822" s="23" t="s">
        <v>170</v>
      </c>
      <c r="G822" s="24" t="str">
        <f>A822&amp;"|"&amp;B822</f>
        <v>Mercedes Benz|Clk 350 C</v>
      </c>
    </row>
    <row r="823" ht="15" customHeight="1" spans="1:7" x14ac:dyDescent="0.25">
      <c r="A823" s="23" t="s">
        <v>981</v>
      </c>
      <c r="B823" s="23" t="s">
        <v>1021</v>
      </c>
      <c r="C823" s="23" t="s">
        <v>167</v>
      </c>
      <c r="D823" s="23" t="s">
        <v>168</v>
      </c>
      <c r="E823" s="23" t="s">
        <v>169</v>
      </c>
      <c r="F823" s="23" t="s">
        <v>170</v>
      </c>
      <c r="G823" s="24" t="str">
        <f>A823&amp;"|"&amp;B823</f>
        <v>Mercedes Benz|Clk 500</v>
      </c>
    </row>
    <row r="824" ht="15" customHeight="1" spans="1:7" x14ac:dyDescent="0.25">
      <c r="A824" s="23" t="s">
        <v>981</v>
      </c>
      <c r="B824" s="23" t="s">
        <v>1022</v>
      </c>
      <c r="C824" s="23" t="s">
        <v>167</v>
      </c>
      <c r="D824" s="23" t="s">
        <v>168</v>
      </c>
      <c r="E824" s="23" t="s">
        <v>169</v>
      </c>
      <c r="F824" s="23" t="s">
        <v>170</v>
      </c>
      <c r="G824" s="24" t="str">
        <f>A824&amp;"|"&amp;B824</f>
        <v>Mercedes Benz|Clk 500 C</v>
      </c>
    </row>
    <row r="825" ht="15" customHeight="1" spans="1:7" x14ac:dyDescent="0.25">
      <c r="A825" s="23" t="s">
        <v>981</v>
      </c>
      <c r="B825" s="23" t="s">
        <v>1023</v>
      </c>
      <c r="C825" s="23" t="s">
        <v>167</v>
      </c>
      <c r="D825" s="23" t="s">
        <v>168</v>
      </c>
      <c r="E825" s="23" t="s">
        <v>169</v>
      </c>
      <c r="F825" s="23" t="s">
        <v>170</v>
      </c>
      <c r="G825" s="24" t="str">
        <f>A825&amp;"|"&amp;B825</f>
        <v>Mercedes Benz|CLS</v>
      </c>
    </row>
    <row r="826" ht="15" customHeight="1" spans="1:7" x14ac:dyDescent="0.25">
      <c r="A826" s="23" t="s">
        <v>981</v>
      </c>
      <c r="B826" s="23" t="s">
        <v>1024</v>
      </c>
      <c r="C826" s="23" t="s">
        <v>167</v>
      </c>
      <c r="D826" s="23" t="s">
        <v>168</v>
      </c>
      <c r="E826" s="23" t="s">
        <v>169</v>
      </c>
      <c r="F826" s="23" t="s">
        <v>170</v>
      </c>
      <c r="G826" s="24" t="str">
        <f>A826&amp;"|"&amp;B826</f>
        <v>Mercedes Benz|Cls 350</v>
      </c>
    </row>
    <row r="827" ht="15" customHeight="1" spans="1:7" x14ac:dyDescent="0.25">
      <c r="A827" s="23" t="s">
        <v>981</v>
      </c>
      <c r="B827" s="23" t="s">
        <v>1025</v>
      </c>
      <c r="C827" s="23" t="s">
        <v>167</v>
      </c>
      <c r="D827" s="23" t="s">
        <v>168</v>
      </c>
      <c r="E827" s="23" t="s">
        <v>169</v>
      </c>
      <c r="F827" s="23" t="s">
        <v>170</v>
      </c>
      <c r="G827" s="24" t="str">
        <f>A827&amp;"|"&amp;B827</f>
        <v>Mercedes Benz|Cls 500</v>
      </c>
    </row>
    <row r="828" ht="15" customHeight="1" spans="1:7" x14ac:dyDescent="0.25">
      <c r="A828" s="23" t="s">
        <v>981</v>
      </c>
      <c r="B828" s="23" t="s">
        <v>1026</v>
      </c>
      <c r="C828" s="23" t="s">
        <v>167</v>
      </c>
      <c r="D828" s="23" t="s">
        <v>168</v>
      </c>
      <c r="E828" s="23" t="s">
        <v>169</v>
      </c>
      <c r="F828" s="23" t="s">
        <v>170</v>
      </c>
      <c r="G828" s="24" t="str">
        <f>A828&amp;"|"&amp;B828</f>
        <v>Mercedes Benz|E 250 Coupe</v>
      </c>
    </row>
    <row r="829" ht="15" customHeight="1" spans="1:7" x14ac:dyDescent="0.25">
      <c r="A829" s="23" t="s">
        <v>981</v>
      </c>
      <c r="B829" s="23" t="s">
        <v>1027</v>
      </c>
      <c r="C829" s="23" t="s">
        <v>167</v>
      </c>
      <c r="D829" s="23" t="s">
        <v>168</v>
      </c>
      <c r="E829" s="23" t="s">
        <v>169</v>
      </c>
      <c r="F829" s="23" t="s">
        <v>170</v>
      </c>
      <c r="G829" s="24" t="str">
        <f>A829&amp;"|"&amp;B829</f>
        <v>Mercedes Benz|E 280</v>
      </c>
    </row>
    <row r="830" ht="15" customHeight="1" spans="1:7" x14ac:dyDescent="0.25">
      <c r="A830" s="23" t="s">
        <v>981</v>
      </c>
      <c r="B830" s="23" t="s">
        <v>1028</v>
      </c>
      <c r="C830" s="23" t="s">
        <v>167</v>
      </c>
      <c r="D830" s="23" t="s">
        <v>168</v>
      </c>
      <c r="E830" s="23" t="s">
        <v>169</v>
      </c>
      <c r="F830" s="23" t="s">
        <v>170</v>
      </c>
      <c r="G830" s="24" t="str">
        <f>A830&amp;"|"&amp;B830</f>
        <v>Mercedes Benz|E 350</v>
      </c>
    </row>
    <row r="831" ht="15" customHeight="1" spans="1:7" x14ac:dyDescent="0.25">
      <c r="A831" s="23" t="s">
        <v>981</v>
      </c>
      <c r="B831" s="23" t="s">
        <v>1029</v>
      </c>
      <c r="C831" s="23" t="s">
        <v>167</v>
      </c>
      <c r="D831" s="23" t="s">
        <v>168</v>
      </c>
      <c r="E831" s="23" t="s">
        <v>169</v>
      </c>
      <c r="F831" s="23" t="s">
        <v>170</v>
      </c>
      <c r="G831" s="24" t="str">
        <f>A831&amp;"|"&amp;B831</f>
        <v>Mercedes Benz|E 350 Convertible</v>
      </c>
    </row>
    <row r="832" ht="15" customHeight="1" spans="1:7" x14ac:dyDescent="0.25">
      <c r="A832" s="23" t="s">
        <v>981</v>
      </c>
      <c r="B832" s="23" t="s">
        <v>1030</v>
      </c>
      <c r="C832" s="23" t="s">
        <v>167</v>
      </c>
      <c r="D832" s="23" t="s">
        <v>168</v>
      </c>
      <c r="E832" s="23" t="s">
        <v>169</v>
      </c>
      <c r="F832" s="23" t="s">
        <v>170</v>
      </c>
      <c r="G832" s="24" t="str">
        <f>A832&amp;"|"&amp;B832</f>
        <v>Mercedes Benz|E 350 Coupe</v>
      </c>
    </row>
    <row r="833" ht="15" customHeight="1" spans="1:7" x14ac:dyDescent="0.25">
      <c r="A833" s="23" t="s">
        <v>981</v>
      </c>
      <c r="B833" s="23" t="s">
        <v>1031</v>
      </c>
      <c r="C833" s="23" t="s">
        <v>167</v>
      </c>
      <c r="D833" s="23" t="s">
        <v>168</v>
      </c>
      <c r="E833" s="23" t="s">
        <v>169</v>
      </c>
      <c r="F833" s="23" t="s">
        <v>170</v>
      </c>
      <c r="G833" s="24" t="str">
        <f>A833&amp;"|"&amp;B833</f>
        <v>Mercedes Benz|E 500</v>
      </c>
    </row>
    <row r="834" ht="15" customHeight="1" spans="1:7" x14ac:dyDescent="0.25">
      <c r="A834" s="23" t="s">
        <v>981</v>
      </c>
      <c r="B834" s="23" t="s">
        <v>1032</v>
      </c>
      <c r="C834" s="23" t="s">
        <v>167</v>
      </c>
      <c r="D834" s="23" t="s">
        <v>168</v>
      </c>
      <c r="E834" s="23" t="s">
        <v>169</v>
      </c>
      <c r="F834" s="23" t="s">
        <v>170</v>
      </c>
      <c r="G834" s="24" t="str">
        <f>A834&amp;"|"&amp;B834</f>
        <v>Mercedes Benz|E 500 Convertible</v>
      </c>
    </row>
    <row r="835" ht="15" customHeight="1" spans="1:7" x14ac:dyDescent="0.25">
      <c r="A835" s="23" t="s">
        <v>981</v>
      </c>
      <c r="B835" s="23" t="s">
        <v>1033</v>
      </c>
      <c r="C835" s="23" t="s">
        <v>167</v>
      </c>
      <c r="D835" s="23" t="s">
        <v>168</v>
      </c>
      <c r="E835" s="23" t="s">
        <v>169</v>
      </c>
      <c r="F835" s="23" t="s">
        <v>170</v>
      </c>
      <c r="G835" s="24" t="str">
        <f>A835&amp;"|"&amp;B835</f>
        <v>Mercedes Benz|E 500 Coupe</v>
      </c>
    </row>
    <row r="836" ht="15" customHeight="1" spans="1:7" x14ac:dyDescent="0.25">
      <c r="A836" s="23" t="s">
        <v>981</v>
      </c>
      <c r="B836" s="23" t="s">
        <v>1034</v>
      </c>
      <c r="C836" s="23" t="s">
        <v>167</v>
      </c>
      <c r="D836" s="23" t="s">
        <v>168</v>
      </c>
      <c r="E836" s="23" t="s">
        <v>169</v>
      </c>
      <c r="F836" s="23" t="s">
        <v>170</v>
      </c>
      <c r="G836" s="24" t="str">
        <f>A836&amp;"|"&amp;B836</f>
        <v>Mercedes Benz|E 55 Amg</v>
      </c>
    </row>
    <row r="837" ht="15" customHeight="1" spans="1:7" x14ac:dyDescent="0.25">
      <c r="A837" s="23" t="s">
        <v>981</v>
      </c>
      <c r="B837" s="23" t="s">
        <v>1035</v>
      </c>
      <c r="C837" s="23" t="s">
        <v>167</v>
      </c>
      <c r="D837" s="23" t="s">
        <v>168</v>
      </c>
      <c r="E837" s="23" t="s">
        <v>169</v>
      </c>
      <c r="F837" s="23" t="s">
        <v>170</v>
      </c>
      <c r="G837" s="24" t="str">
        <f>A837&amp;"|"&amp;B837</f>
        <v>Mercedes Benz|E 63 Amg</v>
      </c>
    </row>
    <row r="838" ht="15" customHeight="1" spans="1:7" x14ac:dyDescent="0.25">
      <c r="A838" s="23" t="s">
        <v>981</v>
      </c>
      <c r="B838" s="23" t="s">
        <v>1036</v>
      </c>
      <c r="C838" s="23" t="s">
        <v>167</v>
      </c>
      <c r="D838" s="23" t="s">
        <v>168</v>
      </c>
      <c r="E838" s="23" t="s">
        <v>169</v>
      </c>
      <c r="F838" s="23" t="s">
        <v>170</v>
      </c>
      <c r="G838" s="24" t="str">
        <f>A838&amp;"|"&amp;B838</f>
        <v>Mercedes Benz|E250</v>
      </c>
    </row>
    <row r="839" ht="15" customHeight="1" spans="1:7" x14ac:dyDescent="0.25">
      <c r="A839" s="23" t="s">
        <v>981</v>
      </c>
      <c r="B839" s="23" t="s">
        <v>1037</v>
      </c>
      <c r="C839" s="23" t="s">
        <v>162</v>
      </c>
      <c r="D839" s="23" t="s">
        <v>163</v>
      </c>
      <c r="E839" s="23" t="s">
        <v>164</v>
      </c>
      <c r="F839" s="23" t="s">
        <v>165</v>
      </c>
      <c r="G839" s="24" t="str">
        <f>A839&amp;"|"&amp;B839</f>
        <v>Mercedes Benz|EQA</v>
      </c>
    </row>
    <row r="840" ht="15" customHeight="1" spans="1:7" x14ac:dyDescent="0.25">
      <c r="A840" s="23" t="s">
        <v>981</v>
      </c>
      <c r="B840" s="23" t="s">
        <v>1038</v>
      </c>
      <c r="C840" s="23" t="s">
        <v>162</v>
      </c>
      <c r="D840" s="23" t="s">
        <v>163</v>
      </c>
      <c r="E840" s="23" t="s">
        <v>164</v>
      </c>
      <c r="F840" s="23" t="s">
        <v>165</v>
      </c>
      <c r="G840" s="24" t="str">
        <f>A840&amp;"|"&amp;B840</f>
        <v>Mercedes Benz|EQB</v>
      </c>
    </row>
    <row r="841" ht="15" customHeight="1" spans="1:7" x14ac:dyDescent="0.25">
      <c r="A841" s="23" t="s">
        <v>981</v>
      </c>
      <c r="B841" s="23" t="s">
        <v>1039</v>
      </c>
      <c r="C841" s="23" t="s">
        <v>162</v>
      </c>
      <c r="D841" s="23" t="s">
        <v>163</v>
      </c>
      <c r="E841" s="23" t="s">
        <v>164</v>
      </c>
      <c r="F841" s="23" t="s">
        <v>165</v>
      </c>
      <c r="G841" s="24" t="str">
        <f>A841&amp;"|"&amp;B841</f>
        <v>Mercedes Benz|EQC</v>
      </c>
    </row>
    <row r="842" ht="15" customHeight="1" spans="1:7" x14ac:dyDescent="0.25">
      <c r="A842" s="23" t="s">
        <v>981</v>
      </c>
      <c r="B842" s="23" t="s">
        <v>1040</v>
      </c>
      <c r="C842" s="23" t="s">
        <v>167</v>
      </c>
      <c r="D842" s="23" t="s">
        <v>168</v>
      </c>
      <c r="E842" s="23" t="s">
        <v>169</v>
      </c>
      <c r="F842" s="23" t="s">
        <v>170</v>
      </c>
      <c r="G842" s="24" t="str">
        <f>A842&amp;"|"&amp;B842</f>
        <v>Mercedes Benz|EQE</v>
      </c>
    </row>
    <row r="843" ht="15" customHeight="1" spans="1:7" x14ac:dyDescent="0.25">
      <c r="A843" s="23" t="s">
        <v>981</v>
      </c>
      <c r="B843" s="23" t="s">
        <v>1041</v>
      </c>
      <c r="C843" s="23" t="s">
        <v>162</v>
      </c>
      <c r="D843" s="23" t="s">
        <v>163</v>
      </c>
      <c r="E843" s="23" t="s">
        <v>164</v>
      </c>
      <c r="F843" s="23" t="s">
        <v>165</v>
      </c>
      <c r="G843" s="24" t="str">
        <f>A843&amp;"|"&amp;B843</f>
        <v>Mercedes Benz|EQE SUV</v>
      </c>
    </row>
    <row r="844" ht="15" customHeight="1" spans="1:7" x14ac:dyDescent="0.25">
      <c r="A844" s="23" t="s">
        <v>981</v>
      </c>
      <c r="B844" s="23" t="s">
        <v>1042</v>
      </c>
      <c r="C844" s="23" t="s">
        <v>167</v>
      </c>
      <c r="D844" s="23" t="s">
        <v>168</v>
      </c>
      <c r="E844" s="23" t="s">
        <v>169</v>
      </c>
      <c r="F844" s="23" t="s">
        <v>170</v>
      </c>
      <c r="G844" s="24" t="str">
        <f>A844&amp;"|"&amp;B844</f>
        <v>Mercedes Benz|EQS</v>
      </c>
    </row>
    <row r="845" ht="15" customHeight="1" spans="1:7" x14ac:dyDescent="0.25">
      <c r="A845" s="23" t="s">
        <v>981</v>
      </c>
      <c r="B845" s="23" t="s">
        <v>1043</v>
      </c>
      <c r="C845" s="23" t="s">
        <v>162</v>
      </c>
      <c r="D845" s="23" t="s">
        <v>163</v>
      </c>
      <c r="E845" s="23" t="s">
        <v>164</v>
      </c>
      <c r="F845" s="23" t="s">
        <v>165</v>
      </c>
      <c r="G845" s="24" t="str">
        <f>A845&amp;"|"&amp;B845</f>
        <v>Mercedes Benz|EQS SUV</v>
      </c>
    </row>
    <row r="846" ht="15" customHeight="1" spans="1:7" x14ac:dyDescent="0.25">
      <c r="A846" s="23" t="s">
        <v>981</v>
      </c>
      <c r="B846" s="23" t="s">
        <v>1044</v>
      </c>
      <c r="C846" s="23" t="s">
        <v>162</v>
      </c>
      <c r="D846" s="23" t="s">
        <v>163</v>
      </c>
      <c r="E846" s="23" t="s">
        <v>164</v>
      </c>
      <c r="F846" s="23" t="s">
        <v>165</v>
      </c>
      <c r="G846" s="24" t="str">
        <f>A846&amp;"|"&amp;B846</f>
        <v>Mercedes Benz|G 500</v>
      </c>
    </row>
    <row r="847" ht="15" customHeight="1" spans="1:7" x14ac:dyDescent="0.25">
      <c r="A847" s="23" t="s">
        <v>981</v>
      </c>
      <c r="B847" s="23" t="s">
        <v>1045</v>
      </c>
      <c r="C847" s="23" t="s">
        <v>162</v>
      </c>
      <c r="D847" s="23" t="s">
        <v>163</v>
      </c>
      <c r="E847" s="23" t="s">
        <v>164</v>
      </c>
      <c r="F847" s="23" t="s">
        <v>165</v>
      </c>
      <c r="G847" s="24" t="str">
        <f>A847&amp;"|"&amp;B847</f>
        <v>Mercedes Benz|Gl 450</v>
      </c>
    </row>
    <row r="848" ht="15" customHeight="1" spans="1:7" x14ac:dyDescent="0.25">
      <c r="A848" s="23" t="s">
        <v>981</v>
      </c>
      <c r="B848" s="23" t="s">
        <v>1046</v>
      </c>
      <c r="C848" s="23" t="s">
        <v>162</v>
      </c>
      <c r="D848" s="23" t="s">
        <v>163</v>
      </c>
      <c r="E848" s="23" t="s">
        <v>164</v>
      </c>
      <c r="F848" s="23" t="s">
        <v>165</v>
      </c>
      <c r="G848" s="24" t="str">
        <f>A848&amp;"|"&amp;B848</f>
        <v>Mercedes Benz|Gl 500</v>
      </c>
    </row>
    <row r="849" ht="15" customHeight="1" spans="1:7" x14ac:dyDescent="0.25">
      <c r="A849" s="23" t="s">
        <v>981</v>
      </c>
      <c r="B849" s="23" t="s">
        <v>1047</v>
      </c>
      <c r="C849" s="23" t="s">
        <v>162</v>
      </c>
      <c r="D849" s="23" t="s">
        <v>163</v>
      </c>
      <c r="E849" s="23" t="s">
        <v>164</v>
      </c>
      <c r="F849" s="23" t="s">
        <v>165</v>
      </c>
      <c r="G849" s="24" t="str">
        <f>A849&amp;"|"&amp;B849</f>
        <v>Mercedes Benz|GLA</v>
      </c>
    </row>
    <row r="850" ht="15" customHeight="1" spans="1:7" x14ac:dyDescent="0.25">
      <c r="A850" s="23" t="s">
        <v>981</v>
      </c>
      <c r="B850" s="23" t="s">
        <v>1048</v>
      </c>
      <c r="C850" s="23" t="s">
        <v>162</v>
      </c>
      <c r="D850" s="23" t="s">
        <v>163</v>
      </c>
      <c r="E850" s="23" t="s">
        <v>164</v>
      </c>
      <c r="F850" s="23" t="s">
        <v>165</v>
      </c>
      <c r="G850" s="24" t="str">
        <f>A850&amp;"|"&amp;B850</f>
        <v>Mercedes Benz|GLB</v>
      </c>
    </row>
    <row r="851" ht="15" customHeight="1" spans="1:7" x14ac:dyDescent="0.25">
      <c r="A851" s="23" t="s">
        <v>981</v>
      </c>
      <c r="B851" s="23" t="s">
        <v>1049</v>
      </c>
      <c r="C851" s="23" t="s">
        <v>162</v>
      </c>
      <c r="D851" s="23" t="s">
        <v>163</v>
      </c>
      <c r="E851" s="23" t="s">
        <v>164</v>
      </c>
      <c r="F851" s="23" t="s">
        <v>165</v>
      </c>
      <c r="G851" s="24" t="str">
        <f>A851&amp;"|"&amp;B851</f>
        <v>Mercedes Benz|GLC</v>
      </c>
    </row>
    <row r="852" ht="15" customHeight="1" spans="1:7" x14ac:dyDescent="0.25">
      <c r="A852" s="23" t="s">
        <v>981</v>
      </c>
      <c r="B852" s="23" t="s">
        <v>1050</v>
      </c>
      <c r="C852" s="23" t="s">
        <v>162</v>
      </c>
      <c r="D852" s="23" t="s">
        <v>163</v>
      </c>
      <c r="E852" s="23" t="s">
        <v>164</v>
      </c>
      <c r="F852" s="23" t="s">
        <v>165</v>
      </c>
      <c r="G852" s="24" t="str">
        <f>A852&amp;"|"&amp;B852</f>
        <v>Mercedes Benz|GLK 280</v>
      </c>
    </row>
    <row r="853" ht="15" customHeight="1" spans="1:7" x14ac:dyDescent="0.25">
      <c r="A853" s="23" t="s">
        <v>981</v>
      </c>
      <c r="B853" s="23" t="s">
        <v>1051</v>
      </c>
      <c r="C853" s="23" t="s">
        <v>162</v>
      </c>
      <c r="D853" s="23" t="s">
        <v>163</v>
      </c>
      <c r="E853" s="23" t="s">
        <v>164</v>
      </c>
      <c r="F853" s="23" t="s">
        <v>165</v>
      </c>
      <c r="G853" s="24" t="str">
        <f>A853&amp;"|"&amp;B853</f>
        <v>Mercedes Benz|GLK 350</v>
      </c>
    </row>
    <row r="854" ht="15" customHeight="1" spans="1:7" x14ac:dyDescent="0.25">
      <c r="A854" s="23" t="s">
        <v>981</v>
      </c>
      <c r="B854" s="23" t="s">
        <v>1052</v>
      </c>
      <c r="C854" s="23" t="s">
        <v>162</v>
      </c>
      <c r="D854" s="23" t="s">
        <v>163</v>
      </c>
      <c r="E854" s="23" t="s">
        <v>164</v>
      </c>
      <c r="F854" s="23" t="s">
        <v>165</v>
      </c>
      <c r="G854" s="24" t="str">
        <f>A854&amp;"|"&amp;B854</f>
        <v>Mercedes Benz|Ml 350</v>
      </c>
    </row>
    <row r="855" ht="15" customHeight="1" spans="1:7" x14ac:dyDescent="0.25">
      <c r="A855" s="23" t="s">
        <v>981</v>
      </c>
      <c r="B855" s="23" t="s">
        <v>1053</v>
      </c>
      <c r="C855" s="23" t="s">
        <v>162</v>
      </c>
      <c r="D855" s="23" t="s">
        <v>163</v>
      </c>
      <c r="E855" s="23" t="s">
        <v>164</v>
      </c>
      <c r="F855" s="23" t="s">
        <v>165</v>
      </c>
      <c r="G855" s="24" t="str">
        <f>A855&amp;"|"&amp;B855</f>
        <v>Mercedes Benz|Ml 500</v>
      </c>
    </row>
    <row r="856" ht="15" customHeight="1" spans="1:7" x14ac:dyDescent="0.25">
      <c r="A856" s="23" t="s">
        <v>981</v>
      </c>
      <c r="B856" s="23" t="s">
        <v>1054</v>
      </c>
      <c r="C856" s="23" t="s">
        <v>162</v>
      </c>
      <c r="D856" s="23" t="s">
        <v>163</v>
      </c>
      <c r="E856" s="23" t="s">
        <v>164</v>
      </c>
      <c r="F856" s="23" t="s">
        <v>165</v>
      </c>
      <c r="G856" s="24" t="str">
        <f>A856&amp;"|"&amp;B856</f>
        <v>Mercedes Benz|Ml 63 Amg</v>
      </c>
    </row>
    <row r="857" ht="15" customHeight="1" spans="1:7" x14ac:dyDescent="0.25">
      <c r="A857" s="23" t="s">
        <v>981</v>
      </c>
      <c r="B857" s="23" t="s">
        <v>1055</v>
      </c>
      <c r="C857" s="23" t="s">
        <v>162</v>
      </c>
      <c r="D857" s="23" t="s">
        <v>163</v>
      </c>
      <c r="E857" s="23" t="s">
        <v>164</v>
      </c>
      <c r="F857" s="23" t="s">
        <v>165</v>
      </c>
      <c r="G857" s="24" t="str">
        <f>A857&amp;"|"&amp;B857</f>
        <v>Mercedes Benz|R 350</v>
      </c>
    </row>
    <row r="858" ht="15" customHeight="1" spans="1:7" x14ac:dyDescent="0.25">
      <c r="A858" s="23" t="s">
        <v>981</v>
      </c>
      <c r="B858" s="23" t="s">
        <v>1056</v>
      </c>
      <c r="C858" s="23" t="s">
        <v>162</v>
      </c>
      <c r="D858" s="23" t="s">
        <v>163</v>
      </c>
      <c r="E858" s="23" t="s">
        <v>164</v>
      </c>
      <c r="F858" s="23" t="s">
        <v>165</v>
      </c>
      <c r="G858" s="24" t="str">
        <f>A858&amp;"|"&amp;B858</f>
        <v>Mercedes Benz|R 500</v>
      </c>
    </row>
    <row r="859" ht="15" customHeight="1" spans="1:7" x14ac:dyDescent="0.25">
      <c r="A859" s="23" t="s">
        <v>981</v>
      </c>
      <c r="B859" s="23" t="s">
        <v>1057</v>
      </c>
      <c r="C859" s="23" t="s">
        <v>167</v>
      </c>
      <c r="D859" s="23" t="s">
        <v>168</v>
      </c>
      <c r="E859" s="23" t="s">
        <v>169</v>
      </c>
      <c r="F859" s="23" t="s">
        <v>170</v>
      </c>
      <c r="G859" s="24" t="str">
        <f>A859&amp;"|"&amp;B859</f>
        <v>Mercedes Benz|S 430</v>
      </c>
    </row>
    <row r="860" ht="15" customHeight="1" spans="1:7" x14ac:dyDescent="0.25">
      <c r="A860" s="23" t="s">
        <v>981</v>
      </c>
      <c r="B860" s="23" t="s">
        <v>1058</v>
      </c>
      <c r="C860" s="23" t="s">
        <v>167</v>
      </c>
      <c r="D860" s="23" t="s">
        <v>168</v>
      </c>
      <c r="E860" s="23" t="s">
        <v>169</v>
      </c>
      <c r="F860" s="23" t="s">
        <v>170</v>
      </c>
      <c r="G860" s="24" t="str">
        <f>A860&amp;"|"&amp;B860</f>
        <v>Mercedes Benz|S 500</v>
      </c>
    </row>
    <row r="861" ht="15" customHeight="1" spans="1:7" x14ac:dyDescent="0.25">
      <c r="A861" s="23" t="s">
        <v>981</v>
      </c>
      <c r="B861" s="23" t="s">
        <v>1059</v>
      </c>
      <c r="C861" s="23" t="s">
        <v>167</v>
      </c>
      <c r="D861" s="23" t="s">
        <v>168</v>
      </c>
      <c r="E861" s="23" t="s">
        <v>169</v>
      </c>
      <c r="F861" s="23" t="s">
        <v>170</v>
      </c>
      <c r="G861" s="24" t="str">
        <f>A861&amp;"|"&amp;B861</f>
        <v>Mercedes Benz|Sl 500</v>
      </c>
    </row>
    <row r="862" ht="15" customHeight="1" spans="1:7" x14ac:dyDescent="0.25">
      <c r="A862" s="23" t="s">
        <v>981</v>
      </c>
      <c r="B862" s="23" t="s">
        <v>1060</v>
      </c>
      <c r="C862" s="23" t="s">
        <v>167</v>
      </c>
      <c r="D862" s="23" t="s">
        <v>168</v>
      </c>
      <c r="E862" s="23" t="s">
        <v>169</v>
      </c>
      <c r="F862" s="23" t="s">
        <v>170</v>
      </c>
      <c r="G862" s="24" t="str">
        <f>A862&amp;"|"&amp;B862</f>
        <v>Mercedes Benz|Sl 55 Amg</v>
      </c>
    </row>
    <row r="863" ht="15" customHeight="1" spans="1:7" x14ac:dyDescent="0.25">
      <c r="A863" s="23" t="s">
        <v>981</v>
      </c>
      <c r="B863" s="23" t="s">
        <v>1061</v>
      </c>
      <c r="C863" s="23" t="s">
        <v>167</v>
      </c>
      <c r="D863" s="23" t="s">
        <v>168</v>
      </c>
      <c r="E863" s="23" t="s">
        <v>169</v>
      </c>
      <c r="F863" s="23" t="s">
        <v>170</v>
      </c>
      <c r="G863" s="24" t="str">
        <f>A863&amp;"|"&amp;B863</f>
        <v>Mercedes Benz|SLC</v>
      </c>
    </row>
    <row r="864" ht="15" customHeight="1" spans="1:7" x14ac:dyDescent="0.25">
      <c r="A864" s="23" t="s">
        <v>981</v>
      </c>
      <c r="B864" s="23" t="s">
        <v>1062</v>
      </c>
      <c r="C864" s="23" t="s">
        <v>167</v>
      </c>
      <c r="D864" s="23" t="s">
        <v>168</v>
      </c>
      <c r="E864" s="23" t="s">
        <v>169</v>
      </c>
      <c r="F864" s="23" t="s">
        <v>170</v>
      </c>
      <c r="G864" s="24" t="str">
        <f>A864&amp;"|"&amp;B864</f>
        <v>Mercedes Benz|Slk 200 K</v>
      </c>
    </row>
    <row r="865" ht="15" customHeight="1" spans="1:7" x14ac:dyDescent="0.25">
      <c r="A865" s="23" t="s">
        <v>981</v>
      </c>
      <c r="B865" s="23" t="s">
        <v>1063</v>
      </c>
      <c r="C865" s="23" t="s">
        <v>167</v>
      </c>
      <c r="D865" s="23" t="s">
        <v>168</v>
      </c>
      <c r="E865" s="23" t="s">
        <v>169</v>
      </c>
      <c r="F865" s="23" t="s">
        <v>170</v>
      </c>
      <c r="G865" s="24" t="str">
        <f>A865&amp;"|"&amp;B865</f>
        <v>Mercedes Benz|Slk 350</v>
      </c>
    </row>
    <row r="866" ht="15" customHeight="1" spans="1:7" x14ac:dyDescent="0.25">
      <c r="A866" s="23" t="s">
        <v>981</v>
      </c>
      <c r="B866" s="23" t="s">
        <v>1064</v>
      </c>
      <c r="C866" s="23" t="s">
        <v>167</v>
      </c>
      <c r="D866" s="23" t="s">
        <v>168</v>
      </c>
      <c r="E866" s="23" t="s">
        <v>169</v>
      </c>
      <c r="F866" s="23" t="s">
        <v>170</v>
      </c>
      <c r="G866" s="24" t="str">
        <f>A866&amp;"|"&amp;B866</f>
        <v>Mercedes Benz|Sls Amg</v>
      </c>
    </row>
    <row r="867" ht="15" customHeight="1" spans="1:7" x14ac:dyDescent="0.25">
      <c r="A867" s="23" t="s">
        <v>981</v>
      </c>
      <c r="B867" s="23" t="s">
        <v>1065</v>
      </c>
      <c r="C867" s="23" t="s">
        <v>162</v>
      </c>
      <c r="D867" s="23" t="s">
        <v>163</v>
      </c>
      <c r="E867" s="23" t="s">
        <v>164</v>
      </c>
      <c r="F867" s="23" t="s">
        <v>165</v>
      </c>
      <c r="G867" s="24" t="str">
        <f>A867&amp;"|"&amp;B867</f>
        <v>Mercedes Benz|Sprinter</v>
      </c>
    </row>
    <row r="868" ht="15" customHeight="1" spans="1:7" x14ac:dyDescent="0.25">
      <c r="A868" s="23" t="s">
        <v>981</v>
      </c>
      <c r="B868" s="23" t="s">
        <v>1066</v>
      </c>
      <c r="C868" s="23" t="s">
        <v>162</v>
      </c>
      <c r="D868" s="23" t="s">
        <v>163</v>
      </c>
      <c r="E868" s="23" t="s">
        <v>164</v>
      </c>
      <c r="F868" s="23" t="s">
        <v>165</v>
      </c>
      <c r="G868" s="24" t="str">
        <f>A868&amp;"|"&amp;B868</f>
        <v>Mercedes Benz|Vito</v>
      </c>
    </row>
    <row r="869" ht="15" customHeight="1" spans="1:7" x14ac:dyDescent="0.25">
      <c r="A869" s="23" t="s">
        <v>981</v>
      </c>
      <c r="B869" s="23" t="s">
        <v>1067</v>
      </c>
      <c r="C869" s="23" t="s">
        <v>162</v>
      </c>
      <c r="D869" s="23" t="s">
        <v>163</v>
      </c>
      <c r="E869" s="23" t="s">
        <v>164</v>
      </c>
      <c r="F869" s="23" t="s">
        <v>165</v>
      </c>
      <c r="G869" s="24" t="str">
        <f>A869&amp;"|"&amp;B869</f>
        <v>Mercedes Benz|Vito Carga</v>
      </c>
    </row>
    <row r="870" ht="15" customHeight="1" spans="1:7" x14ac:dyDescent="0.25">
      <c r="A870" s="23" t="s">
        <v>981</v>
      </c>
      <c r="B870" s="23" t="s">
        <v>1068</v>
      </c>
      <c r="C870" s="23" t="s">
        <v>162</v>
      </c>
      <c r="D870" s="23" t="s">
        <v>163</v>
      </c>
      <c r="E870" s="23" t="s">
        <v>164</v>
      </c>
      <c r="F870" s="23" t="s">
        <v>165</v>
      </c>
      <c r="G870" s="24" t="str">
        <f>A870&amp;"|"&amp;B870</f>
        <v>Mercedes Benz|Vito Pasaje</v>
      </c>
    </row>
    <row r="871" ht="15" customHeight="1" spans="1:7" x14ac:dyDescent="0.25">
      <c r="A871" s="23" t="s">
        <v>981</v>
      </c>
      <c r="B871" s="23" t="s">
        <v>1069</v>
      </c>
      <c r="C871" s="23" t="s">
        <v>162</v>
      </c>
      <c r="D871" s="23" t="s">
        <v>163</v>
      </c>
      <c r="E871" s="23" t="s">
        <v>275</v>
      </c>
      <c r="F871" s="23" t="s">
        <v>165</v>
      </c>
      <c r="G871" s="24" t="str">
        <f>A871&amp;"|"&amp;B871</f>
        <v>Mercedes Benz|Wagon</v>
      </c>
    </row>
    <row r="872" ht="15" customHeight="1" spans="1:7" x14ac:dyDescent="0.25">
      <c r="A872" s="23" t="s">
        <v>1070</v>
      </c>
      <c r="B872" s="23" t="s">
        <v>1071</v>
      </c>
      <c r="C872" s="23" t="s">
        <v>167</v>
      </c>
      <c r="D872" s="23" t="s">
        <v>168</v>
      </c>
      <c r="E872" s="23" t="s">
        <v>175</v>
      </c>
      <c r="F872" s="23" t="s">
        <v>170</v>
      </c>
      <c r="G872" s="24" t="str">
        <f>A872&amp;"|"&amp;B872</f>
        <v>MG Motor|CYBERSTER</v>
      </c>
    </row>
    <row r="873" ht="15" customHeight="1" spans="1:7" x14ac:dyDescent="0.25">
      <c r="A873" s="23" t="s">
        <v>1070</v>
      </c>
      <c r="B873" s="23" t="s">
        <v>1072</v>
      </c>
      <c r="C873" s="23" t="s">
        <v>162</v>
      </c>
      <c r="D873" s="23" t="s">
        <v>163</v>
      </c>
      <c r="E873" s="23" t="s">
        <v>164</v>
      </c>
      <c r="F873" s="23" t="s">
        <v>165</v>
      </c>
      <c r="G873" s="24" t="str">
        <f>A873&amp;"|"&amp;B873</f>
        <v>MG Motor|eHS</v>
      </c>
    </row>
    <row r="874" ht="15" customHeight="1" spans="1:7" x14ac:dyDescent="0.25">
      <c r="A874" s="23" t="s">
        <v>1070</v>
      </c>
      <c r="B874" s="23" t="s">
        <v>1073</v>
      </c>
      <c r="C874" s="23" t="s">
        <v>162</v>
      </c>
      <c r="D874" s="23" t="s">
        <v>168</v>
      </c>
      <c r="E874" s="23" t="s">
        <v>385</v>
      </c>
      <c r="F874" s="23" t="s">
        <v>170</v>
      </c>
      <c r="G874" s="24" t="str">
        <f>A874&amp;"|"&amp;B874</f>
        <v>MG Motor|GT</v>
      </c>
    </row>
    <row r="875" ht="15" customHeight="1" spans="1:7" x14ac:dyDescent="0.25">
      <c r="A875" s="23" t="s">
        <v>1070</v>
      </c>
      <c r="B875" s="23" t="s">
        <v>1074</v>
      </c>
      <c r="C875" s="23" t="s">
        <v>162</v>
      </c>
      <c r="D875" s="23" t="s">
        <v>163</v>
      </c>
      <c r="E875" s="23" t="s">
        <v>164</v>
      </c>
      <c r="F875" s="23" t="s">
        <v>165</v>
      </c>
      <c r="G875" s="24" t="str">
        <f>A875&amp;"|"&amp;B875</f>
        <v>MG Motor|HS</v>
      </c>
    </row>
    <row r="876" ht="15" customHeight="1" spans="1:7" x14ac:dyDescent="0.25">
      <c r="A876" s="23" t="s">
        <v>1070</v>
      </c>
      <c r="B876" s="23" t="s">
        <v>1075</v>
      </c>
      <c r="C876" s="23" t="s">
        <v>162</v>
      </c>
      <c r="D876" s="23" t="s">
        <v>163</v>
      </c>
      <c r="E876" s="23" t="s">
        <v>164</v>
      </c>
      <c r="F876" s="23" t="s">
        <v>165</v>
      </c>
      <c r="G876" s="24" t="str">
        <f>A876&amp;"|"&amp;B876</f>
        <v>MG Motor|HS PHEV</v>
      </c>
    </row>
    <row r="877" ht="15" customHeight="1" spans="1:7" x14ac:dyDescent="0.25">
      <c r="A877" s="23" t="s">
        <v>1070</v>
      </c>
      <c r="B877" s="23" t="s">
        <v>1076</v>
      </c>
      <c r="C877" s="23" t="s">
        <v>162</v>
      </c>
      <c r="D877" s="23" t="s">
        <v>163</v>
      </c>
      <c r="E877" s="23" t="s">
        <v>164</v>
      </c>
      <c r="F877" s="23" t="s">
        <v>165</v>
      </c>
      <c r="G877" s="24" t="str">
        <f>A877&amp;"|"&amp;B877</f>
        <v>MG Motor|HSHEV</v>
      </c>
    </row>
    <row r="878" ht="15" customHeight="1" spans="1:7" x14ac:dyDescent="0.25">
      <c r="A878" s="23" t="s">
        <v>1070</v>
      </c>
      <c r="B878" s="23" t="s">
        <v>1077</v>
      </c>
      <c r="C878" s="23" t="s">
        <v>162</v>
      </c>
      <c r="D878" s="23" t="s">
        <v>163</v>
      </c>
      <c r="E878" s="23" t="s">
        <v>164</v>
      </c>
      <c r="F878" s="23" t="s">
        <v>165</v>
      </c>
      <c r="G878" s="24" t="str">
        <f>A878&amp;"|"&amp;B878</f>
        <v>MG Motor|IMLS7</v>
      </c>
    </row>
    <row r="879" ht="15" customHeight="1" spans="1:7" x14ac:dyDescent="0.25">
      <c r="A879" s="23" t="s">
        <v>1070</v>
      </c>
      <c r="B879" s="23" t="s">
        <v>1078</v>
      </c>
      <c r="C879" s="23" t="s">
        <v>162</v>
      </c>
      <c r="D879" s="23" t="s">
        <v>163</v>
      </c>
      <c r="E879" s="23" t="s">
        <v>164</v>
      </c>
      <c r="F879" s="23" t="s">
        <v>165</v>
      </c>
      <c r="G879" s="24" t="str">
        <f>A879&amp;"|"&amp;B879</f>
        <v>MG Motor|MG One</v>
      </c>
    </row>
    <row r="880" ht="15" customHeight="1" spans="1:7" x14ac:dyDescent="0.25">
      <c r="A880" s="23" t="s">
        <v>1070</v>
      </c>
      <c r="B880" s="23" t="s">
        <v>1079</v>
      </c>
      <c r="C880" s="23" t="s">
        <v>271</v>
      </c>
      <c r="D880" s="23" t="s">
        <v>168</v>
      </c>
      <c r="E880" s="23" t="s">
        <v>272</v>
      </c>
      <c r="F880" s="23" t="s">
        <v>170</v>
      </c>
      <c r="G880" s="24" t="str">
        <f>A880&amp;"|"&amp;B880</f>
        <v>MG Motor|MG3</v>
      </c>
    </row>
    <row r="881" ht="15" customHeight="1" spans="1:7" x14ac:dyDescent="0.25">
      <c r="A881" s="23" t="s">
        <v>1070</v>
      </c>
      <c r="B881" s="23" t="s">
        <v>1080</v>
      </c>
      <c r="C881" s="23" t="s">
        <v>271</v>
      </c>
      <c r="D881" s="23" t="s">
        <v>168</v>
      </c>
      <c r="E881" s="23" t="s">
        <v>272</v>
      </c>
      <c r="F881" s="23" t="s">
        <v>170</v>
      </c>
      <c r="G881" s="24" t="str">
        <f>A881&amp;"|"&amp;B881</f>
        <v>MG Motor|MG3HEV</v>
      </c>
    </row>
    <row r="882" ht="15" customHeight="1" spans="1:7" x14ac:dyDescent="0.25">
      <c r="A882" s="23" t="s">
        <v>1070</v>
      </c>
      <c r="B882" s="23" t="s">
        <v>1081</v>
      </c>
      <c r="C882" s="23" t="s">
        <v>271</v>
      </c>
      <c r="D882" s="23" t="s">
        <v>168</v>
      </c>
      <c r="E882" s="23" t="s">
        <v>272</v>
      </c>
      <c r="F882" s="23" t="s">
        <v>170</v>
      </c>
      <c r="G882" s="24" t="str">
        <f>A882&amp;"|"&amp;B882</f>
        <v>MG Motor|MG4</v>
      </c>
    </row>
    <row r="883" ht="15" customHeight="1" spans="1:7" x14ac:dyDescent="0.25">
      <c r="A883" s="23" t="s">
        <v>1070</v>
      </c>
      <c r="B883" s="23" t="s">
        <v>1082</v>
      </c>
      <c r="C883" s="23" t="s">
        <v>162</v>
      </c>
      <c r="D883" s="23" t="s">
        <v>168</v>
      </c>
      <c r="E883" s="23" t="s">
        <v>385</v>
      </c>
      <c r="F883" s="23" t="s">
        <v>170</v>
      </c>
      <c r="G883" s="24" t="str">
        <f>A883&amp;"|"&amp;B883</f>
        <v>MG Motor|MG5</v>
      </c>
    </row>
    <row r="884" ht="15" customHeight="1" spans="1:7" x14ac:dyDescent="0.25">
      <c r="A884" s="23" t="s">
        <v>1070</v>
      </c>
      <c r="B884" s="23" t="s">
        <v>1083</v>
      </c>
      <c r="C884" s="23" t="s">
        <v>167</v>
      </c>
      <c r="D884" s="23" t="s">
        <v>168</v>
      </c>
      <c r="E884" s="23" t="s">
        <v>169</v>
      </c>
      <c r="F884" s="23" t="s">
        <v>170</v>
      </c>
      <c r="G884" s="24" t="str">
        <f>A884&amp;"|"&amp;B884</f>
        <v>MG Motor|MG7</v>
      </c>
    </row>
    <row r="885" ht="15" customHeight="1" spans="1:7" x14ac:dyDescent="0.25">
      <c r="A885" s="23" t="s">
        <v>1070</v>
      </c>
      <c r="B885" s="23" t="s">
        <v>1084</v>
      </c>
      <c r="C885" s="23" t="s">
        <v>162</v>
      </c>
      <c r="D885" s="23" t="s">
        <v>163</v>
      </c>
      <c r="E885" s="23" t="s">
        <v>275</v>
      </c>
      <c r="F885" s="23" t="s">
        <v>165</v>
      </c>
      <c r="G885" s="24" t="str">
        <f>A885&amp;"|"&amp;B885</f>
        <v>MG Motor|P9</v>
      </c>
    </row>
    <row r="886" ht="15" customHeight="1" spans="1:7" x14ac:dyDescent="0.25">
      <c r="A886" s="23" t="s">
        <v>1070</v>
      </c>
      <c r="B886" s="23" t="s">
        <v>1085</v>
      </c>
      <c r="C886" s="23" t="s">
        <v>162</v>
      </c>
      <c r="D886" s="23" t="s">
        <v>163</v>
      </c>
      <c r="E886" s="23" t="s">
        <v>164</v>
      </c>
      <c r="F886" s="23" t="s">
        <v>165</v>
      </c>
      <c r="G886" s="24" t="str">
        <f>A886&amp;"|"&amp;B886</f>
        <v>MG Motor|RX5</v>
      </c>
    </row>
    <row r="887" ht="15" customHeight="1" spans="1:7" x14ac:dyDescent="0.25">
      <c r="A887" s="23" t="s">
        <v>1070</v>
      </c>
      <c r="B887" s="23" t="s">
        <v>1086</v>
      </c>
      <c r="C887" s="23" t="s">
        <v>162</v>
      </c>
      <c r="D887" s="23" t="s">
        <v>163</v>
      </c>
      <c r="E887" s="23" t="s">
        <v>164</v>
      </c>
      <c r="F887" s="23" t="s">
        <v>165</v>
      </c>
      <c r="G887" s="24" t="str">
        <f>A887&amp;"|"&amp;B887</f>
        <v>MG Motor|RX8</v>
      </c>
    </row>
    <row r="888" ht="15" customHeight="1" spans="1:7" x14ac:dyDescent="0.25">
      <c r="A888" s="23" t="s">
        <v>1070</v>
      </c>
      <c r="B888" s="23" t="s">
        <v>1087</v>
      </c>
      <c r="C888" s="23" t="s">
        <v>162</v>
      </c>
      <c r="D888" s="23" t="s">
        <v>163</v>
      </c>
      <c r="E888" s="23" t="s">
        <v>164</v>
      </c>
      <c r="F888" s="23" t="s">
        <v>165</v>
      </c>
      <c r="G888" s="24" t="str">
        <f>A888&amp;"|"&amp;B888</f>
        <v>MG Motor|RX9</v>
      </c>
    </row>
    <row r="889" ht="15" customHeight="1" spans="1:7" x14ac:dyDescent="0.25">
      <c r="A889" s="23" t="s">
        <v>1070</v>
      </c>
      <c r="B889" s="23" t="s">
        <v>1088</v>
      </c>
      <c r="C889" s="23" t="s">
        <v>162</v>
      </c>
      <c r="D889" s="23" t="s">
        <v>163</v>
      </c>
      <c r="E889" s="23" t="s">
        <v>164</v>
      </c>
      <c r="F889" s="23" t="s">
        <v>165</v>
      </c>
      <c r="G889" s="24" t="str">
        <f>A889&amp;"|"&amp;B889</f>
        <v>MG Motor|ZS</v>
      </c>
    </row>
    <row r="890" ht="15" customHeight="1" spans="1:7" x14ac:dyDescent="0.25">
      <c r="A890" s="23" t="s">
        <v>1070</v>
      </c>
      <c r="B890" s="23" t="s">
        <v>1089</v>
      </c>
      <c r="C890" s="23" t="s">
        <v>162</v>
      </c>
      <c r="D890" s="23" t="s">
        <v>163</v>
      </c>
      <c r="E890" s="23" t="s">
        <v>164</v>
      </c>
      <c r="F890" s="23" t="s">
        <v>165</v>
      </c>
      <c r="G890" s="24" t="str">
        <f>A890&amp;"|"&amp;B890</f>
        <v>MG Motor|ZSEV</v>
      </c>
    </row>
    <row r="891" ht="15" customHeight="1" spans="1:7" x14ac:dyDescent="0.25">
      <c r="A891" s="23" t="s">
        <v>1070</v>
      </c>
      <c r="B891" s="23" t="s">
        <v>1090</v>
      </c>
      <c r="C891" s="23" t="s">
        <v>162</v>
      </c>
      <c r="D891" s="23" t="s">
        <v>163</v>
      </c>
      <c r="E891" s="23" t="s">
        <v>164</v>
      </c>
      <c r="F891" s="23" t="s">
        <v>165</v>
      </c>
      <c r="G891" s="24" t="str">
        <f>A891&amp;"|"&amp;B891</f>
        <v>MG Motor|ZSHEV</v>
      </c>
    </row>
    <row r="892" ht="15" customHeight="1" spans="1:7" x14ac:dyDescent="0.25">
      <c r="A892" s="23" t="s">
        <v>1091</v>
      </c>
      <c r="B892" s="23" t="s">
        <v>1092</v>
      </c>
      <c r="C892" s="23" t="s">
        <v>167</v>
      </c>
      <c r="D892" s="23" t="s">
        <v>168</v>
      </c>
      <c r="E892" s="23" t="s">
        <v>169</v>
      </c>
      <c r="F892" s="23" t="s">
        <v>170</v>
      </c>
      <c r="G892" s="24" t="str">
        <f>A892&amp;"|"&amp;B892</f>
        <v>MG ROVER|Mg Tf</v>
      </c>
    </row>
    <row r="893" ht="15" customHeight="1" spans="1:7" x14ac:dyDescent="0.25">
      <c r="A893" s="23" t="s">
        <v>1091</v>
      </c>
      <c r="B893" s="23" t="s">
        <v>1093</v>
      </c>
      <c r="C893" s="23" t="s">
        <v>167</v>
      </c>
      <c r="D893" s="23" t="s">
        <v>168</v>
      </c>
      <c r="E893" s="23" t="s">
        <v>169</v>
      </c>
      <c r="F893" s="23" t="s">
        <v>170</v>
      </c>
      <c r="G893" s="24" t="str">
        <f>A893&amp;"|"&amp;B893</f>
        <v>MG ROVER|Mg Zr</v>
      </c>
    </row>
    <row r="894" ht="15" customHeight="1" spans="1:7" x14ac:dyDescent="0.25">
      <c r="A894" s="23" t="s">
        <v>1091</v>
      </c>
      <c r="B894" s="23" t="s">
        <v>1094</v>
      </c>
      <c r="C894" s="23" t="s">
        <v>167</v>
      </c>
      <c r="D894" s="23" t="s">
        <v>168</v>
      </c>
      <c r="E894" s="23" t="s">
        <v>169</v>
      </c>
      <c r="F894" s="23" t="s">
        <v>170</v>
      </c>
      <c r="G894" s="24" t="str">
        <f>A894&amp;"|"&amp;B894</f>
        <v>MG ROVER|Mg Zt</v>
      </c>
    </row>
    <row r="895" ht="15" customHeight="1" spans="1:7" x14ac:dyDescent="0.25">
      <c r="A895" s="23" t="s">
        <v>1091</v>
      </c>
      <c r="B895" s="23" t="s">
        <v>1095</v>
      </c>
      <c r="C895" s="23" t="s">
        <v>167</v>
      </c>
      <c r="D895" s="23" t="s">
        <v>168</v>
      </c>
      <c r="E895" s="23" t="s">
        <v>169</v>
      </c>
      <c r="F895" s="23" t="s">
        <v>170</v>
      </c>
      <c r="G895" s="24" t="str">
        <f>A895&amp;"|"&amp;B895</f>
        <v>MG ROVER|R75</v>
      </c>
    </row>
    <row r="896" ht="15" customHeight="1" spans="1:7" x14ac:dyDescent="0.25">
      <c r="A896" s="23" t="s">
        <v>1096</v>
      </c>
      <c r="B896" s="23" t="s">
        <v>1097</v>
      </c>
      <c r="C896" s="23" t="s">
        <v>271</v>
      </c>
      <c r="D896" s="23" t="s">
        <v>168</v>
      </c>
      <c r="E896" s="23" t="s">
        <v>272</v>
      </c>
      <c r="F896" s="23" t="s">
        <v>170</v>
      </c>
      <c r="G896" s="24" t="str">
        <f>A896&amp;"|"&amp;B896</f>
        <v>Mini|Cooper</v>
      </c>
    </row>
    <row r="897" ht="15" customHeight="1" spans="1:7" x14ac:dyDescent="0.25">
      <c r="A897" s="23" t="s">
        <v>1096</v>
      </c>
      <c r="B897" s="23" t="s">
        <v>1098</v>
      </c>
      <c r="C897" s="23" t="s">
        <v>167</v>
      </c>
      <c r="D897" s="23" t="s">
        <v>168</v>
      </c>
      <c r="E897" s="23" t="s">
        <v>169</v>
      </c>
      <c r="F897" s="23" t="s">
        <v>170</v>
      </c>
      <c r="G897" s="24" t="str">
        <f>A897&amp;"|"&amp;B897</f>
        <v>Mini|Cooper Conv</v>
      </c>
    </row>
    <row r="898" ht="15" customHeight="1" spans="1:7" x14ac:dyDescent="0.25">
      <c r="A898" s="23" t="s">
        <v>1096</v>
      </c>
      <c r="B898" s="23" t="s">
        <v>1099</v>
      </c>
      <c r="C898" s="23" t="s">
        <v>167</v>
      </c>
      <c r="D898" s="23" t="s">
        <v>168</v>
      </c>
      <c r="E898" s="23" t="s">
        <v>175</v>
      </c>
      <c r="F898" s="23" t="s">
        <v>170</v>
      </c>
      <c r="G898" s="24" t="str">
        <f>A898&amp;"|"&amp;B898</f>
        <v>Mini|Cooper S</v>
      </c>
    </row>
    <row r="899" ht="15" customHeight="1" spans="1:7" x14ac:dyDescent="0.25">
      <c r="A899" s="23" t="s">
        <v>1096</v>
      </c>
      <c r="B899" s="23" t="s">
        <v>1100</v>
      </c>
      <c r="C899" s="23" t="s">
        <v>167</v>
      </c>
      <c r="D899" s="23" t="s">
        <v>168</v>
      </c>
      <c r="E899" s="23" t="s">
        <v>175</v>
      </c>
      <c r="F899" s="23" t="s">
        <v>170</v>
      </c>
      <c r="G899" s="24" t="str">
        <f>A899&amp;"|"&amp;B899</f>
        <v>Mini|Cooper S Clubman</v>
      </c>
    </row>
    <row r="900" ht="15" customHeight="1" spans="1:7" x14ac:dyDescent="0.25">
      <c r="A900" s="23" t="s">
        <v>1096</v>
      </c>
      <c r="B900" s="23" t="s">
        <v>1101</v>
      </c>
      <c r="C900" s="23" t="s">
        <v>167</v>
      </c>
      <c r="D900" s="23" t="s">
        <v>168</v>
      </c>
      <c r="E900" s="23" t="s">
        <v>175</v>
      </c>
      <c r="F900" s="23" t="s">
        <v>170</v>
      </c>
      <c r="G900" s="24" t="str">
        <f>A900&amp;"|"&amp;B900</f>
        <v>Mini|Cooper S Conv</v>
      </c>
    </row>
    <row r="901" ht="15" customHeight="1" spans="1:7" x14ac:dyDescent="0.25">
      <c r="A901" s="23" t="s">
        <v>1096</v>
      </c>
      <c r="B901" s="23" t="s">
        <v>1102</v>
      </c>
      <c r="C901" s="23" t="s">
        <v>167</v>
      </c>
      <c r="D901" s="23" t="s">
        <v>168</v>
      </c>
      <c r="E901" s="23" t="s">
        <v>175</v>
      </c>
      <c r="F901" s="23" t="s">
        <v>170</v>
      </c>
      <c r="G901" s="24" t="str">
        <f>A901&amp;"|"&amp;B901</f>
        <v>Mini|Cooper S Jcw</v>
      </c>
    </row>
    <row r="902" ht="15" customHeight="1" spans="1:7" x14ac:dyDescent="0.25">
      <c r="A902" s="23" t="s">
        <v>1096</v>
      </c>
      <c r="B902" s="23" t="s">
        <v>1103</v>
      </c>
      <c r="C902" s="23" t="s">
        <v>167</v>
      </c>
      <c r="D902" s="23" t="s">
        <v>168</v>
      </c>
      <c r="E902" s="23" t="s">
        <v>175</v>
      </c>
      <c r="F902" s="23" t="s">
        <v>170</v>
      </c>
      <c r="G902" s="24" t="str">
        <f>A902&amp;"|"&amp;B902</f>
        <v>Mini|Countryman S</v>
      </c>
    </row>
    <row r="903" ht="15" customHeight="1" spans="1:7" x14ac:dyDescent="0.25">
      <c r="A903" s="23" t="s">
        <v>1096</v>
      </c>
      <c r="B903" s="23" t="s">
        <v>1104</v>
      </c>
      <c r="C903" s="23" t="s">
        <v>167</v>
      </c>
      <c r="D903" s="23" t="s">
        <v>168</v>
      </c>
      <c r="E903" s="23" t="s">
        <v>169</v>
      </c>
      <c r="F903" s="23" t="s">
        <v>170</v>
      </c>
      <c r="G903" s="24" t="str">
        <f>A903&amp;"|"&amp;B903</f>
        <v>Mini|MINI 3 PTAS</v>
      </c>
    </row>
    <row r="904" ht="15" customHeight="1" spans="1:7" x14ac:dyDescent="0.25">
      <c r="A904" s="23" t="s">
        <v>1096</v>
      </c>
      <c r="B904" s="23" t="s">
        <v>1105</v>
      </c>
      <c r="C904" s="23" t="s">
        <v>167</v>
      </c>
      <c r="D904" s="23" t="s">
        <v>168</v>
      </c>
      <c r="E904" s="23" t="s">
        <v>169</v>
      </c>
      <c r="F904" s="23" t="s">
        <v>170</v>
      </c>
      <c r="G904" s="24" t="str">
        <f>A904&amp;"|"&amp;B904</f>
        <v>Mini|MINI 5 PTAS</v>
      </c>
    </row>
    <row r="905" ht="15" customHeight="1" spans="1:7" x14ac:dyDescent="0.25">
      <c r="A905" s="23" t="s">
        <v>1096</v>
      </c>
      <c r="B905" s="23" t="s">
        <v>1106</v>
      </c>
      <c r="C905" s="23" t="s">
        <v>167</v>
      </c>
      <c r="D905" s="23" t="s">
        <v>168</v>
      </c>
      <c r="E905" s="23" t="s">
        <v>169</v>
      </c>
      <c r="F905" s="23" t="s">
        <v>170</v>
      </c>
      <c r="G905" s="24" t="str">
        <f>A905&amp;"|"&amp;B905</f>
        <v>Mini|MINI Aceman</v>
      </c>
    </row>
    <row r="906" ht="15" customHeight="1" spans="1:7" x14ac:dyDescent="0.25">
      <c r="A906" s="23" t="s">
        <v>1096</v>
      </c>
      <c r="B906" s="23" t="s">
        <v>1107</v>
      </c>
      <c r="C906" s="23" t="s">
        <v>167</v>
      </c>
      <c r="D906" s="23" t="s">
        <v>168</v>
      </c>
      <c r="E906" s="23" t="s">
        <v>169</v>
      </c>
      <c r="F906" s="23" t="s">
        <v>170</v>
      </c>
      <c r="G906" s="24" t="str">
        <f>A906&amp;"|"&amp;B906</f>
        <v>Mini|MINI CLUBMAN</v>
      </c>
    </row>
    <row r="907" ht="15" customHeight="1" spans="1:7" x14ac:dyDescent="0.25">
      <c r="A907" s="23" t="s">
        <v>1096</v>
      </c>
      <c r="B907" s="23" t="s">
        <v>1108</v>
      </c>
      <c r="C907" s="23" t="s">
        <v>167</v>
      </c>
      <c r="D907" s="23" t="s">
        <v>168</v>
      </c>
      <c r="E907" s="23" t="s">
        <v>169</v>
      </c>
      <c r="F907" s="23" t="s">
        <v>170</v>
      </c>
      <c r="G907" s="24" t="str">
        <f>A907&amp;"|"&amp;B907</f>
        <v>Mini|MINI CONVERTIBLE</v>
      </c>
    </row>
    <row r="908" ht="15" customHeight="1" spans="1:7" x14ac:dyDescent="0.25">
      <c r="A908" s="23" t="s">
        <v>1096</v>
      </c>
      <c r="B908" s="23" t="s">
        <v>1109</v>
      </c>
      <c r="C908" s="23" t="s">
        <v>162</v>
      </c>
      <c r="D908" s="23" t="s">
        <v>163</v>
      </c>
      <c r="E908" s="23" t="s">
        <v>164</v>
      </c>
      <c r="F908" s="23" t="s">
        <v>165</v>
      </c>
      <c r="G908" s="24" t="str">
        <f>A908&amp;"|"&amp;B908</f>
        <v>Mini|MINI COUNTRYMAN</v>
      </c>
    </row>
    <row r="909" ht="15" customHeight="1" spans="1:7" x14ac:dyDescent="0.25">
      <c r="A909" s="23" t="s">
        <v>1096</v>
      </c>
      <c r="B909" s="23" t="s">
        <v>1110</v>
      </c>
      <c r="C909" s="23" t="s">
        <v>167</v>
      </c>
      <c r="D909" s="23" t="s">
        <v>168</v>
      </c>
      <c r="E909" s="23" t="s">
        <v>169</v>
      </c>
      <c r="F909" s="23" t="s">
        <v>170</v>
      </c>
      <c r="G909" s="24" t="str">
        <f>A909&amp;"|"&amp;B909</f>
        <v>Mini|MINI Countryman E</v>
      </c>
    </row>
    <row r="910" ht="15" customHeight="1" spans="1:7" x14ac:dyDescent="0.25">
      <c r="A910" s="23" t="s">
        <v>1096</v>
      </c>
      <c r="B910" s="23" t="s">
        <v>1111</v>
      </c>
      <c r="C910" s="23" t="s">
        <v>167</v>
      </c>
      <c r="D910" s="23" t="s">
        <v>168</v>
      </c>
      <c r="E910" s="23" t="s">
        <v>169</v>
      </c>
      <c r="F910" s="23" t="s">
        <v>170</v>
      </c>
      <c r="G910" s="24" t="str">
        <f>A910&amp;"|"&amp;B910</f>
        <v>Mini|MINI COUPE</v>
      </c>
    </row>
    <row r="911" ht="15" customHeight="1" spans="1:7" x14ac:dyDescent="0.25">
      <c r="A911" s="23" t="s">
        <v>1096</v>
      </c>
      <c r="B911" s="23" t="s">
        <v>1112</v>
      </c>
      <c r="C911" s="23" t="s">
        <v>167</v>
      </c>
      <c r="D911" s="23" t="s">
        <v>168</v>
      </c>
      <c r="E911" s="23" t="s">
        <v>169</v>
      </c>
      <c r="F911" s="23" t="s">
        <v>170</v>
      </c>
      <c r="G911" s="24" t="str">
        <f>A911&amp;"|"&amp;B911</f>
        <v>Mini|MINI E</v>
      </c>
    </row>
    <row r="912" ht="15" customHeight="1" spans="1:7" x14ac:dyDescent="0.25">
      <c r="A912" s="23" t="s">
        <v>1096</v>
      </c>
      <c r="B912" s="23" t="s">
        <v>1113</v>
      </c>
      <c r="C912" s="23" t="s">
        <v>167</v>
      </c>
      <c r="D912" s="23" t="s">
        <v>168</v>
      </c>
      <c r="E912" s="23" t="s">
        <v>169</v>
      </c>
      <c r="F912" s="23" t="s">
        <v>170</v>
      </c>
      <c r="G912" s="24" t="str">
        <f>A912&amp;"|"&amp;B912</f>
        <v>Mini|MINI PACEMAN</v>
      </c>
    </row>
    <row r="913" ht="15" customHeight="1" spans="1:7" x14ac:dyDescent="0.25">
      <c r="A913" s="23" t="s">
        <v>1096</v>
      </c>
      <c r="B913" s="23" t="s">
        <v>1114</v>
      </c>
      <c r="C913" s="23" t="s">
        <v>167</v>
      </c>
      <c r="D913" s="23" t="s">
        <v>168</v>
      </c>
      <c r="E913" s="23" t="s">
        <v>169</v>
      </c>
      <c r="F913" s="23" t="s">
        <v>170</v>
      </c>
      <c r="G913" s="24" t="str">
        <f>A913&amp;"|"&amp;B913</f>
        <v>Mini|MINI ROADSTER</v>
      </c>
    </row>
    <row r="914" ht="15" customHeight="1" spans="1:7" x14ac:dyDescent="0.25">
      <c r="A914" s="23" t="s">
        <v>1115</v>
      </c>
      <c r="B914" s="23" t="s">
        <v>1116</v>
      </c>
      <c r="C914" s="23" t="s">
        <v>162</v>
      </c>
      <c r="D914" s="23" t="s">
        <v>163</v>
      </c>
      <c r="E914" s="23" t="s">
        <v>164</v>
      </c>
      <c r="F914" s="23" t="s">
        <v>165</v>
      </c>
      <c r="G914" s="24" t="str">
        <f>A914&amp;"|"&amp;B914</f>
        <v>Mitsubishi|ASX</v>
      </c>
    </row>
    <row r="915" ht="15" customHeight="1" spans="1:7" x14ac:dyDescent="0.25">
      <c r="A915" s="23" t="s">
        <v>1115</v>
      </c>
      <c r="B915" s="23" t="s">
        <v>1117</v>
      </c>
      <c r="C915" s="23" t="s">
        <v>167</v>
      </c>
      <c r="D915" s="23" t="s">
        <v>168</v>
      </c>
      <c r="E915" s="23" t="s">
        <v>175</v>
      </c>
      <c r="F915" s="23" t="s">
        <v>170</v>
      </c>
      <c r="G915" s="24" t="str">
        <f>A915&amp;"|"&amp;B915</f>
        <v>Mitsubishi|Eclipse</v>
      </c>
    </row>
    <row r="916" ht="15" customHeight="1" spans="1:7" x14ac:dyDescent="0.25">
      <c r="A916" s="23" t="s">
        <v>1115</v>
      </c>
      <c r="B916" s="23" t="s">
        <v>1118</v>
      </c>
      <c r="C916" s="23" t="s">
        <v>167</v>
      </c>
      <c r="D916" s="23" t="s">
        <v>168</v>
      </c>
      <c r="E916" s="23" t="s">
        <v>175</v>
      </c>
      <c r="F916" s="23" t="s">
        <v>170</v>
      </c>
      <c r="G916" s="24" t="str">
        <f>A916&amp;"|"&amp;B916</f>
        <v>Mitsubishi|Eclipse Conv</v>
      </c>
    </row>
    <row r="917" ht="15" customHeight="1" spans="1:7" x14ac:dyDescent="0.25">
      <c r="A917" s="23" t="s">
        <v>1115</v>
      </c>
      <c r="B917" s="23" t="s">
        <v>1119</v>
      </c>
      <c r="C917" s="23" t="s">
        <v>162</v>
      </c>
      <c r="D917" s="23" t="s">
        <v>163</v>
      </c>
      <c r="E917" s="23" t="s">
        <v>164</v>
      </c>
      <c r="F917" s="23" t="s">
        <v>165</v>
      </c>
      <c r="G917" s="24" t="str">
        <f>A917&amp;"|"&amp;B917</f>
        <v>Mitsubishi|Eclipse Cross</v>
      </c>
    </row>
    <row r="918" ht="15" customHeight="1" spans="1:7" x14ac:dyDescent="0.25">
      <c r="A918" s="23" t="s">
        <v>1115</v>
      </c>
      <c r="B918" s="23" t="s">
        <v>1120</v>
      </c>
      <c r="C918" s="23" t="s">
        <v>162</v>
      </c>
      <c r="D918" s="23" t="s">
        <v>163</v>
      </c>
      <c r="E918" s="23" t="s">
        <v>164</v>
      </c>
      <c r="F918" s="23" t="s">
        <v>165</v>
      </c>
      <c r="G918" s="24" t="str">
        <f>A918&amp;"|"&amp;B918</f>
        <v>Mitsubishi|Endeavor</v>
      </c>
    </row>
    <row r="919" ht="15" customHeight="1" spans="1:7" x14ac:dyDescent="0.25">
      <c r="A919" s="23" t="s">
        <v>1115</v>
      </c>
      <c r="B919" s="23" t="s">
        <v>1121</v>
      </c>
      <c r="C919" s="23" t="s">
        <v>162</v>
      </c>
      <c r="D919" s="23" t="s">
        <v>168</v>
      </c>
      <c r="E919" s="23" t="s">
        <v>385</v>
      </c>
      <c r="F919" s="23" t="s">
        <v>170</v>
      </c>
      <c r="G919" s="24" t="str">
        <f>A919&amp;"|"&amp;B919</f>
        <v>Mitsubishi|Galant</v>
      </c>
    </row>
    <row r="920" ht="15" customHeight="1" spans="1:7" x14ac:dyDescent="0.25">
      <c r="A920" s="23" t="s">
        <v>1115</v>
      </c>
      <c r="B920" s="23" t="s">
        <v>1122</v>
      </c>
      <c r="C920" s="23" t="s">
        <v>271</v>
      </c>
      <c r="D920" s="23" t="s">
        <v>163</v>
      </c>
      <c r="E920" s="23" t="s">
        <v>277</v>
      </c>
      <c r="F920" s="23" t="s">
        <v>165</v>
      </c>
      <c r="G920" s="24" t="str">
        <f>A920&amp;"|"&amp;B920</f>
        <v>Mitsubishi|Grandis</v>
      </c>
    </row>
    <row r="921" ht="15" customHeight="1" spans="1:7" x14ac:dyDescent="0.25">
      <c r="A921" s="23" t="s">
        <v>1115</v>
      </c>
      <c r="B921" s="23" t="s">
        <v>1123</v>
      </c>
      <c r="C921" s="23" t="s">
        <v>162</v>
      </c>
      <c r="D921" s="23" t="s">
        <v>163</v>
      </c>
      <c r="E921" s="23" t="s">
        <v>275</v>
      </c>
      <c r="F921" s="23" t="s">
        <v>165</v>
      </c>
      <c r="G921" s="24" t="str">
        <f>A921&amp;"|"&amp;B921</f>
        <v>Mitsubishi|L200</v>
      </c>
    </row>
    <row r="922" ht="15" customHeight="1" spans="1:7" x14ac:dyDescent="0.25">
      <c r="A922" s="23" t="s">
        <v>1115</v>
      </c>
      <c r="B922" s="23" t="s">
        <v>1124</v>
      </c>
      <c r="C922" s="23" t="s">
        <v>162</v>
      </c>
      <c r="D922" s="23" t="s">
        <v>168</v>
      </c>
      <c r="E922" s="23" t="s">
        <v>385</v>
      </c>
      <c r="F922" s="23" t="s">
        <v>170</v>
      </c>
      <c r="G922" s="24" t="str">
        <f>A922&amp;"|"&amp;B922</f>
        <v>Mitsubishi|Lancer</v>
      </c>
    </row>
    <row r="923" ht="15" customHeight="1" spans="1:7" x14ac:dyDescent="0.25">
      <c r="A923" s="23" t="s">
        <v>1115</v>
      </c>
      <c r="B923" s="23" t="s">
        <v>1125</v>
      </c>
      <c r="C923" s="23" t="s">
        <v>167</v>
      </c>
      <c r="D923" s="23" t="s">
        <v>168</v>
      </c>
      <c r="E923" s="23" t="s">
        <v>169</v>
      </c>
      <c r="F923" s="23" t="s">
        <v>170</v>
      </c>
      <c r="G923" s="24" t="str">
        <f>A923&amp;"|"&amp;B923</f>
        <v>Mitsubishi|Lancer Evolution</v>
      </c>
    </row>
    <row r="924" ht="15" customHeight="1" spans="1:7" x14ac:dyDescent="0.25">
      <c r="A924" s="23" t="s">
        <v>1115</v>
      </c>
      <c r="B924" s="23" t="s">
        <v>1126</v>
      </c>
      <c r="C924" s="23" t="s">
        <v>271</v>
      </c>
      <c r="D924" s="23" t="s">
        <v>168</v>
      </c>
      <c r="E924" s="23" t="s">
        <v>272</v>
      </c>
      <c r="F924" s="23" t="s">
        <v>170</v>
      </c>
      <c r="G924" s="24" t="str">
        <f>A924&amp;"|"&amp;B924</f>
        <v>Mitsubishi|Mirage</v>
      </c>
    </row>
    <row r="925" ht="15" customHeight="1" spans="1:7" x14ac:dyDescent="0.25">
      <c r="A925" s="23" t="s">
        <v>1115</v>
      </c>
      <c r="B925" s="23" t="s">
        <v>1127</v>
      </c>
      <c r="C925" s="23" t="s">
        <v>271</v>
      </c>
      <c r="D925" s="23" t="s">
        <v>168</v>
      </c>
      <c r="E925" s="23" t="s">
        <v>272</v>
      </c>
      <c r="F925" s="23" t="s">
        <v>170</v>
      </c>
      <c r="G925" s="24" t="str">
        <f>A925&amp;"|"&amp;B925</f>
        <v>Mitsubishi|Mirage G4</v>
      </c>
    </row>
    <row r="926" ht="15" customHeight="1" spans="1:7" x14ac:dyDescent="0.25">
      <c r="A926" s="23" t="s">
        <v>1115</v>
      </c>
      <c r="B926" s="23" t="s">
        <v>1128</v>
      </c>
      <c r="C926" s="23" t="s">
        <v>162</v>
      </c>
      <c r="D926" s="23" t="s">
        <v>163</v>
      </c>
      <c r="E926" s="23" t="s">
        <v>164</v>
      </c>
      <c r="F926" s="23" t="s">
        <v>165</v>
      </c>
      <c r="G926" s="24" t="str">
        <f>A926&amp;"|"&amp;B926</f>
        <v>Mitsubishi|Montero</v>
      </c>
    </row>
    <row r="927" ht="15" customHeight="1" spans="1:7" x14ac:dyDescent="0.25">
      <c r="A927" s="23" t="s">
        <v>1115</v>
      </c>
      <c r="B927" s="23" t="s">
        <v>1129</v>
      </c>
      <c r="C927" s="23" t="s">
        <v>162</v>
      </c>
      <c r="D927" s="23" t="s">
        <v>163</v>
      </c>
      <c r="E927" s="23" t="s">
        <v>164</v>
      </c>
      <c r="F927" s="23" t="s">
        <v>165</v>
      </c>
      <c r="G927" s="24" t="str">
        <f>A927&amp;"|"&amp;B927</f>
        <v>Mitsubishi|Montero Limited</v>
      </c>
    </row>
    <row r="928" ht="15" customHeight="1" spans="1:7" x14ac:dyDescent="0.25">
      <c r="A928" s="23" t="s">
        <v>1115</v>
      </c>
      <c r="B928" s="23" t="s">
        <v>1130</v>
      </c>
      <c r="C928" s="23" t="s">
        <v>162</v>
      </c>
      <c r="D928" s="23" t="s">
        <v>163</v>
      </c>
      <c r="E928" s="23" t="s">
        <v>164</v>
      </c>
      <c r="F928" s="23" t="s">
        <v>165</v>
      </c>
      <c r="G928" s="24" t="str">
        <f>A928&amp;"|"&amp;B928</f>
        <v>Mitsubishi|Montero Sport</v>
      </c>
    </row>
    <row r="929" ht="15" customHeight="1" spans="1:7" x14ac:dyDescent="0.25">
      <c r="A929" s="23" t="s">
        <v>1115</v>
      </c>
      <c r="B929" s="23" t="s">
        <v>1131</v>
      </c>
      <c r="C929" s="23" t="s">
        <v>162</v>
      </c>
      <c r="D929" s="23" t="s">
        <v>163</v>
      </c>
      <c r="E929" s="23" t="s">
        <v>164</v>
      </c>
      <c r="F929" s="23" t="s">
        <v>165</v>
      </c>
      <c r="G929" s="24" t="str">
        <f>A929&amp;"|"&amp;B929</f>
        <v>Mitsubishi|Outlander</v>
      </c>
    </row>
    <row r="930" ht="15" customHeight="1" spans="1:7" x14ac:dyDescent="0.25">
      <c r="A930" s="23" t="s">
        <v>1115</v>
      </c>
      <c r="B930" s="23" t="s">
        <v>1132</v>
      </c>
      <c r="C930" s="23" t="s">
        <v>162</v>
      </c>
      <c r="D930" s="23" t="s">
        <v>163</v>
      </c>
      <c r="E930" s="23" t="s">
        <v>164</v>
      </c>
      <c r="F930" s="23" t="s">
        <v>165</v>
      </c>
      <c r="G930" s="24" t="str">
        <f>A930&amp;"|"&amp;B930</f>
        <v>Mitsubishi|Outlander PHEV</v>
      </c>
    </row>
    <row r="931" ht="15" customHeight="1" spans="1:7" x14ac:dyDescent="0.25">
      <c r="A931" s="23" t="s">
        <v>1115</v>
      </c>
      <c r="B931" s="23" t="s">
        <v>1133</v>
      </c>
      <c r="C931" s="23" t="s">
        <v>162</v>
      </c>
      <c r="D931" s="23" t="s">
        <v>163</v>
      </c>
      <c r="E931" s="23" t="s">
        <v>164</v>
      </c>
      <c r="F931" s="23" t="s">
        <v>165</v>
      </c>
      <c r="G931" s="24" t="str">
        <f>A931&amp;"|"&amp;B931</f>
        <v>Mitsubishi|Outlander Sport</v>
      </c>
    </row>
    <row r="932" ht="15" customHeight="1" spans="1:7" x14ac:dyDescent="0.25">
      <c r="A932" s="23" t="s">
        <v>1115</v>
      </c>
      <c r="B932" s="23" t="s">
        <v>1134</v>
      </c>
      <c r="C932" s="23" t="s">
        <v>271</v>
      </c>
      <c r="D932" s="23" t="s">
        <v>168</v>
      </c>
      <c r="E932" s="23" t="s">
        <v>272</v>
      </c>
      <c r="F932" s="23" t="s">
        <v>170</v>
      </c>
      <c r="G932" s="24" t="str">
        <f>A932&amp;"|"&amp;B932</f>
        <v>Mitsubishi|Space Star</v>
      </c>
    </row>
    <row r="933" ht="15" customHeight="1" spans="1:7" x14ac:dyDescent="0.25">
      <c r="A933" s="23" t="s">
        <v>1115</v>
      </c>
      <c r="B933" s="23" t="s">
        <v>1135</v>
      </c>
      <c r="C933" s="23" t="s">
        <v>162</v>
      </c>
      <c r="D933" s="23" t="s">
        <v>163</v>
      </c>
      <c r="E933" s="23" t="s">
        <v>164</v>
      </c>
      <c r="F933" s="23" t="s">
        <v>165</v>
      </c>
      <c r="G933" s="24" t="str">
        <f>A933&amp;"|"&amp;B933</f>
        <v>Mitsubishi|Xpander</v>
      </c>
    </row>
    <row r="934" ht="15" customHeight="1" spans="1:7" x14ac:dyDescent="0.25">
      <c r="A934" s="23" t="s">
        <v>1136</v>
      </c>
      <c r="B934" s="23" t="s">
        <v>1137</v>
      </c>
      <c r="C934" s="23" t="s">
        <v>162</v>
      </c>
      <c r="D934" s="23" t="s">
        <v>163</v>
      </c>
      <c r="E934" s="23" t="s">
        <v>164</v>
      </c>
      <c r="F934" s="23" t="s">
        <v>165</v>
      </c>
      <c r="G934" s="24" t="str">
        <f>A934&amp;"|"&amp;B934</f>
        <v>MOTORNATION|BAIC BJ20</v>
      </c>
    </row>
    <row r="935" ht="15" customHeight="1" spans="1:7" x14ac:dyDescent="0.25">
      <c r="A935" s="23" t="s">
        <v>1136</v>
      </c>
      <c r="B935" s="23" t="s">
        <v>1138</v>
      </c>
      <c r="C935" s="23" t="s">
        <v>162</v>
      </c>
      <c r="D935" s="23" t="s">
        <v>163</v>
      </c>
      <c r="E935" s="23" t="s">
        <v>164</v>
      </c>
      <c r="F935" s="23" t="s">
        <v>165</v>
      </c>
      <c r="G935" s="24" t="str">
        <f>A935&amp;"|"&amp;B935</f>
        <v>MOTORNATION|BAIC BJ40</v>
      </c>
    </row>
    <row r="936" ht="15" customHeight="1" spans="1:7" x14ac:dyDescent="0.25">
      <c r="A936" s="23" t="s">
        <v>1136</v>
      </c>
      <c r="B936" s="23" t="s">
        <v>1139</v>
      </c>
      <c r="C936" s="23" t="s">
        <v>271</v>
      </c>
      <c r="D936" s="23" t="s">
        <v>168</v>
      </c>
      <c r="E936" s="23" t="s">
        <v>272</v>
      </c>
      <c r="F936" s="23" t="s">
        <v>170</v>
      </c>
      <c r="G936" s="24" t="str">
        <f>A936&amp;"|"&amp;B936</f>
        <v>MOTORNATION|BAIC D20</v>
      </c>
    </row>
    <row r="937" ht="15" customHeight="1" spans="1:7" x14ac:dyDescent="0.25">
      <c r="A937" s="23" t="s">
        <v>1136</v>
      </c>
      <c r="B937" s="23" t="s">
        <v>1140</v>
      </c>
      <c r="C937" s="23" t="s">
        <v>162</v>
      </c>
      <c r="D937" s="23" t="s">
        <v>168</v>
      </c>
      <c r="E937" s="23" t="s">
        <v>385</v>
      </c>
      <c r="F937" s="23" t="s">
        <v>170</v>
      </c>
      <c r="G937" s="24" t="str">
        <f>A937&amp;"|"&amp;B937</f>
        <v>MOTORNATION|BAIC EU5</v>
      </c>
    </row>
    <row r="938" ht="15" customHeight="1" spans="1:7" x14ac:dyDescent="0.25">
      <c r="A938" s="23" t="s">
        <v>1136</v>
      </c>
      <c r="B938" s="23" t="s">
        <v>1141</v>
      </c>
      <c r="C938" s="23" t="s">
        <v>271</v>
      </c>
      <c r="D938" s="23" t="s">
        <v>163</v>
      </c>
      <c r="E938" s="23" t="s">
        <v>277</v>
      </c>
      <c r="F938" s="23" t="s">
        <v>165</v>
      </c>
      <c r="G938" s="24" t="str">
        <f>A938&amp;"|"&amp;B938</f>
        <v>MOTORNATION|BAIC M50S</v>
      </c>
    </row>
    <row r="939" ht="15" customHeight="1" spans="1:7" x14ac:dyDescent="0.25">
      <c r="A939" s="23" t="s">
        <v>1136</v>
      </c>
      <c r="B939" s="23" t="s">
        <v>1142</v>
      </c>
      <c r="C939" s="23" t="s">
        <v>162</v>
      </c>
      <c r="D939" s="23" t="s">
        <v>168</v>
      </c>
      <c r="E939" s="23" t="s">
        <v>385</v>
      </c>
      <c r="F939" s="23" t="s">
        <v>170</v>
      </c>
      <c r="G939" s="24" t="str">
        <f>A939&amp;"|"&amp;B939</f>
        <v>MOTORNATION|BAIC U5</v>
      </c>
    </row>
    <row r="940" ht="15" customHeight="1" spans="1:7" x14ac:dyDescent="0.25">
      <c r="A940" s="23" t="s">
        <v>1136</v>
      </c>
      <c r="B940" s="23" t="s">
        <v>1143</v>
      </c>
      <c r="C940" s="23" t="s">
        <v>271</v>
      </c>
      <c r="D940" s="23" t="s">
        <v>168</v>
      </c>
      <c r="E940" s="23" t="s">
        <v>272</v>
      </c>
      <c r="F940" s="23" t="s">
        <v>170</v>
      </c>
      <c r="G940" s="24" t="str">
        <f>A940&amp;"|"&amp;B940</f>
        <v>MOTORNATION|BAIC X25</v>
      </c>
    </row>
    <row r="941" ht="15" customHeight="1" spans="1:7" x14ac:dyDescent="0.25">
      <c r="A941" s="23" t="s">
        <v>1136</v>
      </c>
      <c r="B941" s="23" t="s">
        <v>1144</v>
      </c>
      <c r="C941" s="23" t="s">
        <v>162</v>
      </c>
      <c r="D941" s="23" t="s">
        <v>163</v>
      </c>
      <c r="E941" s="23" t="s">
        <v>164</v>
      </c>
      <c r="F941" s="23" t="s">
        <v>165</v>
      </c>
      <c r="G941" s="24" t="str">
        <f>A941&amp;"|"&amp;B941</f>
        <v>MOTORNATION|BAIC X30</v>
      </c>
    </row>
    <row r="942" ht="15" customHeight="1" spans="1:7" x14ac:dyDescent="0.25">
      <c r="A942" s="23" t="s">
        <v>1136</v>
      </c>
      <c r="B942" s="23" t="s">
        <v>1145</v>
      </c>
      <c r="C942" s="23" t="s">
        <v>162</v>
      </c>
      <c r="D942" s="23" t="s">
        <v>163</v>
      </c>
      <c r="E942" s="23" t="s">
        <v>164</v>
      </c>
      <c r="F942" s="23" t="s">
        <v>165</v>
      </c>
      <c r="G942" s="24" t="str">
        <f>A942&amp;"|"&amp;B942</f>
        <v>MOTORNATION|BAIC X35</v>
      </c>
    </row>
    <row r="943" ht="15" customHeight="1" spans="1:7" x14ac:dyDescent="0.25">
      <c r="A943" s="23" t="s">
        <v>1136</v>
      </c>
      <c r="B943" s="23" t="s">
        <v>1146</v>
      </c>
      <c r="C943" s="23" t="s">
        <v>162</v>
      </c>
      <c r="D943" s="23" t="s">
        <v>163</v>
      </c>
      <c r="E943" s="23" t="s">
        <v>164</v>
      </c>
      <c r="F943" s="23" t="s">
        <v>165</v>
      </c>
      <c r="G943" s="24" t="str">
        <f>A943&amp;"|"&amp;B943</f>
        <v>MOTORNATION|BAIC X55</v>
      </c>
    </row>
    <row r="944" ht="15" customHeight="1" spans="1:7" x14ac:dyDescent="0.25">
      <c r="A944" s="23" t="s">
        <v>1136</v>
      </c>
      <c r="B944" s="23" t="s">
        <v>1147</v>
      </c>
      <c r="C944" s="23" t="s">
        <v>162</v>
      </c>
      <c r="D944" s="23" t="s">
        <v>163</v>
      </c>
      <c r="E944" s="23" t="s">
        <v>164</v>
      </c>
      <c r="F944" s="23" t="s">
        <v>165</v>
      </c>
      <c r="G944" s="24" t="str">
        <f>A944&amp;"|"&amp;B944</f>
        <v>MOTORNATION|BAIC X65</v>
      </c>
    </row>
    <row r="945" ht="15" customHeight="1" spans="1:7" x14ac:dyDescent="0.25">
      <c r="A945" s="23" t="s">
        <v>1136</v>
      </c>
      <c r="B945" s="23" t="s">
        <v>1148</v>
      </c>
      <c r="C945" s="23" t="s">
        <v>271</v>
      </c>
      <c r="D945" s="23" t="s">
        <v>168</v>
      </c>
      <c r="E945" s="23" t="s">
        <v>272</v>
      </c>
      <c r="F945" s="23" t="s">
        <v>170</v>
      </c>
      <c r="G945" s="24" t="str">
        <f>A945&amp;"|"&amp;B945</f>
        <v>MOTORNATION|CHANGAN ALSVIN</v>
      </c>
    </row>
    <row r="946" ht="15" customHeight="1" spans="1:7" x14ac:dyDescent="0.25">
      <c r="A946" s="23" t="s">
        <v>1136</v>
      </c>
      <c r="B946" s="23" t="s">
        <v>1149</v>
      </c>
      <c r="C946" s="23" t="s">
        <v>162</v>
      </c>
      <c r="D946" s="23" t="s">
        <v>163</v>
      </c>
      <c r="E946" s="23" t="s">
        <v>164</v>
      </c>
      <c r="F946" s="23" t="s">
        <v>165</v>
      </c>
      <c r="G946" s="24" t="str">
        <f>A946&amp;"|"&amp;B946</f>
        <v>MOTORNATION|CHANGAN CS35PLUS</v>
      </c>
    </row>
    <row r="947" ht="15" customHeight="1" spans="1:7" x14ac:dyDescent="0.25">
      <c r="A947" s="23" t="s">
        <v>1136</v>
      </c>
      <c r="B947" s="23" t="s">
        <v>1150</v>
      </c>
      <c r="C947" s="23" t="s">
        <v>162</v>
      </c>
      <c r="D947" s="23" t="s">
        <v>163</v>
      </c>
      <c r="E947" s="23" t="s">
        <v>164</v>
      </c>
      <c r="F947" s="23" t="s">
        <v>165</v>
      </c>
      <c r="G947" s="24" t="str">
        <f>A947&amp;"|"&amp;B947</f>
        <v>MOTORNATION|CHANGAN CS55PLUS</v>
      </c>
    </row>
    <row r="948" ht="15" customHeight="1" spans="1:7" x14ac:dyDescent="0.25">
      <c r="A948" s="23" t="s">
        <v>1136</v>
      </c>
      <c r="B948" s="23" t="s">
        <v>1151</v>
      </c>
      <c r="C948" s="23" t="s">
        <v>162</v>
      </c>
      <c r="D948" s="23" t="s">
        <v>163</v>
      </c>
      <c r="E948" s="23" t="s">
        <v>164</v>
      </c>
      <c r="F948" s="23" t="s">
        <v>165</v>
      </c>
      <c r="G948" s="24" t="str">
        <f>A948&amp;"|"&amp;B948</f>
        <v>MOTORNATION|CHANGAN CS75PLUS</v>
      </c>
    </row>
    <row r="949" ht="15" customHeight="1" spans="1:7" x14ac:dyDescent="0.25">
      <c r="A949" s="23" t="s">
        <v>1136</v>
      </c>
      <c r="B949" s="23" t="s">
        <v>1152</v>
      </c>
      <c r="C949" s="23" t="s">
        <v>162</v>
      </c>
      <c r="D949" s="23" t="s">
        <v>163</v>
      </c>
      <c r="E949" s="23" t="s">
        <v>275</v>
      </c>
      <c r="F949" s="23" t="s">
        <v>165</v>
      </c>
      <c r="G949" s="24" t="str">
        <f>A949&amp;"|"&amp;B949</f>
        <v>MOTORNATION|CHANGAN HUNTER</v>
      </c>
    </row>
    <row r="950" ht="15" customHeight="1" spans="1:7" x14ac:dyDescent="0.25">
      <c r="A950" s="23" t="s">
        <v>1136</v>
      </c>
      <c r="B950" s="23" t="s">
        <v>1153</v>
      </c>
      <c r="C950" s="23" t="s">
        <v>162</v>
      </c>
      <c r="D950" s="23" t="s">
        <v>163</v>
      </c>
      <c r="E950" s="23" t="s">
        <v>164</v>
      </c>
      <c r="F950" s="23" t="s">
        <v>165</v>
      </c>
      <c r="G950" s="24" t="str">
        <f>A950&amp;"|"&amp;B950</f>
        <v>MOTORNATION|CHANGAN UNI-K</v>
      </c>
    </row>
    <row r="951" ht="15" customHeight="1" spans="1:7" x14ac:dyDescent="0.25">
      <c r="A951" s="23" t="s">
        <v>1136</v>
      </c>
      <c r="B951" s="23" t="s">
        <v>1154</v>
      </c>
      <c r="C951" s="23" t="s">
        <v>162</v>
      </c>
      <c r="D951" s="23" t="s">
        <v>163</v>
      </c>
      <c r="E951" s="23" t="s">
        <v>164</v>
      </c>
      <c r="F951" s="23" t="s">
        <v>165</v>
      </c>
      <c r="G951" s="24" t="str">
        <f>A951&amp;"|"&amp;B951</f>
        <v>MOTORNATION|CHANGAN UNI-T</v>
      </c>
    </row>
    <row r="952" ht="15" customHeight="1" spans="1:7" x14ac:dyDescent="0.25">
      <c r="A952" s="23" t="s">
        <v>1136</v>
      </c>
      <c r="B952" s="23" t="s">
        <v>1155</v>
      </c>
      <c r="C952" s="23" t="s">
        <v>162</v>
      </c>
      <c r="D952" s="23" t="s">
        <v>163</v>
      </c>
      <c r="E952" s="23" t="s">
        <v>164</v>
      </c>
      <c r="F952" s="23" t="s">
        <v>165</v>
      </c>
      <c r="G952" s="24" t="str">
        <f>A952&amp;"|"&amp;B952</f>
        <v>MOTORNATION|DFSK 500</v>
      </c>
    </row>
    <row r="953" ht="15" customHeight="1" spans="1:7" x14ac:dyDescent="0.25">
      <c r="A953" s="23" t="s">
        <v>1136</v>
      </c>
      <c r="B953" s="23" t="s">
        <v>1156</v>
      </c>
      <c r="C953" s="23" t="s">
        <v>162</v>
      </c>
      <c r="D953" s="23" t="s">
        <v>163</v>
      </c>
      <c r="E953" s="23" t="s">
        <v>164</v>
      </c>
      <c r="F953" s="23" t="s">
        <v>165</v>
      </c>
      <c r="G953" s="24" t="str">
        <f>A953&amp;"|"&amp;B953</f>
        <v>MOTORNATION|DFSK 600</v>
      </c>
    </row>
    <row r="954" ht="15" customHeight="1" spans="1:7" x14ac:dyDescent="0.25">
      <c r="A954" s="23" t="s">
        <v>1136</v>
      </c>
      <c r="B954" s="23" t="s">
        <v>1157</v>
      </c>
      <c r="C954" s="23" t="s">
        <v>162</v>
      </c>
      <c r="D954" s="23" t="s">
        <v>163</v>
      </c>
      <c r="E954" s="23" t="s">
        <v>164</v>
      </c>
      <c r="F954" s="23" t="s">
        <v>165</v>
      </c>
      <c r="G954" s="24" t="str">
        <f>A954&amp;"|"&amp;B954</f>
        <v>MOTORNATION|DFSK E5</v>
      </c>
    </row>
    <row r="955" ht="15" customHeight="1" spans="1:7" x14ac:dyDescent="0.25">
      <c r="A955" s="23" t="s">
        <v>1136</v>
      </c>
      <c r="B955" s="23" t="s">
        <v>1158</v>
      </c>
      <c r="C955" s="23" t="s">
        <v>271</v>
      </c>
      <c r="D955" s="23" t="s">
        <v>163</v>
      </c>
      <c r="E955" s="23" t="s">
        <v>277</v>
      </c>
      <c r="F955" s="23" t="s">
        <v>165</v>
      </c>
      <c r="G955" s="24" t="str">
        <f>A955&amp;"|"&amp;B955</f>
        <v>MOTORNATION|DFSK EC35</v>
      </c>
    </row>
    <row r="956" ht="15" customHeight="1" spans="1:7" x14ac:dyDescent="0.25">
      <c r="A956" s="23" t="s">
        <v>1136</v>
      </c>
      <c r="B956" s="23" t="s">
        <v>1159</v>
      </c>
      <c r="C956" s="23" t="s">
        <v>162</v>
      </c>
      <c r="D956" s="23" t="s">
        <v>163</v>
      </c>
      <c r="E956" s="23" t="s">
        <v>164</v>
      </c>
      <c r="F956" s="23" t="s">
        <v>165</v>
      </c>
      <c r="G956" s="24" t="str">
        <f>A956&amp;"|"&amp;B956</f>
        <v>MOTORNATION|GLORY 500</v>
      </c>
    </row>
    <row r="957" ht="15" customHeight="1" spans="1:7" x14ac:dyDescent="0.25">
      <c r="A957" s="23" t="s">
        <v>1136</v>
      </c>
      <c r="B957" s="23" t="s">
        <v>1160</v>
      </c>
      <c r="C957" s="23" t="s">
        <v>271</v>
      </c>
      <c r="D957" s="23" t="s">
        <v>168</v>
      </c>
      <c r="E957" s="23" t="s">
        <v>272</v>
      </c>
      <c r="F957" s="23" t="s">
        <v>170</v>
      </c>
      <c r="G957" s="24" t="str">
        <f>A957&amp;"|"&amp;B957</f>
        <v>MOTORNATION|JMC EV-BLACK</v>
      </c>
    </row>
    <row r="958" ht="15" customHeight="1" spans="1:7" x14ac:dyDescent="0.25">
      <c r="A958" s="23" t="s">
        <v>1136</v>
      </c>
      <c r="B958" s="23" t="s">
        <v>1161</v>
      </c>
      <c r="C958" s="23" t="s">
        <v>162</v>
      </c>
      <c r="D958" s="23" t="s">
        <v>163</v>
      </c>
      <c r="E958" s="23" t="s">
        <v>275</v>
      </c>
      <c r="F958" s="23" t="s">
        <v>165</v>
      </c>
      <c r="G958" s="24" t="str">
        <f>A958&amp;"|"&amp;B958</f>
        <v>MOTORNATION|JMC GRAND AVENUE</v>
      </c>
    </row>
    <row r="959" ht="15" customHeight="1" spans="1:7" x14ac:dyDescent="0.25">
      <c r="A959" s="23" t="s">
        <v>1136</v>
      </c>
      <c r="B959" s="23" t="s">
        <v>1162</v>
      </c>
      <c r="C959" s="23" t="s">
        <v>162</v>
      </c>
      <c r="D959" s="23" t="s">
        <v>163</v>
      </c>
      <c r="E959" s="23" t="s">
        <v>275</v>
      </c>
      <c r="F959" s="23" t="s">
        <v>165</v>
      </c>
      <c r="G959" s="24" t="str">
        <f>A959&amp;"|"&amp;B959</f>
        <v>MOTORNATION|JMC VIGUS</v>
      </c>
    </row>
    <row r="960" ht="15" customHeight="1" spans="1:7" x14ac:dyDescent="0.25">
      <c r="A960" s="23" t="s">
        <v>1136</v>
      </c>
      <c r="B960" s="23" t="s">
        <v>1163</v>
      </c>
      <c r="C960" s="23" t="s">
        <v>162</v>
      </c>
      <c r="D960" s="23" t="s">
        <v>163</v>
      </c>
      <c r="E960" s="23" t="s">
        <v>164</v>
      </c>
      <c r="F960" s="23" t="s">
        <v>165</v>
      </c>
      <c r="G960" s="24" t="str">
        <f>A960&amp;"|"&amp;B960</f>
        <v>MOTORNATION|SERES 5 EV</v>
      </c>
    </row>
    <row r="961" ht="15" customHeight="1" spans="1:7" x14ac:dyDescent="0.25">
      <c r="A961" s="23" t="s">
        <v>1136</v>
      </c>
      <c r="B961" s="23" t="s">
        <v>1164</v>
      </c>
      <c r="C961" s="23" t="s">
        <v>162</v>
      </c>
      <c r="D961" s="23" t="s">
        <v>163</v>
      </c>
      <c r="E961" s="23" t="s">
        <v>275</v>
      </c>
      <c r="F961" s="23" t="s">
        <v>165</v>
      </c>
      <c r="G961" s="24" t="str">
        <f>A961&amp;"|"&amp;B961</f>
        <v>MOTORNATION|SERES 5 MAX</v>
      </c>
    </row>
    <row r="962" ht="15" customHeight="1" spans="1:7" x14ac:dyDescent="0.25">
      <c r="A962" s="23" t="s">
        <v>1136</v>
      </c>
      <c r="B962" s="23" t="s">
        <v>1165</v>
      </c>
      <c r="C962" s="23" t="s">
        <v>162</v>
      </c>
      <c r="D962" s="23" t="s">
        <v>163</v>
      </c>
      <c r="E962" s="23" t="s">
        <v>275</v>
      </c>
      <c r="F962" s="23" t="s">
        <v>165</v>
      </c>
      <c r="G962" s="24" t="str">
        <f>A962&amp;"|"&amp;B962</f>
        <v>MOTORNATION|STAR TRUCK</v>
      </c>
    </row>
    <row r="963" ht="15" customHeight="1" spans="1:7" x14ac:dyDescent="0.25">
      <c r="A963" s="23" t="s">
        <v>1136</v>
      </c>
      <c r="B963" s="23" t="s">
        <v>1166</v>
      </c>
      <c r="C963" s="23" t="s">
        <v>162</v>
      </c>
      <c r="D963" s="23" t="s">
        <v>163</v>
      </c>
      <c r="E963" s="23" t="s">
        <v>164</v>
      </c>
      <c r="F963" s="23" t="s">
        <v>165</v>
      </c>
      <c r="G963" s="24" t="str">
        <f>A963&amp;"|"&amp;B963</f>
        <v>MOTORNATION|T77</v>
      </c>
    </row>
    <row r="964" ht="15" customHeight="1" spans="1:7" x14ac:dyDescent="0.25">
      <c r="A964" s="23" t="s">
        <v>125</v>
      </c>
      <c r="B964" s="23" t="s">
        <v>1167</v>
      </c>
      <c r="C964" s="23" t="s">
        <v>167</v>
      </c>
      <c r="D964" s="23" t="s">
        <v>168</v>
      </c>
      <c r="E964" s="23" t="s">
        <v>175</v>
      </c>
      <c r="F964" s="23" t="s">
        <v>170</v>
      </c>
      <c r="G964" s="24" t="str">
        <f>A964&amp;"|"&amp;B964</f>
        <v>Nissan|350 Z</v>
      </c>
    </row>
    <row r="965" ht="15" customHeight="1" spans="1:7" x14ac:dyDescent="0.25">
      <c r="A965" s="23" t="s">
        <v>125</v>
      </c>
      <c r="B965" s="23" t="s">
        <v>1168</v>
      </c>
      <c r="C965" s="23" t="s">
        <v>167</v>
      </c>
      <c r="D965" s="23" t="s">
        <v>168</v>
      </c>
      <c r="E965" s="23" t="s">
        <v>175</v>
      </c>
      <c r="F965" s="23" t="s">
        <v>170</v>
      </c>
      <c r="G965" s="24" t="str">
        <f>A965&amp;"|"&amp;B965</f>
        <v>Nissan|370 Z</v>
      </c>
    </row>
    <row r="966" ht="15" customHeight="1" spans="1:7" x14ac:dyDescent="0.25">
      <c r="A966" s="23" t="s">
        <v>125</v>
      </c>
      <c r="B966" s="23" t="s">
        <v>1169</v>
      </c>
      <c r="C966" s="23" t="s">
        <v>162</v>
      </c>
      <c r="D966" s="23" t="s">
        <v>168</v>
      </c>
      <c r="E966" s="23" t="s">
        <v>385</v>
      </c>
      <c r="F966" s="23" t="s">
        <v>170</v>
      </c>
      <c r="G966" s="24" t="str">
        <f>A966&amp;"|"&amp;B966</f>
        <v>Nissan|Almera 4 Pts</v>
      </c>
    </row>
    <row r="967" ht="15" customHeight="1" spans="1:7" x14ac:dyDescent="0.25">
      <c r="A967" s="23" t="s">
        <v>125</v>
      </c>
      <c r="B967" s="23" t="s">
        <v>1170</v>
      </c>
      <c r="C967" s="23" t="s">
        <v>167</v>
      </c>
      <c r="D967" s="23" t="s">
        <v>168</v>
      </c>
      <c r="E967" s="23" t="s">
        <v>175</v>
      </c>
      <c r="F967" s="23" t="s">
        <v>170</v>
      </c>
      <c r="G967" s="24" t="str">
        <f>A967&amp;"|"&amp;B967</f>
        <v>Nissan|Almera Dep</v>
      </c>
    </row>
    <row r="968" ht="15" customHeight="1" spans="1:7" x14ac:dyDescent="0.25">
      <c r="A968" s="23" t="s">
        <v>125</v>
      </c>
      <c r="B968" s="23" t="s">
        <v>1171</v>
      </c>
      <c r="C968" s="23" t="s">
        <v>167</v>
      </c>
      <c r="D968" s="23" t="s">
        <v>168</v>
      </c>
      <c r="E968" s="23" t="s">
        <v>169</v>
      </c>
      <c r="F968" s="23" t="s">
        <v>170</v>
      </c>
      <c r="G968" s="24" t="str">
        <f>A968&amp;"|"&amp;B968</f>
        <v>Nissan|Altima</v>
      </c>
    </row>
    <row r="969" ht="15" customHeight="1" spans="1:7" x14ac:dyDescent="0.25">
      <c r="A969" s="23" t="s">
        <v>125</v>
      </c>
      <c r="B969" s="23" t="s">
        <v>1172</v>
      </c>
      <c r="C969" s="23" t="s">
        <v>167</v>
      </c>
      <c r="D969" s="23" t="s">
        <v>168</v>
      </c>
      <c r="E969" s="23" t="s">
        <v>169</v>
      </c>
      <c r="F969" s="23" t="s">
        <v>170</v>
      </c>
      <c r="G969" s="24" t="str">
        <f>A969&amp;"|"&amp;B969</f>
        <v>Nissan|Altima Coupe</v>
      </c>
    </row>
    <row r="970" ht="15" customHeight="1" spans="1:7" x14ac:dyDescent="0.25">
      <c r="A970" s="23" t="s">
        <v>125</v>
      </c>
      <c r="B970" s="23" t="s">
        <v>1173</v>
      </c>
      <c r="C970" s="23" t="s">
        <v>271</v>
      </c>
      <c r="D970" s="23" t="s">
        <v>168</v>
      </c>
      <c r="E970" s="23" t="s">
        <v>272</v>
      </c>
      <c r="F970" s="23" t="s">
        <v>170</v>
      </c>
      <c r="G970" s="24" t="str">
        <f>A970&amp;"|"&amp;B970</f>
        <v>Nissan|Aprio</v>
      </c>
    </row>
    <row r="971" ht="15" customHeight="1" spans="1:7" x14ac:dyDescent="0.25">
      <c r="A971" s="23" t="s">
        <v>125</v>
      </c>
      <c r="B971" s="23" t="s">
        <v>1174</v>
      </c>
      <c r="C971" s="23" t="s">
        <v>162</v>
      </c>
      <c r="D971" s="23" t="s">
        <v>163</v>
      </c>
      <c r="E971" s="23" t="s">
        <v>164</v>
      </c>
      <c r="F971" s="23" t="s">
        <v>165</v>
      </c>
      <c r="G971" s="24" t="str">
        <f>A971&amp;"|"&amp;B971</f>
        <v>Nissan|Armada</v>
      </c>
    </row>
    <row r="972" ht="15" customHeight="1" spans="1:7" x14ac:dyDescent="0.25">
      <c r="A972" s="23" t="s">
        <v>125</v>
      </c>
      <c r="B972" s="23" t="s">
        <v>1175</v>
      </c>
      <c r="C972" s="23" t="s">
        <v>162</v>
      </c>
      <c r="D972" s="23" t="s">
        <v>163</v>
      </c>
      <c r="E972" s="23" t="s">
        <v>275</v>
      </c>
      <c r="F972" s="23" t="s">
        <v>165</v>
      </c>
      <c r="G972" s="24" t="str">
        <f>A972&amp;"|"&amp;B972</f>
        <v>Nissan|Cabstar Mediano</v>
      </c>
    </row>
    <row r="973" ht="15" customHeight="1" spans="1:7" x14ac:dyDescent="0.25">
      <c r="A973" s="23" t="s">
        <v>125</v>
      </c>
      <c r="B973" s="23" t="s">
        <v>1176</v>
      </c>
      <c r="C973" s="23" t="s">
        <v>162</v>
      </c>
      <c r="D973" s="23" t="s">
        <v>163</v>
      </c>
      <c r="E973" s="23" t="s">
        <v>275</v>
      </c>
      <c r="F973" s="23" t="s">
        <v>165</v>
      </c>
      <c r="G973" s="24" t="str">
        <f>A973&amp;"|"&amp;B973</f>
        <v>Nissan|Cabstar Small</v>
      </c>
    </row>
    <row r="974" ht="15" customHeight="1" spans="1:7" x14ac:dyDescent="0.25">
      <c r="A974" s="23" t="s">
        <v>125</v>
      </c>
      <c r="B974" s="23" t="s">
        <v>1177</v>
      </c>
      <c r="C974" s="23" t="s">
        <v>162</v>
      </c>
      <c r="D974" s="23" t="s">
        <v>163</v>
      </c>
      <c r="E974" s="23" t="s">
        <v>275</v>
      </c>
      <c r="F974" s="23" t="s">
        <v>165</v>
      </c>
      <c r="G974" s="24" t="str">
        <f>A974&amp;"|"&amp;B974</f>
        <v>Nissan|Chasis Largo</v>
      </c>
    </row>
    <row r="975" ht="15" customHeight="1" spans="1:7" x14ac:dyDescent="0.25">
      <c r="A975" s="23" t="s">
        <v>125</v>
      </c>
      <c r="B975" s="23" t="s">
        <v>1178</v>
      </c>
      <c r="C975" s="23" t="s">
        <v>162</v>
      </c>
      <c r="D975" s="23" t="s">
        <v>163</v>
      </c>
      <c r="E975" s="23" t="s">
        <v>275</v>
      </c>
      <c r="F975" s="23" t="s">
        <v>165</v>
      </c>
      <c r="G975" s="24" t="str">
        <f>A975&amp;"|"&amp;B975</f>
        <v>Nissan|Chasis Largo Diesel</v>
      </c>
    </row>
    <row r="976" ht="15" customHeight="1" spans="1:7" x14ac:dyDescent="0.25">
      <c r="A976" s="23" t="s">
        <v>125</v>
      </c>
      <c r="B976" s="23" t="s">
        <v>1179</v>
      </c>
      <c r="C976" s="23" t="s">
        <v>162</v>
      </c>
      <c r="D976" s="23" t="s">
        <v>163</v>
      </c>
      <c r="E976" s="23" t="s">
        <v>275</v>
      </c>
      <c r="F976" s="23" t="s">
        <v>165</v>
      </c>
      <c r="G976" s="24" t="str">
        <f>A976&amp;"|"&amp;B976</f>
        <v>Nissan|Estacas Largo</v>
      </c>
    </row>
    <row r="977" ht="15" customHeight="1" spans="1:7" x14ac:dyDescent="0.25">
      <c r="A977" s="23" t="s">
        <v>125</v>
      </c>
      <c r="B977" s="23" t="s">
        <v>1180</v>
      </c>
      <c r="C977" s="23" t="s">
        <v>162</v>
      </c>
      <c r="D977" s="23" t="s">
        <v>163</v>
      </c>
      <c r="E977" s="23" t="s">
        <v>275</v>
      </c>
      <c r="F977" s="23" t="s">
        <v>165</v>
      </c>
      <c r="G977" s="24" t="str">
        <f>A977&amp;"|"&amp;B977</f>
        <v>Nissan|Frontier Diesel</v>
      </c>
    </row>
    <row r="978" ht="15" customHeight="1" spans="1:7" x14ac:dyDescent="0.25">
      <c r="A978" s="23" t="s">
        <v>125</v>
      </c>
      <c r="B978" s="23" t="s">
        <v>1181</v>
      </c>
      <c r="C978" s="23" t="s">
        <v>162</v>
      </c>
      <c r="D978" s="23" t="s">
        <v>163</v>
      </c>
      <c r="E978" s="23" t="s">
        <v>275</v>
      </c>
      <c r="F978" s="23" t="s">
        <v>165</v>
      </c>
      <c r="G978" s="24" t="str">
        <f>A978&amp;"|"&amp;B978</f>
        <v>Nissan|Frontier L4</v>
      </c>
    </row>
    <row r="979" ht="15" customHeight="1" spans="1:7" x14ac:dyDescent="0.25">
      <c r="A979" s="23" t="s">
        <v>125</v>
      </c>
      <c r="B979" s="23" t="s">
        <v>1182</v>
      </c>
      <c r="C979" s="23" t="s">
        <v>162</v>
      </c>
      <c r="D979" s="23" t="s">
        <v>163</v>
      </c>
      <c r="E979" s="23" t="s">
        <v>275</v>
      </c>
      <c r="F979" s="23" t="s">
        <v>165</v>
      </c>
      <c r="G979" s="24" t="str">
        <f>A979&amp;"|"&amp;B979</f>
        <v>Nissan|Frontier V4</v>
      </c>
    </row>
    <row r="980" ht="15" customHeight="1" spans="1:7" x14ac:dyDescent="0.25">
      <c r="A980" s="23" t="s">
        <v>125</v>
      </c>
      <c r="B980" s="23" t="s">
        <v>1183</v>
      </c>
      <c r="C980" s="23" t="s">
        <v>162</v>
      </c>
      <c r="D980" s="23" t="s">
        <v>163</v>
      </c>
      <c r="E980" s="23" t="s">
        <v>275</v>
      </c>
      <c r="F980" s="23" t="s">
        <v>165</v>
      </c>
      <c r="G980" s="24" t="str">
        <f>A980&amp;"|"&amp;B980</f>
        <v>Nissan|Frontier V6</v>
      </c>
    </row>
    <row r="981" ht="15" customHeight="1" spans="1:7" x14ac:dyDescent="0.25">
      <c r="A981" s="23" t="s">
        <v>125</v>
      </c>
      <c r="B981" s="23" t="s">
        <v>1184</v>
      </c>
      <c r="C981" s="23" t="s">
        <v>174</v>
      </c>
      <c r="D981" s="23" t="s">
        <v>168</v>
      </c>
      <c r="E981" s="23" t="s">
        <v>175</v>
      </c>
      <c r="F981" s="23" t="s">
        <v>170</v>
      </c>
      <c r="G981" s="24" t="str">
        <f>A981&amp;"|"&amp;B981</f>
        <v>Nissan|GT-R</v>
      </c>
    </row>
    <row r="982" ht="15" customHeight="1" spans="1:7" x14ac:dyDescent="0.25">
      <c r="A982" s="23" t="s">
        <v>125</v>
      </c>
      <c r="B982" s="23" t="s">
        <v>1185</v>
      </c>
      <c r="C982" s="23" t="s">
        <v>167</v>
      </c>
      <c r="D982" s="23" t="s">
        <v>168</v>
      </c>
      <c r="E982" s="23" t="s">
        <v>169</v>
      </c>
      <c r="F982" s="23" t="s">
        <v>170</v>
      </c>
      <c r="G982" s="24" t="str">
        <f>A982&amp;"|"&amp;B982</f>
        <v>Nissan|Infinity I35</v>
      </c>
    </row>
    <row r="983" ht="15" customHeight="1" spans="1:7" x14ac:dyDescent="0.25">
      <c r="A983" s="23" t="s">
        <v>125</v>
      </c>
      <c r="B983" s="23" t="s">
        <v>1186</v>
      </c>
      <c r="C983" s="23" t="s">
        <v>167</v>
      </c>
      <c r="D983" s="23" t="s">
        <v>168</v>
      </c>
      <c r="E983" s="23" t="s">
        <v>169</v>
      </c>
      <c r="F983" s="23" t="s">
        <v>170</v>
      </c>
      <c r="G983" s="24" t="str">
        <f>A983&amp;"|"&amp;B983</f>
        <v>Nissan|Infinity Q45-M45</v>
      </c>
    </row>
    <row r="984" ht="15" customHeight="1" spans="1:7" x14ac:dyDescent="0.25">
      <c r="A984" s="23" t="s">
        <v>125</v>
      </c>
      <c r="B984" s="23" t="s">
        <v>1187</v>
      </c>
      <c r="C984" s="23" t="s">
        <v>162</v>
      </c>
      <c r="D984" s="23" t="s">
        <v>168</v>
      </c>
      <c r="E984" s="23" t="s">
        <v>385</v>
      </c>
      <c r="F984" s="23" t="s">
        <v>170</v>
      </c>
      <c r="G984" s="24" t="str">
        <f>A984&amp;"|"&amp;B984</f>
        <v>Nissan|Juke</v>
      </c>
    </row>
    <row r="985" ht="15" customHeight="1" spans="1:7" x14ac:dyDescent="0.25">
      <c r="A985" s="23" t="s">
        <v>125</v>
      </c>
      <c r="B985" s="23" t="s">
        <v>1188</v>
      </c>
      <c r="C985" s="23" t="s">
        <v>162</v>
      </c>
      <c r="D985" s="23" t="s">
        <v>163</v>
      </c>
      <c r="E985" s="23" t="s">
        <v>164</v>
      </c>
      <c r="F985" s="23" t="s">
        <v>165</v>
      </c>
      <c r="G985" s="24" t="str">
        <f>A985&amp;"|"&amp;B985</f>
        <v>Nissan|KAIT</v>
      </c>
    </row>
    <row r="986" ht="15" customHeight="1" spans="1:7" x14ac:dyDescent="0.25">
      <c r="A986" s="23" t="s">
        <v>125</v>
      </c>
      <c r="B986" s="23" t="s">
        <v>1189</v>
      </c>
      <c r="C986" s="23" t="s">
        <v>162</v>
      </c>
      <c r="D986" s="23" t="s">
        <v>163</v>
      </c>
      <c r="E986" s="23" t="s">
        <v>164</v>
      </c>
      <c r="F986" s="23" t="s">
        <v>165</v>
      </c>
      <c r="G986" s="24" t="str">
        <f>A986&amp;"|"&amp;B986</f>
        <v>Nissan|Kicks</v>
      </c>
    </row>
    <row r="987" ht="15" customHeight="1" spans="1:7" x14ac:dyDescent="0.25">
      <c r="A987" s="23" t="s">
        <v>125</v>
      </c>
      <c r="B987" s="23" t="s">
        <v>1190</v>
      </c>
      <c r="C987" s="23" t="s">
        <v>162</v>
      </c>
      <c r="D987" s="23" t="s">
        <v>168</v>
      </c>
      <c r="E987" s="23" t="s">
        <v>385</v>
      </c>
      <c r="F987" s="23" t="s">
        <v>170</v>
      </c>
      <c r="G987" s="24" t="str">
        <f>A987&amp;"|"&amp;B987</f>
        <v>Nissan|Leaf</v>
      </c>
    </row>
    <row r="988" ht="15" customHeight="1" spans="1:7" x14ac:dyDescent="0.25">
      <c r="A988" s="23" t="s">
        <v>125</v>
      </c>
      <c r="B988" s="23" t="s">
        <v>1191</v>
      </c>
      <c r="C988" s="23" t="s">
        <v>162</v>
      </c>
      <c r="D988" s="23" t="s">
        <v>163</v>
      </c>
      <c r="E988" s="23" t="s">
        <v>164</v>
      </c>
      <c r="F988" s="23" t="s">
        <v>165</v>
      </c>
      <c r="G988" s="24" t="str">
        <f>A988&amp;"|"&amp;B988</f>
        <v>Nissan|Magnite</v>
      </c>
    </row>
    <row r="989" ht="15" customHeight="1" spans="1:7" x14ac:dyDescent="0.25">
      <c r="A989" s="23" t="s">
        <v>125</v>
      </c>
      <c r="B989" s="23" t="s">
        <v>1192</v>
      </c>
      <c r="C989" s="23" t="s">
        <v>271</v>
      </c>
      <c r="D989" s="23" t="s">
        <v>168</v>
      </c>
      <c r="E989" s="23" t="s">
        <v>272</v>
      </c>
      <c r="F989" s="23" t="s">
        <v>170</v>
      </c>
      <c r="G989" s="24" t="str">
        <f>A989&amp;"|"&amp;B989</f>
        <v>Nissan|March</v>
      </c>
    </row>
    <row r="990" ht="15" customHeight="1" spans="1:7" x14ac:dyDescent="0.25">
      <c r="A990" s="23" t="s">
        <v>125</v>
      </c>
      <c r="B990" s="23" t="s">
        <v>1193</v>
      </c>
      <c r="C990" s="23" t="s">
        <v>167</v>
      </c>
      <c r="D990" s="23" t="s">
        <v>168</v>
      </c>
      <c r="E990" s="23" t="s">
        <v>169</v>
      </c>
      <c r="F990" s="23" t="s">
        <v>170</v>
      </c>
      <c r="G990" s="24" t="str">
        <f>A990&amp;"|"&amp;B990</f>
        <v>Nissan|Maxima</v>
      </c>
    </row>
    <row r="991" ht="15" customHeight="1" spans="1:7" x14ac:dyDescent="0.25">
      <c r="A991" s="23" t="s">
        <v>125</v>
      </c>
      <c r="B991" s="23" t="s">
        <v>1194</v>
      </c>
      <c r="C991" s="23" t="s">
        <v>271</v>
      </c>
      <c r="D991" s="23" t="s">
        <v>168</v>
      </c>
      <c r="E991" s="23" t="s">
        <v>272</v>
      </c>
      <c r="F991" s="23" t="s">
        <v>170</v>
      </c>
      <c r="G991" s="24" t="str">
        <f>A991&amp;"|"&amp;B991</f>
        <v>Nissan|Micra</v>
      </c>
    </row>
    <row r="992" ht="15" customHeight="1" spans="1:7" x14ac:dyDescent="0.25">
      <c r="A992" s="23" t="s">
        <v>125</v>
      </c>
      <c r="B992" s="23" t="s">
        <v>1195</v>
      </c>
      <c r="C992" s="23" t="s">
        <v>162</v>
      </c>
      <c r="D992" s="23" t="s">
        <v>163</v>
      </c>
      <c r="E992" s="23" t="s">
        <v>164</v>
      </c>
      <c r="F992" s="23" t="s">
        <v>165</v>
      </c>
      <c r="G992" s="24" t="str">
        <f>A992&amp;"|"&amp;B992</f>
        <v>Nissan|Murano</v>
      </c>
    </row>
    <row r="993" ht="15" customHeight="1" spans="1:7" x14ac:dyDescent="0.25">
      <c r="A993" s="23" t="s">
        <v>125</v>
      </c>
      <c r="B993" s="23" t="s">
        <v>1196</v>
      </c>
      <c r="C993" s="23" t="s">
        <v>162</v>
      </c>
      <c r="D993" s="23" t="s">
        <v>168</v>
      </c>
      <c r="E993" s="23" t="s">
        <v>385</v>
      </c>
      <c r="F993" s="23" t="s">
        <v>170</v>
      </c>
      <c r="G993" s="24" t="str">
        <f>A993&amp;"|"&amp;B993</f>
        <v>Nissan|Note</v>
      </c>
    </row>
    <row r="994" ht="15" customHeight="1" spans="1:7" x14ac:dyDescent="0.25">
      <c r="A994" s="23" t="s">
        <v>125</v>
      </c>
      <c r="B994" s="23" t="s">
        <v>1197</v>
      </c>
      <c r="C994" s="23" t="s">
        <v>162</v>
      </c>
      <c r="D994" s="23" t="s">
        <v>163</v>
      </c>
      <c r="E994" s="23" t="s">
        <v>275</v>
      </c>
      <c r="F994" s="23" t="s">
        <v>165</v>
      </c>
      <c r="G994" s="24" t="str">
        <f>A994&amp;"|"&amp;B994</f>
        <v>Nissan|NP300</v>
      </c>
    </row>
    <row r="995" ht="15" customHeight="1" spans="1:7" x14ac:dyDescent="0.25">
      <c r="A995" s="23" t="s">
        <v>125</v>
      </c>
      <c r="B995" s="23" t="s">
        <v>1198</v>
      </c>
      <c r="C995" s="23" t="s">
        <v>162</v>
      </c>
      <c r="D995" s="23" t="s">
        <v>163</v>
      </c>
      <c r="E995" s="23" t="s">
        <v>164</v>
      </c>
      <c r="F995" s="23" t="s">
        <v>165</v>
      </c>
      <c r="G995" s="24" t="str">
        <f>A995&amp;"|"&amp;B995</f>
        <v>Nissan|NV 200 Cargo</v>
      </c>
    </row>
    <row r="996" ht="15" customHeight="1" spans="1:7" x14ac:dyDescent="0.25">
      <c r="A996" s="23" t="s">
        <v>125</v>
      </c>
      <c r="B996" s="23" t="s">
        <v>1199</v>
      </c>
      <c r="C996" s="23" t="s">
        <v>162</v>
      </c>
      <c r="D996" s="23" t="s">
        <v>163</v>
      </c>
      <c r="E996" s="23" t="s">
        <v>164</v>
      </c>
      <c r="F996" s="23" t="s">
        <v>165</v>
      </c>
      <c r="G996" s="24" t="str">
        <f>A996&amp;"|"&amp;B996</f>
        <v>Nissan|NV 200 NY TAXI</v>
      </c>
    </row>
    <row r="997" ht="15" customHeight="1" spans="1:7" x14ac:dyDescent="0.25">
      <c r="A997" s="23" t="s">
        <v>125</v>
      </c>
      <c r="B997" s="23" t="s">
        <v>1200</v>
      </c>
      <c r="C997" s="23" t="s">
        <v>271</v>
      </c>
      <c r="D997" s="23" t="s">
        <v>163</v>
      </c>
      <c r="E997" s="23" t="s">
        <v>277</v>
      </c>
      <c r="F997" s="23" t="s">
        <v>165</v>
      </c>
      <c r="G997" s="24" t="str">
        <f>A997&amp;"|"&amp;B997</f>
        <v>Nissan|NV2500 V6 Toldo Alto</v>
      </c>
    </row>
    <row r="998" ht="15" customHeight="1" spans="1:7" x14ac:dyDescent="0.25">
      <c r="A998" s="23" t="s">
        <v>125</v>
      </c>
      <c r="B998" s="23" t="s">
        <v>1201</v>
      </c>
      <c r="C998" s="23" t="s">
        <v>271</v>
      </c>
      <c r="D998" s="23" t="s">
        <v>163</v>
      </c>
      <c r="E998" s="23" t="s">
        <v>277</v>
      </c>
      <c r="F998" s="23" t="s">
        <v>165</v>
      </c>
      <c r="G998" s="24" t="str">
        <f>A998&amp;"|"&amp;B998</f>
        <v>Nissan|NV2500 V6 Toldo Bajo</v>
      </c>
    </row>
    <row r="999" ht="15" customHeight="1" spans="1:7" x14ac:dyDescent="0.25">
      <c r="A999" s="23" t="s">
        <v>125</v>
      </c>
      <c r="B999" s="23" t="s">
        <v>1202</v>
      </c>
      <c r="C999" s="23" t="s">
        <v>271</v>
      </c>
      <c r="D999" s="23" t="s">
        <v>163</v>
      </c>
      <c r="E999" s="23" t="s">
        <v>277</v>
      </c>
      <c r="F999" s="23" t="s">
        <v>165</v>
      </c>
      <c r="G999" s="24" t="str">
        <f>A999&amp;"|"&amp;B999</f>
        <v>Nissan|NV2500 V8 Toldo Alto</v>
      </c>
    </row>
    <row r="1000" ht="15" customHeight="1" spans="1:7" x14ac:dyDescent="0.25">
      <c r="A1000" s="23" t="s">
        <v>125</v>
      </c>
      <c r="B1000" s="23" t="s">
        <v>1203</v>
      </c>
      <c r="C1000" s="23" t="s">
        <v>271</v>
      </c>
      <c r="D1000" s="23" t="s">
        <v>163</v>
      </c>
      <c r="E1000" s="23" t="s">
        <v>277</v>
      </c>
      <c r="F1000" s="23" t="s">
        <v>165</v>
      </c>
      <c r="G1000" s="24" t="str">
        <f>A1000&amp;"|"&amp;B1000</f>
        <v>Nissan|NV2500 V8 Toldo Bajo</v>
      </c>
    </row>
    <row r="1001" ht="15" customHeight="1" spans="1:7" x14ac:dyDescent="0.25">
      <c r="A1001" s="23" t="s">
        <v>125</v>
      </c>
      <c r="B1001" s="23" t="s">
        <v>1204</v>
      </c>
      <c r="C1001" s="23" t="s">
        <v>162</v>
      </c>
      <c r="D1001" s="23" t="s">
        <v>163</v>
      </c>
      <c r="E1001" s="23" t="s">
        <v>164</v>
      </c>
      <c r="F1001" s="23" t="s">
        <v>165</v>
      </c>
      <c r="G1001" s="24" t="str">
        <f>A1001&amp;"|"&amp;B1001</f>
        <v>Nissan|Pathfinder</v>
      </c>
    </row>
    <row r="1002" ht="15" customHeight="1" spans="1:7" x14ac:dyDescent="0.25">
      <c r="A1002" s="23" t="s">
        <v>125</v>
      </c>
      <c r="B1002" s="23" t="s">
        <v>1205</v>
      </c>
      <c r="C1002" s="23" t="s">
        <v>162</v>
      </c>
      <c r="D1002" s="23" t="s">
        <v>163</v>
      </c>
      <c r="E1002" s="23" t="s">
        <v>275</v>
      </c>
      <c r="F1002" s="23" t="s">
        <v>165</v>
      </c>
      <c r="G1002" s="24" t="str">
        <f>A1002&amp;"|"&amp;B1002</f>
        <v>Nissan|Pickup Doble Cabina</v>
      </c>
    </row>
    <row r="1003" ht="15" customHeight="1" spans="1:7" x14ac:dyDescent="0.25">
      <c r="A1003" s="23" t="s">
        <v>125</v>
      </c>
      <c r="B1003" s="23" t="s">
        <v>1206</v>
      </c>
      <c r="C1003" s="23" t="s">
        <v>162</v>
      </c>
      <c r="D1003" s="23" t="s">
        <v>163</v>
      </c>
      <c r="E1003" s="23" t="s">
        <v>275</v>
      </c>
      <c r="F1003" s="23" t="s">
        <v>165</v>
      </c>
      <c r="G1003" s="24" t="str">
        <f>A1003&amp;"|"&amp;B1003</f>
        <v>Nissan|Pickup Doble Cabina Diesel</v>
      </c>
    </row>
    <row r="1004" ht="15" customHeight="1" spans="1:7" x14ac:dyDescent="0.25">
      <c r="A1004" s="23" t="s">
        <v>125</v>
      </c>
      <c r="B1004" s="23" t="s">
        <v>1207</v>
      </c>
      <c r="C1004" s="23" t="s">
        <v>162</v>
      </c>
      <c r="D1004" s="23" t="s">
        <v>163</v>
      </c>
      <c r="E1004" s="23" t="s">
        <v>275</v>
      </c>
      <c r="F1004" s="23" t="s">
        <v>165</v>
      </c>
      <c r="G1004" s="24" t="str">
        <f>A1004&amp;"|"&amp;B1004</f>
        <v>Nissan|Pickup King Cab STD</v>
      </c>
    </row>
    <row r="1005" ht="15" customHeight="1" spans="1:7" x14ac:dyDescent="0.25">
      <c r="A1005" s="23" t="s">
        <v>125</v>
      </c>
      <c r="B1005" s="23" t="s">
        <v>1208</v>
      </c>
      <c r="C1005" s="23" t="s">
        <v>162</v>
      </c>
      <c r="D1005" s="23" t="s">
        <v>163</v>
      </c>
      <c r="E1005" s="23" t="s">
        <v>275</v>
      </c>
      <c r="F1005" s="23" t="s">
        <v>165</v>
      </c>
      <c r="G1005" s="24" t="str">
        <f>A1005&amp;"|"&amp;B1005</f>
        <v>Nissan|Pickup Largo</v>
      </c>
    </row>
    <row r="1006" ht="15" customHeight="1" spans="1:7" x14ac:dyDescent="0.25">
      <c r="A1006" s="23" t="s">
        <v>125</v>
      </c>
      <c r="B1006" s="23" t="s">
        <v>1209</v>
      </c>
      <c r="C1006" s="23" t="s">
        <v>162</v>
      </c>
      <c r="D1006" s="23" t="s">
        <v>163</v>
      </c>
      <c r="E1006" s="23" t="s">
        <v>275</v>
      </c>
      <c r="F1006" s="23" t="s">
        <v>165</v>
      </c>
      <c r="G1006" s="24" t="str">
        <f>A1006&amp;"|"&amp;B1006</f>
        <v>Nissan|Pickup Largo Diesel</v>
      </c>
    </row>
    <row r="1007" ht="15" customHeight="1" spans="1:7" x14ac:dyDescent="0.25">
      <c r="A1007" s="23" t="s">
        <v>125</v>
      </c>
      <c r="B1007" s="23" t="s">
        <v>1210</v>
      </c>
      <c r="C1007" s="23" t="s">
        <v>271</v>
      </c>
      <c r="D1007" s="23" t="s">
        <v>168</v>
      </c>
      <c r="E1007" s="23" t="s">
        <v>272</v>
      </c>
      <c r="F1007" s="23" t="s">
        <v>170</v>
      </c>
      <c r="G1007" s="24" t="str">
        <f>A1007&amp;"|"&amp;B1007</f>
        <v>Nissan|Platina 4 PTS</v>
      </c>
    </row>
    <row r="1008" ht="15" customHeight="1" spans="1:7" x14ac:dyDescent="0.25">
      <c r="A1008" s="23" t="s">
        <v>125</v>
      </c>
      <c r="B1008" s="23" t="s">
        <v>1211</v>
      </c>
      <c r="C1008" s="23" t="s">
        <v>271</v>
      </c>
      <c r="D1008" s="23" t="s">
        <v>163</v>
      </c>
      <c r="E1008" s="23" t="s">
        <v>277</v>
      </c>
      <c r="F1008" s="23" t="s">
        <v>165</v>
      </c>
      <c r="G1008" s="24" t="str">
        <f>A1008&amp;"|"&amp;B1008</f>
        <v>Nissan|Quest</v>
      </c>
    </row>
    <row r="1009" ht="15" customHeight="1" spans="1:7" x14ac:dyDescent="0.25">
      <c r="A1009" s="23" t="s">
        <v>125</v>
      </c>
      <c r="B1009" s="23" t="s">
        <v>1212</v>
      </c>
      <c r="C1009" s="23" t="s">
        <v>162</v>
      </c>
      <c r="D1009" s="23" t="s">
        <v>163</v>
      </c>
      <c r="E1009" s="23" t="s">
        <v>164</v>
      </c>
      <c r="F1009" s="23" t="s">
        <v>165</v>
      </c>
      <c r="G1009" s="24" t="str">
        <f>A1009&amp;"|"&amp;B1009</f>
        <v>Nissan|Rogue</v>
      </c>
    </row>
    <row r="1010" ht="15" customHeight="1" spans="1:7" x14ac:dyDescent="0.25">
      <c r="A1010" s="23" t="s">
        <v>125</v>
      </c>
      <c r="B1010" s="23" t="s">
        <v>1213</v>
      </c>
      <c r="C1010" s="23" t="s">
        <v>162</v>
      </c>
      <c r="D1010" s="23" t="s">
        <v>168</v>
      </c>
      <c r="E1010" s="23" t="s">
        <v>385</v>
      </c>
      <c r="F1010" s="23" t="s">
        <v>170</v>
      </c>
      <c r="G1010" s="24" t="str">
        <f>A1010&amp;"|"&amp;B1010</f>
        <v>Nissan|Sentra</v>
      </c>
    </row>
    <row r="1011" ht="15" customHeight="1" spans="1:7" x14ac:dyDescent="0.25">
      <c r="A1011" s="23" t="s">
        <v>125</v>
      </c>
      <c r="B1011" s="23" t="s">
        <v>1214</v>
      </c>
      <c r="C1011" s="23" t="s">
        <v>162</v>
      </c>
      <c r="D1011" s="23" t="s">
        <v>168</v>
      </c>
      <c r="E1011" s="23" t="s">
        <v>385</v>
      </c>
      <c r="F1011" s="23" t="s">
        <v>170</v>
      </c>
      <c r="G1011" s="24" t="str">
        <f>A1011&amp;"|"&amp;B1011</f>
        <v>Nissan|Sentra 4 PTS</v>
      </c>
    </row>
    <row r="1012" ht="15" customHeight="1" spans="1:7" x14ac:dyDescent="0.25">
      <c r="A1012" s="23" t="s">
        <v>125</v>
      </c>
      <c r="B1012" s="23" t="s">
        <v>1215</v>
      </c>
      <c r="C1012" s="23" t="s">
        <v>162</v>
      </c>
      <c r="D1012" s="23" t="s">
        <v>168</v>
      </c>
      <c r="E1012" s="23" t="s">
        <v>385</v>
      </c>
      <c r="F1012" s="23" t="s">
        <v>170</v>
      </c>
      <c r="G1012" s="24" t="str">
        <f>A1012&amp;"|"&amp;B1012</f>
        <v>Nissan|Sentra SE R</v>
      </c>
    </row>
    <row r="1013" ht="15" customHeight="1" spans="1:7" x14ac:dyDescent="0.25">
      <c r="A1013" s="23" t="s">
        <v>125</v>
      </c>
      <c r="B1013" s="23" t="s">
        <v>1216</v>
      </c>
      <c r="C1013" s="23" t="s">
        <v>162</v>
      </c>
      <c r="D1013" s="23" t="s">
        <v>168</v>
      </c>
      <c r="E1013" s="23" t="s">
        <v>385</v>
      </c>
      <c r="F1013" s="23" t="s">
        <v>170</v>
      </c>
      <c r="G1013" s="24" t="str">
        <f>A1013&amp;"|"&amp;B1013</f>
        <v>Nissan|Tiida 5 PTS</v>
      </c>
    </row>
    <row r="1014" ht="15" customHeight="1" spans="1:7" x14ac:dyDescent="0.25">
      <c r="A1014" s="23" t="s">
        <v>125</v>
      </c>
      <c r="B1014" s="23" t="s">
        <v>1217</v>
      </c>
      <c r="C1014" s="23" t="s">
        <v>162</v>
      </c>
      <c r="D1014" s="23" t="s">
        <v>168</v>
      </c>
      <c r="E1014" s="23" t="s">
        <v>385</v>
      </c>
      <c r="F1014" s="23" t="s">
        <v>170</v>
      </c>
      <c r="G1014" s="24" t="str">
        <f>A1014&amp;"|"&amp;B1014</f>
        <v>Nissan|Tiida Sedan</v>
      </c>
    </row>
    <row r="1015" ht="15" customHeight="1" spans="1:7" x14ac:dyDescent="0.25">
      <c r="A1015" s="23" t="s">
        <v>125</v>
      </c>
      <c r="B1015" s="23" t="s">
        <v>1218</v>
      </c>
      <c r="C1015" s="23" t="s">
        <v>162</v>
      </c>
      <c r="D1015" s="23" t="s">
        <v>163</v>
      </c>
      <c r="E1015" s="23" t="s">
        <v>275</v>
      </c>
      <c r="F1015" s="23" t="s">
        <v>165</v>
      </c>
      <c r="G1015" s="24" t="str">
        <f>A1015&amp;"|"&amp;B1015</f>
        <v>Nissan|Titan</v>
      </c>
    </row>
    <row r="1016" ht="15" customHeight="1" spans="1:7" x14ac:dyDescent="0.25">
      <c r="A1016" s="23" t="s">
        <v>125</v>
      </c>
      <c r="B1016" s="23" t="s">
        <v>1219</v>
      </c>
      <c r="C1016" s="23" t="s">
        <v>271</v>
      </c>
      <c r="D1016" s="23" t="s">
        <v>168</v>
      </c>
      <c r="E1016" s="23" t="s">
        <v>272</v>
      </c>
      <c r="F1016" s="23" t="s">
        <v>170</v>
      </c>
      <c r="G1016" s="24" t="str">
        <f>A1016&amp;"|"&amp;B1016</f>
        <v>Nissan|Tsuru 4 PTS</v>
      </c>
    </row>
    <row r="1017" ht="15" customHeight="1" spans="1:7" x14ac:dyDescent="0.25">
      <c r="A1017" s="23" t="s">
        <v>125</v>
      </c>
      <c r="B1017" s="23" t="s">
        <v>1220</v>
      </c>
      <c r="C1017" s="23" t="s">
        <v>162</v>
      </c>
      <c r="D1017" s="23" t="s">
        <v>163</v>
      </c>
      <c r="E1017" s="23" t="s">
        <v>164</v>
      </c>
      <c r="F1017" s="23" t="s">
        <v>165</v>
      </c>
      <c r="G1017" s="24" t="str">
        <f>A1017&amp;"|"&amp;B1017</f>
        <v>Nissan|Urvan Panel</v>
      </c>
    </row>
    <row r="1018" ht="15" customHeight="1" spans="1:7" x14ac:dyDescent="0.25">
      <c r="A1018" s="23" t="s">
        <v>125</v>
      </c>
      <c r="B1018" s="23" t="s">
        <v>1221</v>
      </c>
      <c r="C1018" s="23" t="s">
        <v>162</v>
      </c>
      <c r="D1018" s="23" t="s">
        <v>163</v>
      </c>
      <c r="E1018" s="23" t="s">
        <v>164</v>
      </c>
      <c r="F1018" s="23" t="s">
        <v>165</v>
      </c>
      <c r="G1018" s="24" t="str">
        <f>A1018&amp;"|"&amp;B1018</f>
        <v>Nissan|Urvan Panel Diesel</v>
      </c>
    </row>
    <row r="1019" ht="15" customHeight="1" spans="1:7" x14ac:dyDescent="0.25">
      <c r="A1019" s="23" t="s">
        <v>125</v>
      </c>
      <c r="B1019" s="23" t="s">
        <v>1222</v>
      </c>
      <c r="C1019" s="23" t="s">
        <v>162</v>
      </c>
      <c r="D1019" s="23" t="s">
        <v>163</v>
      </c>
      <c r="E1019" s="23" t="s">
        <v>164</v>
      </c>
      <c r="F1019" s="23" t="s">
        <v>165</v>
      </c>
      <c r="G1019" s="24" t="str">
        <f>A1019&amp;"|"&amp;B1019</f>
        <v>Nissan|Urvan Pasajeros</v>
      </c>
    </row>
    <row r="1020" ht="15" customHeight="1" spans="1:7" x14ac:dyDescent="0.25">
      <c r="A1020" s="23" t="s">
        <v>125</v>
      </c>
      <c r="B1020" s="23" t="s">
        <v>1223</v>
      </c>
      <c r="C1020" s="23" t="s">
        <v>162</v>
      </c>
      <c r="D1020" s="23" t="s">
        <v>163</v>
      </c>
      <c r="E1020" s="23" t="s">
        <v>164</v>
      </c>
      <c r="F1020" s="23" t="s">
        <v>165</v>
      </c>
      <c r="G1020" s="24" t="str">
        <f>A1020&amp;"|"&amp;B1020</f>
        <v>Nissan|Urvan Pasajeros Diesel</v>
      </c>
    </row>
    <row r="1021" ht="15" customHeight="1" spans="1:7" x14ac:dyDescent="0.25">
      <c r="A1021" s="23" t="s">
        <v>125</v>
      </c>
      <c r="B1021" s="23" t="s">
        <v>126</v>
      </c>
      <c r="C1021" s="23" t="s">
        <v>162</v>
      </c>
      <c r="D1021" s="23" t="s">
        <v>168</v>
      </c>
      <c r="E1021" s="23" t="s">
        <v>385</v>
      </c>
      <c r="F1021" s="23" t="s">
        <v>170</v>
      </c>
      <c r="G1021" s="24" t="str">
        <f>A1021&amp;"|"&amp;B1021</f>
        <v>Nissan|Versa</v>
      </c>
    </row>
    <row r="1022" ht="15" customHeight="1" spans="1:7" x14ac:dyDescent="0.25">
      <c r="A1022" s="23" t="s">
        <v>125</v>
      </c>
      <c r="B1022" s="23" t="s">
        <v>1224</v>
      </c>
      <c r="C1022" s="23" t="s">
        <v>162</v>
      </c>
      <c r="D1022" s="23" t="s">
        <v>163</v>
      </c>
      <c r="E1022" s="23" t="s">
        <v>164</v>
      </c>
      <c r="F1022" s="23" t="s">
        <v>165</v>
      </c>
      <c r="G1022" s="24" t="str">
        <f>A1022&amp;"|"&amp;B1022</f>
        <v>Nissan|Xterra</v>
      </c>
    </row>
    <row r="1023" ht="15" customHeight="1" spans="1:7" x14ac:dyDescent="0.25">
      <c r="A1023" s="23" t="s">
        <v>125</v>
      </c>
      <c r="B1023" s="23" t="s">
        <v>1225</v>
      </c>
      <c r="C1023" s="23" t="s">
        <v>162</v>
      </c>
      <c r="D1023" s="23" t="s">
        <v>163</v>
      </c>
      <c r="E1023" s="23" t="s">
        <v>164</v>
      </c>
      <c r="F1023" s="23" t="s">
        <v>165</v>
      </c>
      <c r="G1023" s="24" t="str">
        <f>A1023&amp;"|"&amp;B1023</f>
        <v>Nissan|Xtrail</v>
      </c>
    </row>
    <row r="1024" ht="15" customHeight="1" spans="1:7" x14ac:dyDescent="0.25">
      <c r="A1024" s="23" t="s">
        <v>125</v>
      </c>
      <c r="B1024" s="23" t="s">
        <v>1226</v>
      </c>
      <c r="C1024" s="23" t="s">
        <v>167</v>
      </c>
      <c r="D1024" s="23" t="s">
        <v>168</v>
      </c>
      <c r="E1024" s="23" t="s">
        <v>175</v>
      </c>
      <c r="F1024" s="23" t="s">
        <v>170</v>
      </c>
      <c r="G1024" s="24" t="str">
        <f>A1024&amp;"|"&amp;B1024</f>
        <v>Nissan|Z</v>
      </c>
    </row>
    <row r="1025" ht="15" customHeight="1" spans="1:7" x14ac:dyDescent="0.25">
      <c r="A1025" s="23" t="s">
        <v>1227</v>
      </c>
      <c r="B1025" s="23" t="s">
        <v>1228</v>
      </c>
      <c r="C1025" s="23" t="s">
        <v>162</v>
      </c>
      <c r="D1025" s="23" t="s">
        <v>163</v>
      </c>
      <c r="E1025" s="23" t="s">
        <v>164</v>
      </c>
      <c r="F1025" s="23" t="s">
        <v>165</v>
      </c>
      <c r="G1025" s="24" t="str">
        <f>A1025&amp;"|"&amp;B1025</f>
        <v>Omoda|C5</v>
      </c>
    </row>
    <row r="1026" ht="15" customHeight="1" spans="1:7" x14ac:dyDescent="0.25">
      <c r="A1026" s="23" t="s">
        <v>1227</v>
      </c>
      <c r="B1026" s="23" t="s">
        <v>1229</v>
      </c>
      <c r="C1026" s="23" t="s">
        <v>162</v>
      </c>
      <c r="D1026" s="23" t="s">
        <v>163</v>
      </c>
      <c r="E1026" s="23" t="s">
        <v>164</v>
      </c>
      <c r="F1026" s="23" t="s">
        <v>165</v>
      </c>
      <c r="G1026" s="24" t="str">
        <f>A1026&amp;"|"&amp;B1026</f>
        <v>Omoda|Jaecoo 7</v>
      </c>
    </row>
    <row r="1027" ht="15" customHeight="1" spans="1:7" x14ac:dyDescent="0.25">
      <c r="A1027" s="23" t="s">
        <v>1227</v>
      </c>
      <c r="B1027" s="23" t="s">
        <v>1230</v>
      </c>
      <c r="C1027" s="23" t="s">
        <v>271</v>
      </c>
      <c r="D1027" s="23" t="s">
        <v>168</v>
      </c>
      <c r="E1027" s="23" t="s">
        <v>272</v>
      </c>
      <c r="F1027" s="23" t="s">
        <v>170</v>
      </c>
      <c r="G1027" s="24" t="str">
        <f>A1027&amp;"|"&amp;B1027</f>
        <v>Omoda|O5</v>
      </c>
    </row>
    <row r="1028" ht="15" customHeight="1" spans="1:7" x14ac:dyDescent="0.25">
      <c r="A1028" s="23" t="s">
        <v>1231</v>
      </c>
      <c r="B1028" s="23" t="s">
        <v>1232</v>
      </c>
      <c r="C1028" s="23" t="s">
        <v>162</v>
      </c>
      <c r="D1028" s="23" t="s">
        <v>163</v>
      </c>
      <c r="E1028" s="23" t="s">
        <v>164</v>
      </c>
      <c r="F1028" s="23" t="s">
        <v>165</v>
      </c>
      <c r="G1028" s="24" t="str">
        <f>A1028&amp;"|"&amp;B1028</f>
        <v>Peugeot|2008</v>
      </c>
    </row>
    <row r="1029" ht="15" customHeight="1" spans="1:7" x14ac:dyDescent="0.25">
      <c r="A1029" s="23" t="s">
        <v>1231</v>
      </c>
      <c r="B1029" s="23" t="s">
        <v>1233</v>
      </c>
      <c r="C1029" s="23" t="s">
        <v>271</v>
      </c>
      <c r="D1029" s="23" t="s">
        <v>168</v>
      </c>
      <c r="E1029" s="23" t="s">
        <v>272</v>
      </c>
      <c r="F1029" s="23" t="s">
        <v>170</v>
      </c>
      <c r="G1029" s="24" t="str">
        <f>A1029&amp;"|"&amp;B1029</f>
        <v>Peugeot|206 3p</v>
      </c>
    </row>
    <row r="1030" ht="15" customHeight="1" spans="1:7" x14ac:dyDescent="0.25">
      <c r="A1030" s="23" t="s">
        <v>1231</v>
      </c>
      <c r="B1030" s="23" t="s">
        <v>1234</v>
      </c>
      <c r="C1030" s="23" t="s">
        <v>271</v>
      </c>
      <c r="D1030" s="23" t="s">
        <v>168</v>
      </c>
      <c r="E1030" s="23" t="s">
        <v>272</v>
      </c>
      <c r="F1030" s="23" t="s">
        <v>170</v>
      </c>
      <c r="G1030" s="24" t="str">
        <f>A1030&amp;"|"&amp;B1030</f>
        <v>Peugeot|206 5p</v>
      </c>
    </row>
    <row r="1031" ht="15" customHeight="1" spans="1:7" x14ac:dyDescent="0.25">
      <c r="A1031" s="23" t="s">
        <v>1231</v>
      </c>
      <c r="B1031" s="23" t="s">
        <v>1235</v>
      </c>
      <c r="C1031" s="23" t="s">
        <v>271</v>
      </c>
      <c r="D1031" s="23" t="s">
        <v>168</v>
      </c>
      <c r="E1031" s="23" t="s">
        <v>272</v>
      </c>
      <c r="F1031" s="23" t="s">
        <v>170</v>
      </c>
      <c r="G1031" s="24" t="str">
        <f>A1031&amp;"|"&amp;B1031</f>
        <v>Peugeot|206 Cc</v>
      </c>
    </row>
    <row r="1032" ht="15" customHeight="1" spans="1:7" x14ac:dyDescent="0.25">
      <c r="A1032" s="23" t="s">
        <v>1231</v>
      </c>
      <c r="B1032" s="23" t="s">
        <v>1236</v>
      </c>
      <c r="C1032" s="23" t="s">
        <v>271</v>
      </c>
      <c r="D1032" s="23" t="s">
        <v>168</v>
      </c>
      <c r="E1032" s="23" t="s">
        <v>272</v>
      </c>
      <c r="F1032" s="23" t="s">
        <v>170</v>
      </c>
      <c r="G1032" s="24" t="str">
        <f>A1032&amp;"|"&amp;B1032</f>
        <v>Peugeot|206 Sw</v>
      </c>
    </row>
    <row r="1033" ht="15" customHeight="1" spans="1:7" x14ac:dyDescent="0.25">
      <c r="A1033" s="23" t="s">
        <v>1231</v>
      </c>
      <c r="B1033" s="23" t="s">
        <v>1237</v>
      </c>
      <c r="C1033" s="23" t="s">
        <v>271</v>
      </c>
      <c r="D1033" s="23" t="s">
        <v>168</v>
      </c>
      <c r="E1033" s="23" t="s">
        <v>272</v>
      </c>
      <c r="F1033" s="23" t="s">
        <v>170</v>
      </c>
      <c r="G1033" s="24" t="str">
        <f>A1033&amp;"|"&amp;B1033</f>
        <v>Peugeot|207 3p</v>
      </c>
    </row>
    <row r="1034" ht="15" customHeight="1" spans="1:7" x14ac:dyDescent="0.25">
      <c r="A1034" s="23" t="s">
        <v>1231</v>
      </c>
      <c r="B1034" s="23" t="s">
        <v>1238</v>
      </c>
      <c r="C1034" s="23" t="s">
        <v>162</v>
      </c>
      <c r="D1034" s="23" t="s">
        <v>168</v>
      </c>
      <c r="E1034" s="23" t="s">
        <v>385</v>
      </c>
      <c r="F1034" s="23" t="s">
        <v>170</v>
      </c>
      <c r="G1034" s="24" t="str">
        <f>A1034&amp;"|"&amp;B1034</f>
        <v>Peugeot|207 CC</v>
      </c>
    </row>
    <row r="1035" ht="15" customHeight="1" spans="1:7" x14ac:dyDescent="0.25">
      <c r="A1035" s="23" t="s">
        <v>1231</v>
      </c>
      <c r="B1035" s="23" t="s">
        <v>1239</v>
      </c>
      <c r="C1035" s="23" t="s">
        <v>271</v>
      </c>
      <c r="D1035" s="23" t="s">
        <v>168</v>
      </c>
      <c r="E1035" s="23" t="s">
        <v>272</v>
      </c>
      <c r="F1035" s="23" t="s">
        <v>170</v>
      </c>
      <c r="G1035" s="24" t="str">
        <f>A1035&amp;"|"&amp;B1035</f>
        <v>Peugeot|207 Compact</v>
      </c>
    </row>
    <row r="1036" ht="15" customHeight="1" spans="1:7" x14ac:dyDescent="0.25">
      <c r="A1036" s="23" t="s">
        <v>1231</v>
      </c>
      <c r="B1036" s="23" t="s">
        <v>1240</v>
      </c>
      <c r="C1036" s="23" t="s">
        <v>271</v>
      </c>
      <c r="D1036" s="23" t="s">
        <v>168</v>
      </c>
      <c r="E1036" s="23" t="s">
        <v>272</v>
      </c>
      <c r="F1036" s="23" t="s">
        <v>170</v>
      </c>
      <c r="G1036" s="24" t="str">
        <f>A1036&amp;"|"&amp;B1036</f>
        <v>Peugeot|207 Compact 3p</v>
      </c>
    </row>
    <row r="1037" ht="15" customHeight="1" spans="1:7" x14ac:dyDescent="0.25">
      <c r="A1037" s="23" t="s">
        <v>1231</v>
      </c>
      <c r="B1037" s="23" t="s">
        <v>1241</v>
      </c>
      <c r="C1037" s="23" t="s">
        <v>271</v>
      </c>
      <c r="D1037" s="23" t="s">
        <v>168</v>
      </c>
      <c r="E1037" s="23" t="s">
        <v>272</v>
      </c>
      <c r="F1037" s="23" t="s">
        <v>170</v>
      </c>
      <c r="G1037" s="24" t="str">
        <f>A1037&amp;"|"&amp;B1037</f>
        <v>Peugeot|207 Compact 5p</v>
      </c>
    </row>
    <row r="1038" ht="15" customHeight="1" spans="1:7" x14ac:dyDescent="0.25">
      <c r="A1038" s="23" t="s">
        <v>1231</v>
      </c>
      <c r="B1038" s="23" t="s">
        <v>1242</v>
      </c>
      <c r="C1038" s="23" t="s">
        <v>162</v>
      </c>
      <c r="D1038" s="23" t="s">
        <v>168</v>
      </c>
      <c r="E1038" s="23" t="s">
        <v>385</v>
      </c>
      <c r="F1038" s="23" t="s">
        <v>170</v>
      </c>
      <c r="G1038" s="24" t="str">
        <f>A1038&amp;"|"&amp;B1038</f>
        <v>Peugeot|207 Rc</v>
      </c>
    </row>
    <row r="1039" ht="15" customHeight="1" spans="1:7" x14ac:dyDescent="0.25">
      <c r="A1039" s="23" t="s">
        <v>1231</v>
      </c>
      <c r="B1039" s="23" t="s">
        <v>1243</v>
      </c>
      <c r="C1039" s="23" t="s">
        <v>271</v>
      </c>
      <c r="D1039" s="23" t="s">
        <v>168</v>
      </c>
      <c r="E1039" s="23" t="s">
        <v>272</v>
      </c>
      <c r="F1039" s="23" t="s">
        <v>170</v>
      </c>
      <c r="G1039" s="24" t="str">
        <f>A1039&amp;"|"&amp;B1039</f>
        <v>Peugeot|207 Sedan</v>
      </c>
    </row>
    <row r="1040" ht="15" customHeight="1" spans="1:7" x14ac:dyDescent="0.25">
      <c r="A1040" s="23" t="s">
        <v>1231</v>
      </c>
      <c r="B1040" s="23" t="s">
        <v>1244</v>
      </c>
      <c r="C1040" s="23" t="s">
        <v>271</v>
      </c>
      <c r="D1040" s="23" t="s">
        <v>168</v>
      </c>
      <c r="E1040" s="23" t="s">
        <v>272</v>
      </c>
      <c r="F1040" s="23" t="s">
        <v>170</v>
      </c>
      <c r="G1040" s="24" t="str">
        <f>A1040&amp;"|"&amp;B1040</f>
        <v>Peugeot|208</v>
      </c>
    </row>
    <row r="1041" ht="15" customHeight="1" spans="1:7" x14ac:dyDescent="0.25">
      <c r="A1041" s="23" t="s">
        <v>1231</v>
      </c>
      <c r="B1041" s="23" t="s">
        <v>1245</v>
      </c>
      <c r="C1041" s="23" t="s">
        <v>162</v>
      </c>
      <c r="D1041" s="23" t="s">
        <v>163</v>
      </c>
      <c r="E1041" s="23" t="s">
        <v>164</v>
      </c>
      <c r="F1041" s="23" t="s">
        <v>165</v>
      </c>
      <c r="G1041" s="24" t="str">
        <f>A1041&amp;"|"&amp;B1041</f>
        <v>Peugeot|3008</v>
      </c>
    </row>
    <row r="1042" ht="15" customHeight="1" spans="1:7" x14ac:dyDescent="0.25">
      <c r="A1042" s="23" t="s">
        <v>1231</v>
      </c>
      <c r="B1042" s="23" t="s">
        <v>1246</v>
      </c>
      <c r="C1042" s="23" t="s">
        <v>271</v>
      </c>
      <c r="D1042" s="23" t="s">
        <v>168</v>
      </c>
      <c r="E1042" s="23" t="s">
        <v>272</v>
      </c>
      <c r="F1042" s="23" t="s">
        <v>170</v>
      </c>
      <c r="G1042" s="24" t="str">
        <f>A1042&amp;"|"&amp;B1042</f>
        <v>Peugeot|301</v>
      </c>
    </row>
    <row r="1043" ht="15" customHeight="1" spans="1:7" x14ac:dyDescent="0.25">
      <c r="A1043" s="23" t="s">
        <v>1231</v>
      </c>
      <c r="B1043" s="23" t="s">
        <v>1247</v>
      </c>
      <c r="C1043" s="23" t="s">
        <v>162</v>
      </c>
      <c r="D1043" s="23" t="s">
        <v>168</v>
      </c>
      <c r="E1043" s="23" t="s">
        <v>385</v>
      </c>
      <c r="F1043" s="23" t="s">
        <v>170</v>
      </c>
      <c r="G1043" s="24" t="str">
        <f>A1043&amp;"|"&amp;B1043</f>
        <v>Peugeot|307 3p</v>
      </c>
    </row>
    <row r="1044" ht="15" customHeight="1" spans="1:7" x14ac:dyDescent="0.25">
      <c r="A1044" s="23" t="s">
        <v>1231</v>
      </c>
      <c r="B1044" s="23" t="s">
        <v>1248</v>
      </c>
      <c r="C1044" s="23" t="s">
        <v>162</v>
      </c>
      <c r="D1044" s="23" t="s">
        <v>168</v>
      </c>
      <c r="E1044" s="23" t="s">
        <v>385</v>
      </c>
      <c r="F1044" s="23" t="s">
        <v>170</v>
      </c>
      <c r="G1044" s="24" t="str">
        <f>A1044&amp;"|"&amp;B1044</f>
        <v>Peugeot|307 4p</v>
      </c>
    </row>
    <row r="1045" ht="15" customHeight="1" spans="1:7" x14ac:dyDescent="0.25">
      <c r="A1045" s="23" t="s">
        <v>1231</v>
      </c>
      <c r="B1045" s="23" t="s">
        <v>1249</v>
      </c>
      <c r="C1045" s="23" t="s">
        <v>162</v>
      </c>
      <c r="D1045" s="23" t="s">
        <v>168</v>
      </c>
      <c r="E1045" s="23" t="s">
        <v>385</v>
      </c>
      <c r="F1045" s="23" t="s">
        <v>170</v>
      </c>
      <c r="G1045" s="24" t="str">
        <f>A1045&amp;"|"&amp;B1045</f>
        <v>Peugeot|307 5p</v>
      </c>
    </row>
    <row r="1046" ht="15" customHeight="1" spans="1:7" x14ac:dyDescent="0.25">
      <c r="A1046" s="23" t="s">
        <v>1231</v>
      </c>
      <c r="B1046" s="23" t="s">
        <v>1250</v>
      </c>
      <c r="C1046" s="23" t="s">
        <v>162</v>
      </c>
      <c r="D1046" s="23" t="s">
        <v>168</v>
      </c>
      <c r="E1046" s="23" t="s">
        <v>385</v>
      </c>
      <c r="F1046" s="23" t="s">
        <v>170</v>
      </c>
      <c r="G1046" s="24" t="str">
        <f>A1046&amp;"|"&amp;B1046</f>
        <v>Peugeot|307 Break</v>
      </c>
    </row>
    <row r="1047" ht="15" customHeight="1" spans="1:7" x14ac:dyDescent="0.25">
      <c r="A1047" s="23" t="s">
        <v>1231</v>
      </c>
      <c r="B1047" s="23" t="s">
        <v>1251</v>
      </c>
      <c r="C1047" s="23" t="s">
        <v>162</v>
      </c>
      <c r="D1047" s="23" t="s">
        <v>168</v>
      </c>
      <c r="E1047" s="23" t="s">
        <v>385</v>
      </c>
      <c r="F1047" s="23" t="s">
        <v>170</v>
      </c>
      <c r="G1047" s="24" t="str">
        <f>A1047&amp;"|"&amp;B1047</f>
        <v>Peugeot|307 Cc</v>
      </c>
    </row>
    <row r="1048" ht="15" customHeight="1" spans="1:7" x14ac:dyDescent="0.25">
      <c r="A1048" s="23" t="s">
        <v>1231</v>
      </c>
      <c r="B1048" s="23" t="s">
        <v>1252</v>
      </c>
      <c r="C1048" s="23" t="s">
        <v>162</v>
      </c>
      <c r="D1048" s="23" t="s">
        <v>168</v>
      </c>
      <c r="E1048" s="23" t="s">
        <v>385</v>
      </c>
      <c r="F1048" s="23" t="s">
        <v>170</v>
      </c>
      <c r="G1048" s="24" t="str">
        <f>A1048&amp;"|"&amp;B1048</f>
        <v>Peugeot|307 Sw</v>
      </c>
    </row>
    <row r="1049" ht="15" customHeight="1" spans="1:7" x14ac:dyDescent="0.25">
      <c r="A1049" s="23" t="s">
        <v>1231</v>
      </c>
      <c r="B1049" s="23" t="s">
        <v>1253</v>
      </c>
      <c r="C1049" s="23" t="s">
        <v>162</v>
      </c>
      <c r="D1049" s="23" t="s">
        <v>168</v>
      </c>
      <c r="E1049" s="23" t="s">
        <v>385</v>
      </c>
      <c r="F1049" s="23" t="s">
        <v>170</v>
      </c>
      <c r="G1049" s="24" t="str">
        <f>A1049&amp;"|"&amp;B1049</f>
        <v>Peugeot|308</v>
      </c>
    </row>
    <row r="1050" ht="15" customHeight="1" spans="1:7" x14ac:dyDescent="0.25">
      <c r="A1050" s="23" t="s">
        <v>1231</v>
      </c>
      <c r="B1050" s="23" t="s">
        <v>1254</v>
      </c>
      <c r="C1050" s="23" t="s">
        <v>162</v>
      </c>
      <c r="D1050" s="23" t="s">
        <v>168</v>
      </c>
      <c r="E1050" s="23" t="s">
        <v>385</v>
      </c>
      <c r="F1050" s="23" t="s">
        <v>170</v>
      </c>
      <c r="G1050" s="24" t="str">
        <f>A1050&amp;"|"&amp;B1050</f>
        <v>Peugeot|308 Cc</v>
      </c>
    </row>
    <row r="1051" ht="15" customHeight="1" spans="1:7" x14ac:dyDescent="0.25">
      <c r="A1051" s="23" t="s">
        <v>1231</v>
      </c>
      <c r="B1051" s="23" t="s">
        <v>1255</v>
      </c>
      <c r="C1051" s="23" t="s">
        <v>167</v>
      </c>
      <c r="D1051" s="23" t="s">
        <v>168</v>
      </c>
      <c r="E1051" s="23" t="s">
        <v>169</v>
      </c>
      <c r="F1051" s="23" t="s">
        <v>170</v>
      </c>
      <c r="G1051" s="24" t="str">
        <f>A1051&amp;"|"&amp;B1051</f>
        <v>Peugeot|406 Coupe</v>
      </c>
    </row>
    <row r="1052" ht="15" customHeight="1" spans="1:7" x14ac:dyDescent="0.25">
      <c r="A1052" s="23" t="s">
        <v>1231</v>
      </c>
      <c r="B1052" s="23" t="s">
        <v>1256</v>
      </c>
      <c r="C1052" s="23" t="s">
        <v>167</v>
      </c>
      <c r="D1052" s="23" t="s">
        <v>168</v>
      </c>
      <c r="E1052" s="23" t="s">
        <v>169</v>
      </c>
      <c r="F1052" s="23" t="s">
        <v>170</v>
      </c>
      <c r="G1052" s="24" t="str">
        <f>A1052&amp;"|"&amp;B1052</f>
        <v>Peugeot|406 St Aut</v>
      </c>
    </row>
    <row r="1053" ht="15" customHeight="1" spans="1:7" x14ac:dyDescent="0.25">
      <c r="A1053" s="23" t="s">
        <v>1231</v>
      </c>
      <c r="B1053" s="23" t="s">
        <v>1257</v>
      </c>
      <c r="C1053" s="23" t="s">
        <v>167</v>
      </c>
      <c r="D1053" s="23" t="s">
        <v>168</v>
      </c>
      <c r="E1053" s="23" t="s">
        <v>169</v>
      </c>
      <c r="F1053" s="23" t="s">
        <v>170</v>
      </c>
      <c r="G1053" s="24" t="str">
        <f>A1053&amp;"|"&amp;B1053</f>
        <v>Peugeot|406 Sv V6</v>
      </c>
    </row>
    <row r="1054" ht="15" customHeight="1" spans="1:7" x14ac:dyDescent="0.25">
      <c r="A1054" s="23" t="s">
        <v>1231</v>
      </c>
      <c r="B1054" s="23" t="s">
        <v>1258</v>
      </c>
      <c r="C1054" s="23" t="s">
        <v>167</v>
      </c>
      <c r="D1054" s="23" t="s">
        <v>168</v>
      </c>
      <c r="E1054" s="23" t="s">
        <v>169</v>
      </c>
      <c r="F1054" s="23" t="s">
        <v>170</v>
      </c>
      <c r="G1054" s="24" t="str">
        <f>A1054&amp;"|"&amp;B1054</f>
        <v>Peugeot|407</v>
      </c>
    </row>
    <row r="1055" ht="15" customHeight="1" spans="1:7" x14ac:dyDescent="0.25">
      <c r="A1055" s="23" t="s">
        <v>1231</v>
      </c>
      <c r="B1055" s="23" t="s">
        <v>1259</v>
      </c>
      <c r="C1055" s="23" t="s">
        <v>162</v>
      </c>
      <c r="D1055" s="23" t="s">
        <v>163</v>
      </c>
      <c r="E1055" s="23" t="s">
        <v>164</v>
      </c>
      <c r="F1055" s="23" t="s">
        <v>165</v>
      </c>
      <c r="G1055" s="24" t="str">
        <f>A1055&amp;"|"&amp;B1055</f>
        <v>Peugeot|5008</v>
      </c>
    </row>
    <row r="1056" ht="15" customHeight="1" spans="1:7" x14ac:dyDescent="0.25">
      <c r="A1056" s="23" t="s">
        <v>1231</v>
      </c>
      <c r="B1056" s="23" t="s">
        <v>1260</v>
      </c>
      <c r="C1056" s="23" t="s">
        <v>167</v>
      </c>
      <c r="D1056" s="23" t="s">
        <v>168</v>
      </c>
      <c r="E1056" s="23" t="s">
        <v>169</v>
      </c>
      <c r="F1056" s="23" t="s">
        <v>170</v>
      </c>
      <c r="G1056" s="24" t="str">
        <f>A1056&amp;"|"&amp;B1056</f>
        <v>Peugeot|508</v>
      </c>
    </row>
    <row r="1057" ht="15" customHeight="1" spans="1:7" x14ac:dyDescent="0.25">
      <c r="A1057" s="23" t="s">
        <v>1231</v>
      </c>
      <c r="B1057" s="23" t="s">
        <v>1261</v>
      </c>
      <c r="C1057" s="23" t="s">
        <v>167</v>
      </c>
      <c r="D1057" s="23" t="s">
        <v>168</v>
      </c>
      <c r="E1057" s="23" t="s">
        <v>169</v>
      </c>
      <c r="F1057" s="23" t="s">
        <v>170</v>
      </c>
      <c r="G1057" s="24" t="str">
        <f>A1057&amp;"|"&amp;B1057</f>
        <v>Peugeot|607 Pack</v>
      </c>
    </row>
    <row r="1058" ht="15" customHeight="1" spans="1:7" x14ac:dyDescent="0.25">
      <c r="A1058" s="23" t="s">
        <v>1231</v>
      </c>
      <c r="B1058" s="23" t="s">
        <v>1262</v>
      </c>
      <c r="C1058" s="23" t="s">
        <v>271</v>
      </c>
      <c r="D1058" s="23" t="s">
        <v>163</v>
      </c>
      <c r="E1058" s="23" t="s">
        <v>277</v>
      </c>
      <c r="F1058" s="23" t="s">
        <v>165</v>
      </c>
      <c r="G1058" s="24" t="str">
        <f>A1058&amp;"|"&amp;B1058</f>
        <v>Peugeot|E-Partner</v>
      </c>
    </row>
    <row r="1059" ht="15" customHeight="1" spans="1:7" x14ac:dyDescent="0.25">
      <c r="A1059" s="23" t="s">
        <v>1231</v>
      </c>
      <c r="B1059" s="23" t="s">
        <v>1263</v>
      </c>
      <c r="C1059" s="23" t="s">
        <v>162</v>
      </c>
      <c r="D1059" s="23" t="s">
        <v>163</v>
      </c>
      <c r="E1059" s="23" t="s">
        <v>275</v>
      </c>
      <c r="F1059" s="23" t="s">
        <v>165</v>
      </c>
      <c r="G1059" s="24" t="str">
        <f>A1059&amp;"|"&amp;B1059</f>
        <v>Peugeot|Expert Cargo Van</v>
      </c>
    </row>
    <row r="1060" ht="15" customHeight="1" spans="1:7" x14ac:dyDescent="0.25">
      <c r="A1060" s="23" t="s">
        <v>1231</v>
      </c>
      <c r="B1060" s="23" t="s">
        <v>1264</v>
      </c>
      <c r="C1060" s="23" t="s">
        <v>162</v>
      </c>
      <c r="D1060" s="23" t="s">
        <v>163</v>
      </c>
      <c r="E1060" s="23" t="s">
        <v>275</v>
      </c>
      <c r="F1060" s="23" t="s">
        <v>165</v>
      </c>
      <c r="G1060" s="24" t="str">
        <f>A1060&amp;"|"&amp;B1060</f>
        <v>Peugeot|Expert Hdi</v>
      </c>
    </row>
    <row r="1061" ht="15" customHeight="1" spans="1:7" x14ac:dyDescent="0.25">
      <c r="A1061" s="23" t="s">
        <v>1231</v>
      </c>
      <c r="B1061" s="23" t="s">
        <v>1265</v>
      </c>
      <c r="C1061" s="23" t="s">
        <v>162</v>
      </c>
      <c r="D1061" s="23" t="s">
        <v>168</v>
      </c>
      <c r="E1061" s="23" t="s">
        <v>385</v>
      </c>
      <c r="F1061" s="23" t="s">
        <v>170</v>
      </c>
      <c r="G1061" s="24" t="str">
        <f>A1061&amp;"|"&amp;B1061</f>
        <v>Peugeot|Grand Raid</v>
      </c>
    </row>
    <row r="1062" ht="15" customHeight="1" spans="1:7" x14ac:dyDescent="0.25">
      <c r="A1062" s="23" t="s">
        <v>1231</v>
      </c>
      <c r="B1062" s="23" t="s">
        <v>1266</v>
      </c>
      <c r="C1062" s="23" t="s">
        <v>162</v>
      </c>
      <c r="D1062" s="23" t="s">
        <v>168</v>
      </c>
      <c r="E1062" s="23" t="s">
        <v>385</v>
      </c>
      <c r="F1062" s="23" t="s">
        <v>170</v>
      </c>
      <c r="G1062" s="24" t="str">
        <f>A1062&amp;"|"&amp;B1062</f>
        <v>Peugeot|Grand Raid Hdi</v>
      </c>
    </row>
    <row r="1063" ht="15" customHeight="1" spans="1:7" x14ac:dyDescent="0.25">
      <c r="A1063" s="23" t="s">
        <v>1231</v>
      </c>
      <c r="B1063" s="23" t="s">
        <v>1267</v>
      </c>
      <c r="C1063" s="23" t="s">
        <v>162</v>
      </c>
      <c r="D1063" s="23" t="s">
        <v>163</v>
      </c>
      <c r="E1063" s="23" t="s">
        <v>275</v>
      </c>
      <c r="F1063" s="23" t="s">
        <v>165</v>
      </c>
      <c r="G1063" s="24" t="str">
        <f>A1063&amp;"|"&amp;B1063</f>
        <v>Peugeot|LANDTREK</v>
      </c>
    </row>
    <row r="1064" ht="15" customHeight="1" spans="1:7" x14ac:dyDescent="0.25">
      <c r="A1064" s="23" t="s">
        <v>1231</v>
      </c>
      <c r="B1064" s="23" t="s">
        <v>1268</v>
      </c>
      <c r="C1064" s="23" t="s">
        <v>162</v>
      </c>
      <c r="D1064" s="23" t="s">
        <v>163</v>
      </c>
      <c r="E1064" s="23" t="s">
        <v>275</v>
      </c>
      <c r="F1064" s="23" t="s">
        <v>165</v>
      </c>
      <c r="G1064" s="24" t="str">
        <f>A1064&amp;"|"&amp;B1064</f>
        <v>Peugeot|Manager Hdi</v>
      </c>
    </row>
    <row r="1065" ht="15" customHeight="1" spans="1:7" x14ac:dyDescent="0.25">
      <c r="A1065" s="23" t="s">
        <v>1231</v>
      </c>
      <c r="B1065" s="23" t="s">
        <v>1269</v>
      </c>
      <c r="C1065" s="23" t="s">
        <v>271</v>
      </c>
      <c r="D1065" s="23" t="s">
        <v>168</v>
      </c>
      <c r="E1065" s="23" t="s">
        <v>272</v>
      </c>
      <c r="F1065" s="23" t="s">
        <v>170</v>
      </c>
      <c r="G1065" s="24" t="str">
        <f>A1065&amp;"|"&amp;B1065</f>
        <v>Peugeot|Nuevo 207</v>
      </c>
    </row>
    <row r="1066" ht="15" customHeight="1" spans="1:7" x14ac:dyDescent="0.25">
      <c r="A1066" s="23" t="s">
        <v>1231</v>
      </c>
      <c r="B1066" s="23" t="s">
        <v>1270</v>
      </c>
      <c r="C1066" s="23" t="s">
        <v>162</v>
      </c>
      <c r="D1066" s="23" t="s">
        <v>163</v>
      </c>
      <c r="E1066" s="23" t="s">
        <v>275</v>
      </c>
      <c r="F1066" s="23" t="s">
        <v>165</v>
      </c>
      <c r="G1066" s="24" t="str">
        <f>A1066&amp;"|"&amp;B1066</f>
        <v>Peugeot|Partner</v>
      </c>
    </row>
    <row r="1067" ht="15" customHeight="1" spans="1:7" x14ac:dyDescent="0.25">
      <c r="A1067" s="23" t="s">
        <v>1231</v>
      </c>
      <c r="B1067" s="23" t="s">
        <v>1271</v>
      </c>
      <c r="C1067" s="23" t="s">
        <v>271</v>
      </c>
      <c r="D1067" s="23" t="s">
        <v>163</v>
      </c>
      <c r="E1067" s="23" t="s">
        <v>277</v>
      </c>
      <c r="F1067" s="23" t="s">
        <v>165</v>
      </c>
      <c r="G1067" s="24" t="str">
        <f>A1067&amp;"|"&amp;B1067</f>
        <v>Peugeot|Partner Rapid</v>
      </c>
    </row>
    <row r="1068" ht="15" customHeight="1" spans="1:7" x14ac:dyDescent="0.25">
      <c r="A1068" s="23" t="s">
        <v>1231</v>
      </c>
      <c r="B1068" s="23" t="s">
        <v>1272</v>
      </c>
      <c r="C1068" s="23" t="s">
        <v>162</v>
      </c>
      <c r="D1068" s="23" t="s">
        <v>163</v>
      </c>
      <c r="E1068" s="23" t="s">
        <v>275</v>
      </c>
      <c r="F1068" s="23" t="s">
        <v>165</v>
      </c>
      <c r="G1068" s="24" t="str">
        <f>A1068&amp;"|"&amp;B1068</f>
        <v>Peugeot|Partner Tepee Outdoor</v>
      </c>
    </row>
    <row r="1069" ht="15" customHeight="1" spans="1:7" x14ac:dyDescent="0.25">
      <c r="A1069" s="23" t="s">
        <v>1231</v>
      </c>
      <c r="B1069" s="23" t="s">
        <v>1273</v>
      </c>
      <c r="C1069" s="23" t="s">
        <v>167</v>
      </c>
      <c r="D1069" s="23" t="s">
        <v>168</v>
      </c>
      <c r="E1069" s="23" t="s">
        <v>169</v>
      </c>
      <c r="F1069" s="23" t="s">
        <v>170</v>
      </c>
      <c r="G1069" s="24" t="str">
        <f>A1069&amp;"|"&amp;B1069</f>
        <v>Peugeot|Rcz</v>
      </c>
    </row>
    <row r="1070" ht="15" customHeight="1" spans="1:7" x14ac:dyDescent="0.25">
      <c r="A1070" s="23" t="s">
        <v>1231</v>
      </c>
      <c r="B1070" s="23" t="s">
        <v>1274</v>
      </c>
      <c r="C1070" s="23" t="s">
        <v>162</v>
      </c>
      <c r="D1070" s="23" t="s">
        <v>163</v>
      </c>
      <c r="E1070" s="23" t="s">
        <v>275</v>
      </c>
      <c r="F1070" s="23" t="s">
        <v>165</v>
      </c>
      <c r="G1070" s="24" t="str">
        <f>A1070&amp;"|"&amp;B1070</f>
        <v>Peugeot|RIFTER</v>
      </c>
    </row>
    <row r="1071" ht="15" customHeight="1" spans="1:7" x14ac:dyDescent="0.25">
      <c r="A1071" s="23" t="s">
        <v>1275</v>
      </c>
      <c r="B1071" s="23" t="s">
        <v>1276</v>
      </c>
      <c r="C1071" s="23" t="s">
        <v>174</v>
      </c>
      <c r="D1071" s="23" t="s">
        <v>168</v>
      </c>
      <c r="E1071" s="23" t="s">
        <v>175</v>
      </c>
      <c r="F1071" s="23" t="s">
        <v>170</v>
      </c>
      <c r="G1071" s="24" t="str">
        <f>A1071&amp;"|"&amp;B1071</f>
        <v>Porsche|718 Boxster</v>
      </c>
    </row>
    <row r="1072" ht="15" customHeight="1" spans="1:7" x14ac:dyDescent="0.25">
      <c r="A1072" s="23" t="s">
        <v>1275</v>
      </c>
      <c r="B1072" s="23" t="s">
        <v>1277</v>
      </c>
      <c r="C1072" s="23" t="s">
        <v>174</v>
      </c>
      <c r="D1072" s="23" t="s">
        <v>168</v>
      </c>
      <c r="E1072" s="23" t="s">
        <v>175</v>
      </c>
      <c r="F1072" s="23" t="s">
        <v>170</v>
      </c>
      <c r="G1072" s="24" t="str">
        <f>A1072&amp;"|"&amp;B1072</f>
        <v>Porsche|911 Carrera</v>
      </c>
    </row>
    <row r="1073" ht="15" customHeight="1" spans="1:7" x14ac:dyDescent="0.25">
      <c r="A1073" s="23" t="s">
        <v>1275</v>
      </c>
      <c r="B1073" s="23" t="s">
        <v>1278</v>
      </c>
      <c r="C1073" s="23" t="s">
        <v>174</v>
      </c>
      <c r="D1073" s="23" t="s">
        <v>168</v>
      </c>
      <c r="E1073" s="23" t="s">
        <v>175</v>
      </c>
      <c r="F1073" s="23" t="s">
        <v>170</v>
      </c>
      <c r="G1073" s="24" t="str">
        <f>A1073&amp;"|"&amp;B1073</f>
        <v>Porsche|911 Carrera / Turbo / GT</v>
      </c>
    </row>
    <row r="1074" ht="15" customHeight="1" spans="1:7" x14ac:dyDescent="0.25">
      <c r="A1074" s="23" t="s">
        <v>1275</v>
      </c>
      <c r="B1074" s="23" t="s">
        <v>1279</v>
      </c>
      <c r="C1074" s="23" t="s">
        <v>174</v>
      </c>
      <c r="D1074" s="23" t="s">
        <v>168</v>
      </c>
      <c r="E1074" s="23" t="s">
        <v>175</v>
      </c>
      <c r="F1074" s="23" t="s">
        <v>170</v>
      </c>
      <c r="G1074" s="24" t="str">
        <f>A1074&amp;"|"&amp;B1074</f>
        <v>Porsche|911 Turbo</v>
      </c>
    </row>
    <row r="1075" ht="15" customHeight="1" spans="1:7" x14ac:dyDescent="0.25">
      <c r="A1075" s="23" t="s">
        <v>1275</v>
      </c>
      <c r="B1075" s="23" t="s">
        <v>1280</v>
      </c>
      <c r="C1075" s="23" t="s">
        <v>174</v>
      </c>
      <c r="D1075" s="23" t="s">
        <v>168</v>
      </c>
      <c r="E1075" s="23" t="s">
        <v>175</v>
      </c>
      <c r="F1075" s="23" t="s">
        <v>170</v>
      </c>
      <c r="G1075" s="24" t="str">
        <f>A1075&amp;"|"&amp;B1075</f>
        <v>Porsche|Boxster</v>
      </c>
    </row>
    <row r="1076" ht="15" customHeight="1" spans="1:7" x14ac:dyDescent="0.25">
      <c r="A1076" s="23" t="s">
        <v>1275</v>
      </c>
      <c r="B1076" s="23" t="s">
        <v>1281</v>
      </c>
      <c r="C1076" s="23" t="s">
        <v>162</v>
      </c>
      <c r="D1076" s="23" t="s">
        <v>163</v>
      </c>
      <c r="E1076" s="23" t="s">
        <v>164</v>
      </c>
      <c r="F1076" s="23" t="s">
        <v>165</v>
      </c>
      <c r="G1076" s="24" t="str">
        <f>A1076&amp;"|"&amp;B1076</f>
        <v>Porsche|Cayenne</v>
      </c>
    </row>
    <row r="1077" ht="15" customHeight="1" spans="1:7" x14ac:dyDescent="0.25">
      <c r="A1077" s="23" t="s">
        <v>1275</v>
      </c>
      <c r="B1077" s="23" t="s">
        <v>1282</v>
      </c>
      <c r="C1077" s="23" t="s">
        <v>174</v>
      </c>
      <c r="D1077" s="23" t="s">
        <v>168</v>
      </c>
      <c r="E1077" s="23" t="s">
        <v>169</v>
      </c>
      <c r="F1077" s="23" t="s">
        <v>170</v>
      </c>
      <c r="G1077" s="24" t="str">
        <f>A1077&amp;"|"&amp;B1077</f>
        <v>Porsche|Cayman</v>
      </c>
    </row>
    <row r="1078" ht="15" customHeight="1" spans="1:7" x14ac:dyDescent="0.25">
      <c r="A1078" s="23" t="s">
        <v>1275</v>
      </c>
      <c r="B1078" s="23" t="s">
        <v>1283</v>
      </c>
      <c r="C1078" s="23" t="s">
        <v>174</v>
      </c>
      <c r="D1078" s="23" t="s">
        <v>168</v>
      </c>
      <c r="E1078" s="23" t="s">
        <v>175</v>
      </c>
      <c r="F1078" s="23" t="s">
        <v>170</v>
      </c>
      <c r="G1078" s="24" t="str">
        <f>A1078&amp;"|"&amp;B1078</f>
        <v>Porsche|Gt3 / Gt2 / Carrera Gt</v>
      </c>
    </row>
    <row r="1079" ht="15" customHeight="1" spans="1:7" x14ac:dyDescent="0.25">
      <c r="A1079" s="23" t="s">
        <v>1275</v>
      </c>
      <c r="B1079" s="23" t="s">
        <v>1284</v>
      </c>
      <c r="C1079" s="23" t="s">
        <v>162</v>
      </c>
      <c r="D1079" s="23" t="s">
        <v>163</v>
      </c>
      <c r="E1079" s="23" t="s">
        <v>164</v>
      </c>
      <c r="F1079" s="23" t="s">
        <v>165</v>
      </c>
      <c r="G1079" s="24" t="str">
        <f>A1079&amp;"|"&amp;B1079</f>
        <v>Porsche|Macan</v>
      </c>
    </row>
    <row r="1080" ht="15" customHeight="1" spans="1:7" x14ac:dyDescent="0.25">
      <c r="A1080" s="23" t="s">
        <v>1275</v>
      </c>
      <c r="B1080" s="23" t="s">
        <v>1285</v>
      </c>
      <c r="C1080" s="23" t="s">
        <v>167</v>
      </c>
      <c r="D1080" s="23" t="s">
        <v>168</v>
      </c>
      <c r="E1080" s="23" t="s">
        <v>169</v>
      </c>
      <c r="F1080" s="23" t="s">
        <v>170</v>
      </c>
      <c r="G1080" s="24" t="str">
        <f>A1080&amp;"|"&amp;B1080</f>
        <v>Porsche|Panamera</v>
      </c>
    </row>
    <row r="1081" ht="15" customHeight="1" spans="1:7" x14ac:dyDescent="0.25">
      <c r="A1081" s="23" t="s">
        <v>1275</v>
      </c>
      <c r="B1081" s="23" t="s">
        <v>1286</v>
      </c>
      <c r="C1081" s="23" t="s">
        <v>167</v>
      </c>
      <c r="D1081" s="23" t="s">
        <v>168</v>
      </c>
      <c r="E1081" s="23" t="s">
        <v>175</v>
      </c>
      <c r="F1081" s="23" t="s">
        <v>170</v>
      </c>
      <c r="G1081" s="24" t="str">
        <f>A1081&amp;"|"&amp;B1081</f>
        <v>Porsche|Taycan</v>
      </c>
    </row>
    <row r="1082" ht="15" customHeight="1" spans="1:7" x14ac:dyDescent="0.25">
      <c r="A1082" s="23" t="s">
        <v>1287</v>
      </c>
      <c r="B1082" s="23" t="s">
        <v>1288</v>
      </c>
      <c r="C1082" s="23" t="s">
        <v>162</v>
      </c>
      <c r="D1082" s="23" t="s">
        <v>163</v>
      </c>
      <c r="E1082" s="23" t="s">
        <v>164</v>
      </c>
      <c r="F1082" s="23" t="s">
        <v>165</v>
      </c>
      <c r="G1082" s="24" t="str">
        <f>A1082&amp;"|"&amp;B1082</f>
        <v>Renault|Arkana</v>
      </c>
    </row>
    <row r="1083" ht="15" customHeight="1" spans="1:7" x14ac:dyDescent="0.25">
      <c r="A1083" s="23" t="s">
        <v>1287</v>
      </c>
      <c r="B1083" s="23" t="s">
        <v>1289</v>
      </c>
      <c r="C1083" s="23" t="s">
        <v>162</v>
      </c>
      <c r="D1083" s="23" t="s">
        <v>163</v>
      </c>
      <c r="E1083" s="23" t="s">
        <v>164</v>
      </c>
      <c r="F1083" s="23" t="s">
        <v>165</v>
      </c>
      <c r="G1083" s="24" t="str">
        <f>A1083&amp;"|"&amp;B1083</f>
        <v>Renault|Boreal</v>
      </c>
    </row>
    <row r="1084" ht="15" customHeight="1" spans="1:7" x14ac:dyDescent="0.25">
      <c r="A1084" s="23" t="s">
        <v>1287</v>
      </c>
      <c r="B1084" s="23" t="s">
        <v>1290</v>
      </c>
      <c r="C1084" s="23" t="s">
        <v>162</v>
      </c>
      <c r="D1084" s="23" t="s">
        <v>163</v>
      </c>
      <c r="E1084" s="23" t="s">
        <v>164</v>
      </c>
      <c r="F1084" s="23" t="s">
        <v>165</v>
      </c>
      <c r="G1084" s="24" t="str">
        <f>A1084&amp;"|"&amp;B1084</f>
        <v>Renault|Captur</v>
      </c>
    </row>
    <row r="1085" ht="15" customHeight="1" spans="1:7" x14ac:dyDescent="0.25">
      <c r="A1085" s="23" t="s">
        <v>1287</v>
      </c>
      <c r="B1085" s="23" t="s">
        <v>1291</v>
      </c>
      <c r="C1085" s="23" t="s">
        <v>271</v>
      </c>
      <c r="D1085" s="23" t="s">
        <v>168</v>
      </c>
      <c r="E1085" s="23" t="s">
        <v>272</v>
      </c>
      <c r="F1085" s="23" t="s">
        <v>170</v>
      </c>
      <c r="G1085" s="24" t="str">
        <f>A1085&amp;"|"&amp;B1085</f>
        <v>Renault|Clio</v>
      </c>
    </row>
    <row r="1086" ht="15" customHeight="1" spans="1:7" x14ac:dyDescent="0.25">
      <c r="A1086" s="23" t="s">
        <v>1287</v>
      </c>
      <c r="B1086" s="23" t="s">
        <v>1292</v>
      </c>
      <c r="C1086" s="23" t="s">
        <v>167</v>
      </c>
      <c r="D1086" s="23" t="s">
        <v>168</v>
      </c>
      <c r="E1086" s="23" t="s">
        <v>175</v>
      </c>
      <c r="F1086" s="23" t="s">
        <v>170</v>
      </c>
      <c r="G1086" s="24" t="str">
        <f>A1086&amp;"|"&amp;B1086</f>
        <v>Renault|Clio Renault Sport</v>
      </c>
    </row>
    <row r="1087" ht="15" customHeight="1" spans="1:7" x14ac:dyDescent="0.25">
      <c r="A1087" s="23" t="s">
        <v>1287</v>
      </c>
      <c r="B1087" s="23" t="s">
        <v>1293</v>
      </c>
      <c r="C1087" s="23" t="s">
        <v>167</v>
      </c>
      <c r="D1087" s="23" t="s">
        <v>168</v>
      </c>
      <c r="E1087" s="23" t="s">
        <v>175</v>
      </c>
      <c r="F1087" s="23" t="s">
        <v>170</v>
      </c>
      <c r="G1087" s="24" t="str">
        <f>A1087&amp;"|"&amp;B1087</f>
        <v>Renault|Clio RS</v>
      </c>
    </row>
    <row r="1088" ht="15" customHeight="1" spans="1:7" x14ac:dyDescent="0.25">
      <c r="A1088" s="23" t="s">
        <v>1287</v>
      </c>
      <c r="B1088" s="23" t="s">
        <v>1294</v>
      </c>
      <c r="C1088" s="23" t="s">
        <v>162</v>
      </c>
      <c r="D1088" s="23" t="s">
        <v>163</v>
      </c>
      <c r="E1088" s="23" t="s">
        <v>164</v>
      </c>
      <c r="F1088" s="23" t="s">
        <v>165</v>
      </c>
      <c r="G1088" s="24" t="str">
        <f>A1088&amp;"|"&amp;B1088</f>
        <v>Renault|Duster</v>
      </c>
    </row>
    <row r="1089" ht="15" customHeight="1" spans="1:7" x14ac:dyDescent="0.25">
      <c r="A1089" s="23" t="s">
        <v>1287</v>
      </c>
      <c r="B1089" s="23" t="s">
        <v>1295</v>
      </c>
      <c r="C1089" s="23" t="s">
        <v>271</v>
      </c>
      <c r="D1089" s="23" t="s">
        <v>168</v>
      </c>
      <c r="E1089" s="23" t="s">
        <v>272</v>
      </c>
      <c r="F1089" s="23" t="s">
        <v>170</v>
      </c>
      <c r="G1089" s="24" t="str">
        <f>A1089&amp;"|"&amp;B1089</f>
        <v>Renault|Euro Clio</v>
      </c>
    </row>
    <row r="1090" ht="15" customHeight="1" spans="1:7" x14ac:dyDescent="0.25">
      <c r="A1090" s="23" t="s">
        <v>1287</v>
      </c>
      <c r="B1090" s="23" t="s">
        <v>1296</v>
      </c>
      <c r="C1090" s="23" t="s">
        <v>162</v>
      </c>
      <c r="D1090" s="23" t="s">
        <v>168</v>
      </c>
      <c r="E1090" s="23" t="s">
        <v>385</v>
      </c>
      <c r="F1090" s="23" t="s">
        <v>170</v>
      </c>
      <c r="G1090" s="24" t="str">
        <f>A1090&amp;"|"&amp;B1090</f>
        <v>Renault|Fluence</v>
      </c>
    </row>
    <row r="1091" ht="15" customHeight="1" spans="1:7" x14ac:dyDescent="0.25">
      <c r="A1091" s="23" t="s">
        <v>1287</v>
      </c>
      <c r="B1091" s="23" t="s">
        <v>1297</v>
      </c>
      <c r="C1091" s="23" t="s">
        <v>162</v>
      </c>
      <c r="D1091" s="23" t="s">
        <v>163</v>
      </c>
      <c r="E1091" s="23" t="s">
        <v>275</v>
      </c>
      <c r="F1091" s="23" t="s">
        <v>165</v>
      </c>
      <c r="G1091" s="24" t="str">
        <f>A1091&amp;"|"&amp;B1091</f>
        <v>Renault|Kangoo</v>
      </c>
    </row>
    <row r="1092" ht="15" customHeight="1" spans="1:7" x14ac:dyDescent="0.25">
      <c r="A1092" s="23" t="s">
        <v>1287</v>
      </c>
      <c r="B1092" s="23" t="s">
        <v>1298</v>
      </c>
      <c r="C1092" s="23" t="s">
        <v>162</v>
      </c>
      <c r="D1092" s="23" t="s">
        <v>168</v>
      </c>
      <c r="E1092" s="23" t="s">
        <v>385</v>
      </c>
      <c r="F1092" s="23" t="s">
        <v>170</v>
      </c>
      <c r="G1092" s="24" t="str">
        <f>A1092&amp;"|"&amp;B1092</f>
        <v>Renault|Kangoo 7 Plazas</v>
      </c>
    </row>
    <row r="1093" ht="15" customHeight="1" spans="1:7" x14ac:dyDescent="0.25">
      <c r="A1093" s="23" t="s">
        <v>1287</v>
      </c>
      <c r="B1093" s="23" t="s">
        <v>1299</v>
      </c>
      <c r="C1093" s="23" t="s">
        <v>162</v>
      </c>
      <c r="D1093" s="23" t="s">
        <v>163</v>
      </c>
      <c r="E1093" s="23" t="s">
        <v>275</v>
      </c>
      <c r="F1093" s="23" t="s">
        <v>165</v>
      </c>
      <c r="G1093" s="24" t="str">
        <f>A1093&amp;"|"&amp;B1093</f>
        <v>Renault|Kangoo Diesel</v>
      </c>
    </row>
    <row r="1094" ht="15" customHeight="1" spans="1:7" x14ac:dyDescent="0.25">
      <c r="A1094" s="23" t="s">
        <v>1287</v>
      </c>
      <c r="B1094" s="23" t="s">
        <v>1300</v>
      </c>
      <c r="C1094" s="23" t="s">
        <v>162</v>
      </c>
      <c r="D1094" s="23" t="s">
        <v>168</v>
      </c>
      <c r="E1094" s="23" t="s">
        <v>385</v>
      </c>
      <c r="F1094" s="23" t="s">
        <v>170</v>
      </c>
      <c r="G1094" s="24" t="str">
        <f>A1094&amp;"|"&amp;B1094</f>
        <v>Renault|Kangoo Vp</v>
      </c>
    </row>
    <row r="1095" ht="15" customHeight="1" spans="1:7" x14ac:dyDescent="0.25">
      <c r="A1095" s="23" t="s">
        <v>1287</v>
      </c>
      <c r="B1095" s="23" t="s">
        <v>1301</v>
      </c>
      <c r="C1095" s="23" t="s">
        <v>162</v>
      </c>
      <c r="D1095" s="23" t="s">
        <v>163</v>
      </c>
      <c r="E1095" s="23" t="s">
        <v>275</v>
      </c>
      <c r="F1095" s="23" t="s">
        <v>165</v>
      </c>
      <c r="G1095" s="24" t="str">
        <f>A1095&amp;"|"&amp;B1095</f>
        <v>Renault|Kangoo ZE</v>
      </c>
    </row>
    <row r="1096" ht="15" customHeight="1" spans="1:7" x14ac:dyDescent="0.25">
      <c r="A1096" s="23" t="s">
        <v>1287</v>
      </c>
      <c r="B1096" s="23" t="s">
        <v>1302</v>
      </c>
      <c r="C1096" s="23" t="s">
        <v>162</v>
      </c>
      <c r="D1096" s="23" t="s">
        <v>168</v>
      </c>
      <c r="E1096" s="23" t="s">
        <v>385</v>
      </c>
      <c r="F1096" s="23" t="s">
        <v>170</v>
      </c>
      <c r="G1096" s="24" t="str">
        <f>A1096&amp;"|"&amp;B1096</f>
        <v>Renault|Kardian</v>
      </c>
    </row>
    <row r="1097" ht="15" customHeight="1" spans="1:7" x14ac:dyDescent="0.25">
      <c r="A1097" s="23" t="s">
        <v>1287</v>
      </c>
      <c r="B1097" s="23" t="s">
        <v>1303</v>
      </c>
      <c r="C1097" s="23" t="s">
        <v>162</v>
      </c>
      <c r="D1097" s="23" t="s">
        <v>163</v>
      </c>
      <c r="E1097" s="23" t="s">
        <v>164</v>
      </c>
      <c r="F1097" s="23" t="s">
        <v>165</v>
      </c>
      <c r="G1097" s="24" t="str">
        <f>A1097&amp;"|"&amp;B1097</f>
        <v>Renault|Koleos</v>
      </c>
    </row>
    <row r="1098" ht="15" customHeight="1" spans="1:7" x14ac:dyDescent="0.25">
      <c r="A1098" s="23" t="s">
        <v>1287</v>
      </c>
      <c r="B1098" s="23" t="s">
        <v>1304</v>
      </c>
      <c r="C1098" s="23" t="s">
        <v>271</v>
      </c>
      <c r="D1098" s="23" t="s">
        <v>168</v>
      </c>
      <c r="E1098" s="23" t="s">
        <v>272</v>
      </c>
      <c r="F1098" s="23" t="s">
        <v>170</v>
      </c>
      <c r="G1098" s="24" t="str">
        <f>A1098&amp;"|"&amp;B1098</f>
        <v>Renault|Kwid</v>
      </c>
    </row>
    <row r="1099" ht="15" customHeight="1" spans="1:7" x14ac:dyDescent="0.25">
      <c r="A1099" s="23" t="s">
        <v>1287</v>
      </c>
      <c r="B1099" s="23" t="s">
        <v>1305</v>
      </c>
      <c r="C1099" s="23" t="s">
        <v>271</v>
      </c>
      <c r="D1099" s="23" t="s">
        <v>168</v>
      </c>
      <c r="E1099" s="23" t="s">
        <v>272</v>
      </c>
      <c r="F1099" s="23" t="s">
        <v>170</v>
      </c>
      <c r="G1099" s="24" t="str">
        <f>A1099&amp;"|"&amp;B1099</f>
        <v>Renault|Kwid e-Tech</v>
      </c>
    </row>
    <row r="1100" ht="15" customHeight="1" spans="1:7" x14ac:dyDescent="0.25">
      <c r="A1100" s="23" t="s">
        <v>1287</v>
      </c>
      <c r="B1100" s="23" t="s">
        <v>1306</v>
      </c>
      <c r="C1100" s="23" t="s">
        <v>167</v>
      </c>
      <c r="D1100" s="23" t="s">
        <v>168</v>
      </c>
      <c r="E1100" s="23" t="s">
        <v>169</v>
      </c>
      <c r="F1100" s="23" t="s">
        <v>170</v>
      </c>
      <c r="G1100" s="24" t="str">
        <f>A1100&amp;"|"&amp;B1100</f>
        <v>Renault|Laguna</v>
      </c>
    </row>
    <row r="1101" ht="15" customHeight="1" spans="1:7" x14ac:dyDescent="0.25">
      <c r="A1101" s="23" t="s">
        <v>1287</v>
      </c>
      <c r="B1101" s="23" t="s">
        <v>1307</v>
      </c>
      <c r="C1101" s="23" t="s">
        <v>271</v>
      </c>
      <c r="D1101" s="23" t="s">
        <v>168</v>
      </c>
      <c r="E1101" s="23" t="s">
        <v>272</v>
      </c>
      <c r="F1101" s="23" t="s">
        <v>170</v>
      </c>
      <c r="G1101" s="24" t="str">
        <f>A1101&amp;"|"&amp;B1101</f>
        <v>Renault|Logan</v>
      </c>
    </row>
    <row r="1102" ht="15" customHeight="1" spans="1:7" x14ac:dyDescent="0.25">
      <c r="A1102" s="23" t="s">
        <v>1287</v>
      </c>
      <c r="B1102" s="23" t="s">
        <v>1308</v>
      </c>
      <c r="C1102" s="23" t="s">
        <v>271</v>
      </c>
      <c r="D1102" s="23" t="s">
        <v>163</v>
      </c>
      <c r="E1102" s="23" t="s">
        <v>277</v>
      </c>
      <c r="F1102" s="23" t="s">
        <v>165</v>
      </c>
      <c r="G1102" s="24" t="str">
        <f>A1102&amp;"|"&amp;B1102</f>
        <v>Renault|Master</v>
      </c>
    </row>
    <row r="1103" ht="15" customHeight="1" spans="1:7" x14ac:dyDescent="0.25">
      <c r="A1103" s="23" t="s">
        <v>1287</v>
      </c>
      <c r="B1103" s="23" t="s">
        <v>1309</v>
      </c>
      <c r="C1103" s="23" t="s">
        <v>271</v>
      </c>
      <c r="D1103" s="23" t="s">
        <v>163</v>
      </c>
      <c r="E1103" s="23" t="s">
        <v>277</v>
      </c>
      <c r="F1103" s="23" t="s">
        <v>165</v>
      </c>
      <c r="G1103" s="24" t="str">
        <f>A1103&amp;"|"&amp;B1103</f>
        <v>Renault|Master E- Tech eléctrico</v>
      </c>
    </row>
    <row r="1104" ht="15" customHeight="1" spans="1:7" x14ac:dyDescent="0.25">
      <c r="A1104" s="23" t="s">
        <v>1287</v>
      </c>
      <c r="B1104" s="23" t="s">
        <v>1310</v>
      </c>
      <c r="C1104" s="23" t="s">
        <v>271</v>
      </c>
      <c r="D1104" s="23" t="s">
        <v>168</v>
      </c>
      <c r="E1104" s="23" t="s">
        <v>272</v>
      </c>
      <c r="F1104" s="23" t="s">
        <v>170</v>
      </c>
      <c r="G1104" s="24" t="str">
        <f>A1104&amp;"|"&amp;B1104</f>
        <v>Renault|MEGANE E-TECH</v>
      </c>
    </row>
    <row r="1105" ht="15" customHeight="1" spans="1:7" x14ac:dyDescent="0.25">
      <c r="A1105" s="23" t="s">
        <v>1287</v>
      </c>
      <c r="B1105" s="23" t="s">
        <v>1311</v>
      </c>
      <c r="C1105" s="23" t="s">
        <v>162</v>
      </c>
      <c r="D1105" s="23" t="s">
        <v>168</v>
      </c>
      <c r="E1105" s="23" t="s">
        <v>385</v>
      </c>
      <c r="F1105" s="23" t="s">
        <v>170</v>
      </c>
      <c r="G1105" s="24" t="str">
        <f>A1105&amp;"|"&amp;B1105</f>
        <v>Renault|Megane II 3 Ptas</v>
      </c>
    </row>
    <row r="1106" ht="15" customHeight="1" spans="1:7" x14ac:dyDescent="0.25">
      <c r="A1106" s="23" t="s">
        <v>1287</v>
      </c>
      <c r="B1106" s="23" t="s">
        <v>1312</v>
      </c>
      <c r="C1106" s="23" t="s">
        <v>162</v>
      </c>
      <c r="D1106" s="23" t="s">
        <v>168</v>
      </c>
      <c r="E1106" s="23" t="s">
        <v>385</v>
      </c>
      <c r="F1106" s="23" t="s">
        <v>170</v>
      </c>
      <c r="G1106" s="24" t="str">
        <f>A1106&amp;"|"&amp;B1106</f>
        <v>Renault|Megane II 3 Ptas Sport</v>
      </c>
    </row>
    <row r="1107" ht="15" customHeight="1" spans="1:7" x14ac:dyDescent="0.25">
      <c r="A1107" s="23" t="s">
        <v>1287</v>
      </c>
      <c r="B1107" s="23" t="s">
        <v>1313</v>
      </c>
      <c r="C1107" s="23" t="s">
        <v>162</v>
      </c>
      <c r="D1107" s="23" t="s">
        <v>168</v>
      </c>
      <c r="E1107" s="23" t="s">
        <v>385</v>
      </c>
      <c r="F1107" s="23" t="s">
        <v>170</v>
      </c>
      <c r="G1107" s="24" t="str">
        <f>A1107&amp;"|"&amp;B1107</f>
        <v>Renault|Megane II 5 Ptas</v>
      </c>
    </row>
    <row r="1108" ht="15" customHeight="1" spans="1:7" x14ac:dyDescent="0.25">
      <c r="A1108" s="23" t="s">
        <v>1287</v>
      </c>
      <c r="B1108" s="23" t="s">
        <v>1314</v>
      </c>
      <c r="C1108" s="23" t="s">
        <v>162</v>
      </c>
      <c r="D1108" s="23" t="s">
        <v>168</v>
      </c>
      <c r="E1108" s="23" t="s">
        <v>385</v>
      </c>
      <c r="F1108" s="23" t="s">
        <v>170</v>
      </c>
      <c r="G1108" s="24" t="str">
        <f>A1108&amp;"|"&amp;B1108</f>
        <v>Renault|Megane Ii Cc</v>
      </c>
    </row>
    <row r="1109" ht="15" customHeight="1" spans="1:7" x14ac:dyDescent="0.25">
      <c r="A1109" s="23" t="s">
        <v>1287</v>
      </c>
      <c r="B1109" s="23" t="s">
        <v>1315</v>
      </c>
      <c r="C1109" s="23" t="s">
        <v>162</v>
      </c>
      <c r="D1109" s="23" t="s">
        <v>168</v>
      </c>
      <c r="E1109" s="23" t="s">
        <v>385</v>
      </c>
      <c r="F1109" s="23" t="s">
        <v>170</v>
      </c>
      <c r="G1109" s="24" t="str">
        <f>A1109&amp;"|"&amp;B1109</f>
        <v>Renault|Megane II Gt 3 Ptas</v>
      </c>
    </row>
    <row r="1110" ht="15" customHeight="1" spans="1:7" x14ac:dyDescent="0.25">
      <c r="A1110" s="23" t="s">
        <v>1287</v>
      </c>
      <c r="B1110" s="23" t="s">
        <v>1316</v>
      </c>
      <c r="C1110" s="23" t="s">
        <v>162</v>
      </c>
      <c r="D1110" s="23" t="s">
        <v>168</v>
      </c>
      <c r="E1110" s="23" t="s">
        <v>385</v>
      </c>
      <c r="F1110" s="23" t="s">
        <v>170</v>
      </c>
      <c r="G1110" s="24" t="str">
        <f>A1110&amp;"|"&amp;B1110</f>
        <v>Renault|Megane II Gt 5 Ptas</v>
      </c>
    </row>
    <row r="1111" ht="15" customHeight="1" spans="1:7" x14ac:dyDescent="0.25">
      <c r="A1111" s="23" t="s">
        <v>1287</v>
      </c>
      <c r="B1111" s="23" t="s">
        <v>1317</v>
      </c>
      <c r="C1111" s="23" t="s">
        <v>162</v>
      </c>
      <c r="D1111" s="23" t="s">
        <v>168</v>
      </c>
      <c r="E1111" s="23" t="s">
        <v>385</v>
      </c>
      <c r="F1111" s="23" t="s">
        <v>170</v>
      </c>
      <c r="G1111" s="24" t="str">
        <f>A1111&amp;"|"&amp;B1111</f>
        <v>Renault|Megane II Sedan</v>
      </c>
    </row>
    <row r="1112" ht="15" customHeight="1" spans="1:7" x14ac:dyDescent="0.25">
      <c r="A1112" s="23" t="s">
        <v>1287</v>
      </c>
      <c r="B1112" s="23" t="s">
        <v>1318</v>
      </c>
      <c r="C1112" s="23" t="s">
        <v>162</v>
      </c>
      <c r="D1112" s="23" t="s">
        <v>163</v>
      </c>
      <c r="E1112" s="23" t="s">
        <v>164</v>
      </c>
      <c r="F1112" s="23" t="s">
        <v>165</v>
      </c>
      <c r="G1112" s="24" t="str">
        <f>A1112&amp;"|"&amp;B1112</f>
        <v>Renault|Nueva Koleos</v>
      </c>
    </row>
    <row r="1113" ht="15" customHeight="1" spans="1:7" x14ac:dyDescent="0.25">
      <c r="A1113" s="23" t="s">
        <v>1287</v>
      </c>
      <c r="B1113" s="23" t="s">
        <v>1319</v>
      </c>
      <c r="C1113" s="23" t="s">
        <v>162</v>
      </c>
      <c r="D1113" s="23" t="s">
        <v>163</v>
      </c>
      <c r="E1113" s="23" t="s">
        <v>275</v>
      </c>
      <c r="F1113" s="23" t="s">
        <v>165</v>
      </c>
      <c r="G1113" s="24" t="str">
        <f>A1113&amp;"|"&amp;B1113</f>
        <v>Renault|Oroch</v>
      </c>
    </row>
    <row r="1114" ht="15" customHeight="1" spans="1:7" x14ac:dyDescent="0.25">
      <c r="A1114" s="23" t="s">
        <v>1287</v>
      </c>
      <c r="B1114" s="23" t="s">
        <v>1320</v>
      </c>
      <c r="C1114" s="23" t="s">
        <v>167</v>
      </c>
      <c r="D1114" s="23" t="s">
        <v>168</v>
      </c>
      <c r="E1114" s="23" t="s">
        <v>169</v>
      </c>
      <c r="F1114" s="23" t="s">
        <v>170</v>
      </c>
      <c r="G1114" s="24" t="str">
        <f>A1114&amp;"|"&amp;B1114</f>
        <v>Renault|Safrane</v>
      </c>
    </row>
    <row r="1115" ht="15" customHeight="1" spans="1:7" x14ac:dyDescent="0.25">
      <c r="A1115" s="23" t="s">
        <v>1287</v>
      </c>
      <c r="B1115" s="23" t="s">
        <v>1321</v>
      </c>
      <c r="C1115" s="23" t="s">
        <v>167</v>
      </c>
      <c r="D1115" s="23" t="s">
        <v>168</v>
      </c>
      <c r="E1115" s="23" t="s">
        <v>175</v>
      </c>
      <c r="F1115" s="23" t="s">
        <v>170</v>
      </c>
      <c r="G1115" s="24" t="str">
        <f>A1115&amp;"|"&amp;B1115</f>
        <v>Renault|Sandero</v>
      </c>
    </row>
    <row r="1116" ht="15" customHeight="1" spans="1:7" x14ac:dyDescent="0.25">
      <c r="A1116" s="23" t="s">
        <v>1287</v>
      </c>
      <c r="B1116" s="23" t="s">
        <v>1322</v>
      </c>
      <c r="C1116" s="23" t="s">
        <v>167</v>
      </c>
      <c r="D1116" s="23" t="s">
        <v>168</v>
      </c>
      <c r="E1116" s="23" t="s">
        <v>175</v>
      </c>
      <c r="F1116" s="23" t="s">
        <v>170</v>
      </c>
      <c r="G1116" s="24" t="str">
        <f>A1116&amp;"|"&amp;B1116</f>
        <v>Renault|Sandero R.S. 2.0</v>
      </c>
    </row>
    <row r="1117" ht="15" customHeight="1" spans="1:7" x14ac:dyDescent="0.25">
      <c r="A1117" s="23" t="s">
        <v>1287</v>
      </c>
      <c r="B1117" s="23" t="s">
        <v>1323</v>
      </c>
      <c r="C1117" s="23" t="s">
        <v>271</v>
      </c>
      <c r="D1117" s="23" t="s">
        <v>168</v>
      </c>
      <c r="E1117" s="23" t="s">
        <v>272</v>
      </c>
      <c r="F1117" s="23" t="s">
        <v>170</v>
      </c>
      <c r="G1117" s="24" t="str">
        <f>A1117&amp;"|"&amp;B1117</f>
        <v>Renault|Scala</v>
      </c>
    </row>
    <row r="1118" ht="15" customHeight="1" spans="1:7" x14ac:dyDescent="0.25">
      <c r="A1118" s="23" t="s">
        <v>1287</v>
      </c>
      <c r="B1118" s="23" t="s">
        <v>1324</v>
      </c>
      <c r="C1118" s="23" t="s">
        <v>162</v>
      </c>
      <c r="D1118" s="23" t="s">
        <v>168</v>
      </c>
      <c r="E1118" s="23" t="s">
        <v>385</v>
      </c>
      <c r="F1118" s="23" t="s">
        <v>170</v>
      </c>
      <c r="G1118" s="24" t="str">
        <f>A1118&amp;"|"&amp;B1118</f>
        <v>Renault|Scenic</v>
      </c>
    </row>
    <row r="1119" ht="15" customHeight="1" spans="1:7" x14ac:dyDescent="0.25">
      <c r="A1119" s="23" t="s">
        <v>1287</v>
      </c>
      <c r="B1119" s="23" t="s">
        <v>1325</v>
      </c>
      <c r="C1119" s="23" t="s">
        <v>162</v>
      </c>
      <c r="D1119" s="23" t="s">
        <v>168</v>
      </c>
      <c r="E1119" s="23" t="s">
        <v>385</v>
      </c>
      <c r="F1119" s="23" t="s">
        <v>170</v>
      </c>
      <c r="G1119" s="24" t="str">
        <f>A1119&amp;"|"&amp;B1119</f>
        <v>Renault|Scenic II</v>
      </c>
    </row>
    <row r="1120" ht="15" customHeight="1" spans="1:7" x14ac:dyDescent="0.25">
      <c r="A1120" s="23" t="s">
        <v>1287</v>
      </c>
      <c r="B1120" s="23" t="s">
        <v>1326</v>
      </c>
      <c r="C1120" s="23" t="s">
        <v>162</v>
      </c>
      <c r="D1120" s="23" t="s">
        <v>168</v>
      </c>
      <c r="E1120" s="23" t="s">
        <v>385</v>
      </c>
      <c r="F1120" s="23" t="s">
        <v>170</v>
      </c>
      <c r="G1120" s="24" t="str">
        <f>A1120&amp;"|"&amp;B1120</f>
        <v>Renault|Stepway</v>
      </c>
    </row>
    <row r="1121" ht="15" customHeight="1" spans="1:7" x14ac:dyDescent="0.25">
      <c r="A1121" s="23" t="s">
        <v>1287</v>
      </c>
      <c r="B1121" s="23" t="s">
        <v>1327</v>
      </c>
      <c r="C1121" s="23" t="s">
        <v>162</v>
      </c>
      <c r="D1121" s="23" t="s">
        <v>163</v>
      </c>
      <c r="E1121" s="23" t="s">
        <v>164</v>
      </c>
      <c r="F1121" s="23" t="s">
        <v>165</v>
      </c>
      <c r="G1121" s="24" t="str">
        <f>A1121&amp;"|"&amp;B1121</f>
        <v>Renault|Traffic Carga</v>
      </c>
    </row>
    <row r="1122" ht="15" customHeight="1" spans="1:7" x14ac:dyDescent="0.25">
      <c r="A1122" s="23" t="s">
        <v>1287</v>
      </c>
      <c r="B1122" s="23" t="s">
        <v>1328</v>
      </c>
      <c r="C1122" s="23" t="s">
        <v>162</v>
      </c>
      <c r="D1122" s="23" t="s">
        <v>163</v>
      </c>
      <c r="E1122" s="23" t="s">
        <v>164</v>
      </c>
      <c r="F1122" s="23" t="s">
        <v>165</v>
      </c>
      <c r="G1122" s="24" t="str">
        <f>A1122&amp;"|"&amp;B1122</f>
        <v>Renault|Traffic Pasajeros</v>
      </c>
    </row>
    <row r="1123" ht="15" customHeight="1" spans="1:7" x14ac:dyDescent="0.25">
      <c r="A1123" s="23" t="s">
        <v>1287</v>
      </c>
      <c r="B1123" s="23" t="s">
        <v>1329</v>
      </c>
      <c r="C1123" s="23" t="s">
        <v>162</v>
      </c>
      <c r="D1123" s="23" t="s">
        <v>163</v>
      </c>
      <c r="E1123" s="23" t="s">
        <v>164</v>
      </c>
      <c r="F1123" s="23" t="s">
        <v>165</v>
      </c>
      <c r="G1123" s="24" t="str">
        <f>A1123&amp;"|"&amp;B1123</f>
        <v>Renault|Traffic Vu L2h2</v>
      </c>
    </row>
    <row r="1124" ht="15" customHeight="1" spans="1:7" x14ac:dyDescent="0.25">
      <c r="A1124" s="23" t="s">
        <v>1287</v>
      </c>
      <c r="B1124" s="23" t="s">
        <v>1330</v>
      </c>
      <c r="C1124" s="23" t="s">
        <v>271</v>
      </c>
      <c r="D1124" s="23" t="s">
        <v>168</v>
      </c>
      <c r="E1124" s="23" t="s">
        <v>272</v>
      </c>
      <c r="F1124" s="23" t="s">
        <v>170</v>
      </c>
      <c r="G1124" s="24" t="str">
        <f>A1124&amp;"|"&amp;B1124</f>
        <v>Renault|Twizy</v>
      </c>
    </row>
    <row r="1125" ht="15" customHeight="1" spans="1:7" x14ac:dyDescent="0.25">
      <c r="A1125" s="23" t="s">
        <v>1287</v>
      </c>
      <c r="B1125" s="23" t="s">
        <v>1331</v>
      </c>
      <c r="C1125" s="23" t="s">
        <v>271</v>
      </c>
      <c r="D1125" s="23" t="s">
        <v>168</v>
      </c>
      <c r="E1125" s="23" t="s">
        <v>272</v>
      </c>
      <c r="F1125" s="23" t="s">
        <v>170</v>
      </c>
      <c r="G1125" s="24" t="str">
        <f>A1125&amp;"|"&amp;B1125</f>
        <v>Renault|ZOE</v>
      </c>
    </row>
    <row r="1126" ht="15" customHeight="1" spans="1:7" x14ac:dyDescent="0.25">
      <c r="A1126" s="23" t="s">
        <v>1332</v>
      </c>
      <c r="B1126" s="23" t="s">
        <v>1333</v>
      </c>
      <c r="C1126" s="23" t="s">
        <v>271</v>
      </c>
      <c r="D1126" s="23" t="s">
        <v>163</v>
      </c>
      <c r="E1126" s="23" t="s">
        <v>277</v>
      </c>
      <c r="F1126" s="23" t="s">
        <v>165</v>
      </c>
      <c r="G1126" s="24" t="str">
        <f>A1126&amp;"|"&amp;B1126</f>
        <v>SEAT|Alhambra</v>
      </c>
    </row>
    <row r="1127" ht="15" customHeight="1" spans="1:7" x14ac:dyDescent="0.25">
      <c r="A1127" s="23" t="s">
        <v>1332</v>
      </c>
      <c r="B1127" s="23" t="s">
        <v>1334</v>
      </c>
      <c r="C1127" s="23" t="s">
        <v>271</v>
      </c>
      <c r="D1127" s="23" t="s">
        <v>168</v>
      </c>
      <c r="E1127" s="23" t="s">
        <v>272</v>
      </c>
      <c r="F1127" s="23" t="s">
        <v>170</v>
      </c>
      <c r="G1127" s="24" t="str">
        <f>A1127&amp;"|"&amp;B1127</f>
        <v>SEAT|Altea</v>
      </c>
    </row>
    <row r="1128" ht="15" customHeight="1" spans="1:7" x14ac:dyDescent="0.25">
      <c r="A1128" s="23" t="s">
        <v>1332</v>
      </c>
      <c r="B1128" s="23" t="s">
        <v>1335</v>
      </c>
      <c r="C1128" s="23" t="s">
        <v>162</v>
      </c>
      <c r="D1128" s="23" t="s">
        <v>163</v>
      </c>
      <c r="E1128" s="23" t="s">
        <v>164</v>
      </c>
      <c r="F1128" s="23" t="s">
        <v>165</v>
      </c>
      <c r="G1128" s="24" t="str">
        <f>A1128&amp;"|"&amp;B1128</f>
        <v>SEAT|Arona</v>
      </c>
    </row>
    <row r="1129" ht="15" customHeight="1" spans="1:7" x14ac:dyDescent="0.25">
      <c r="A1129" s="23" t="s">
        <v>1332</v>
      </c>
      <c r="B1129" s="23" t="s">
        <v>1336</v>
      </c>
      <c r="C1129" s="23" t="s">
        <v>162</v>
      </c>
      <c r="D1129" s="23" t="s">
        <v>163</v>
      </c>
      <c r="E1129" s="23" t="s">
        <v>164</v>
      </c>
      <c r="F1129" s="23" t="s">
        <v>165</v>
      </c>
      <c r="G1129" s="24" t="str">
        <f>A1129&amp;"|"&amp;B1129</f>
        <v>SEAT|Ateca</v>
      </c>
    </row>
    <row r="1130" ht="15" customHeight="1" spans="1:7" x14ac:dyDescent="0.25">
      <c r="A1130" s="23" t="s">
        <v>1332</v>
      </c>
      <c r="B1130" s="23" t="s">
        <v>1337</v>
      </c>
      <c r="C1130" s="23" t="s">
        <v>271</v>
      </c>
      <c r="D1130" s="23" t="s">
        <v>168</v>
      </c>
      <c r="E1130" s="23" t="s">
        <v>272</v>
      </c>
      <c r="F1130" s="23" t="s">
        <v>170</v>
      </c>
      <c r="G1130" s="24" t="str">
        <f>A1130&amp;"|"&amp;B1130</f>
        <v>SEAT|Cordoba</v>
      </c>
    </row>
    <row r="1131" ht="15" customHeight="1" spans="1:7" x14ac:dyDescent="0.25">
      <c r="A1131" s="23" t="s">
        <v>1332</v>
      </c>
      <c r="B1131" s="23" t="s">
        <v>1338</v>
      </c>
      <c r="C1131" s="23" t="s">
        <v>162</v>
      </c>
      <c r="D1131" s="23" t="s">
        <v>163</v>
      </c>
      <c r="E1131" s="23" t="s">
        <v>164</v>
      </c>
      <c r="F1131" s="23" t="s">
        <v>165</v>
      </c>
      <c r="G1131" s="24" t="str">
        <f>A1131&amp;"|"&amp;B1131</f>
        <v>SEAT|CUPRA Formentor</v>
      </c>
    </row>
    <row r="1132" ht="15" customHeight="1" spans="1:7" x14ac:dyDescent="0.25">
      <c r="A1132" s="23" t="s">
        <v>1332</v>
      </c>
      <c r="B1132" s="23" t="s">
        <v>1339</v>
      </c>
      <c r="C1132" s="23" t="s">
        <v>162</v>
      </c>
      <c r="D1132" s="23" t="s">
        <v>163</v>
      </c>
      <c r="E1132" s="23" t="s">
        <v>164</v>
      </c>
      <c r="F1132" s="23" t="s">
        <v>165</v>
      </c>
      <c r="G1132" s="24" t="str">
        <f>A1132&amp;"|"&amp;B1132</f>
        <v>SEAT|CUPRA Terramar</v>
      </c>
    </row>
    <row r="1133" ht="15" customHeight="1" spans="1:7" x14ac:dyDescent="0.25">
      <c r="A1133" s="23" t="s">
        <v>1332</v>
      </c>
      <c r="B1133" s="23" t="s">
        <v>1340</v>
      </c>
      <c r="C1133" s="23" t="s">
        <v>271</v>
      </c>
      <c r="D1133" s="23" t="s">
        <v>168</v>
      </c>
      <c r="E1133" s="23" t="s">
        <v>272</v>
      </c>
      <c r="F1133" s="23" t="s">
        <v>170</v>
      </c>
      <c r="G1133" s="24" t="str">
        <f>A1133&amp;"|"&amp;B1133</f>
        <v>SEAT|Exeo</v>
      </c>
    </row>
    <row r="1134" ht="15" customHeight="1" spans="1:7" x14ac:dyDescent="0.25">
      <c r="A1134" s="23" t="s">
        <v>1332</v>
      </c>
      <c r="B1134" s="23" t="s">
        <v>1341</v>
      </c>
      <c r="C1134" s="23" t="s">
        <v>271</v>
      </c>
      <c r="D1134" s="23" t="s">
        <v>168</v>
      </c>
      <c r="E1134" s="23" t="s">
        <v>272</v>
      </c>
      <c r="F1134" s="23" t="s">
        <v>170</v>
      </c>
      <c r="G1134" s="24" t="str">
        <f>A1134&amp;"|"&amp;B1134</f>
        <v>SEAT|Freetrack</v>
      </c>
    </row>
    <row r="1135" ht="15" customHeight="1" spans="1:7" x14ac:dyDescent="0.25">
      <c r="A1135" s="23" t="s">
        <v>1332</v>
      </c>
      <c r="B1135" s="23" t="s">
        <v>1342</v>
      </c>
      <c r="C1135" s="23" t="s">
        <v>271</v>
      </c>
      <c r="D1135" s="23" t="s">
        <v>168</v>
      </c>
      <c r="E1135" s="23" t="s">
        <v>272</v>
      </c>
      <c r="F1135" s="23" t="s">
        <v>170</v>
      </c>
      <c r="G1135" s="24" t="str">
        <f>A1135&amp;"|"&amp;B1135</f>
        <v>SEAT|Ibiza</v>
      </c>
    </row>
    <row r="1136" ht="15" customHeight="1" spans="1:7" x14ac:dyDescent="0.25">
      <c r="A1136" s="23" t="s">
        <v>1332</v>
      </c>
      <c r="B1136" s="23" t="s">
        <v>1343</v>
      </c>
      <c r="C1136" s="23" t="s">
        <v>271</v>
      </c>
      <c r="D1136" s="23" t="s">
        <v>168</v>
      </c>
      <c r="E1136" s="23" t="s">
        <v>272</v>
      </c>
      <c r="F1136" s="23" t="s">
        <v>170</v>
      </c>
      <c r="G1136" s="24" t="str">
        <f>A1136&amp;"|"&amp;B1136</f>
        <v>SEAT|Ibiza 2 Ptas</v>
      </c>
    </row>
    <row r="1137" ht="15" customHeight="1" spans="1:7" x14ac:dyDescent="0.25">
      <c r="A1137" s="23" t="s">
        <v>1332</v>
      </c>
      <c r="B1137" s="23" t="s">
        <v>1344</v>
      </c>
      <c r="C1137" s="23" t="s">
        <v>271</v>
      </c>
      <c r="D1137" s="23" t="s">
        <v>168</v>
      </c>
      <c r="E1137" s="23" t="s">
        <v>272</v>
      </c>
      <c r="F1137" s="23" t="s">
        <v>170</v>
      </c>
      <c r="G1137" s="24" t="str">
        <f>A1137&amp;"|"&amp;B1137</f>
        <v>SEAT|Ibiza 4 Ptas</v>
      </c>
    </row>
    <row r="1138" ht="15" customHeight="1" spans="1:7" x14ac:dyDescent="0.25">
      <c r="A1138" s="23" t="s">
        <v>1332</v>
      </c>
      <c r="B1138" s="23" t="s">
        <v>1345</v>
      </c>
      <c r="C1138" s="23" t="s">
        <v>167</v>
      </c>
      <c r="D1138" s="23" t="s">
        <v>168</v>
      </c>
      <c r="E1138" s="23" t="s">
        <v>175</v>
      </c>
      <c r="F1138" s="23" t="s">
        <v>170</v>
      </c>
      <c r="G1138" s="24" t="str">
        <f>A1138&amp;"|"&amp;B1138</f>
        <v>SEAT|Leon</v>
      </c>
    </row>
    <row r="1139" ht="15" customHeight="1" spans="1:7" x14ac:dyDescent="0.25">
      <c r="A1139" s="23" t="s">
        <v>1332</v>
      </c>
      <c r="B1139" s="23" t="s">
        <v>1346</v>
      </c>
      <c r="C1139" s="23" t="s">
        <v>167</v>
      </c>
      <c r="D1139" s="23" t="s">
        <v>168</v>
      </c>
      <c r="E1139" s="23" t="s">
        <v>175</v>
      </c>
      <c r="F1139" s="23" t="s">
        <v>170</v>
      </c>
      <c r="G1139" s="24" t="str">
        <f>A1139&amp;"|"&amp;B1139</f>
        <v>SEAT|Leon Cupra</v>
      </c>
    </row>
    <row r="1140" ht="15" customHeight="1" spans="1:7" x14ac:dyDescent="0.25">
      <c r="A1140" s="23" t="s">
        <v>1332</v>
      </c>
      <c r="B1140" s="23" t="s">
        <v>1347</v>
      </c>
      <c r="C1140" s="23" t="s">
        <v>167</v>
      </c>
      <c r="D1140" s="23" t="s">
        <v>168</v>
      </c>
      <c r="E1140" s="23" t="s">
        <v>175</v>
      </c>
      <c r="F1140" s="23" t="s">
        <v>170</v>
      </c>
      <c r="G1140" s="24" t="str">
        <f>A1140&amp;"|"&amp;B1140</f>
        <v>SEAT|Leon Sc 2p</v>
      </c>
    </row>
    <row r="1141" ht="15" customHeight="1" spans="1:7" x14ac:dyDescent="0.25">
      <c r="A1141" s="23" t="s">
        <v>1332</v>
      </c>
      <c r="B1141" s="23" t="s">
        <v>1348</v>
      </c>
      <c r="C1141" s="23" t="s">
        <v>162</v>
      </c>
      <c r="D1141" s="23" t="s">
        <v>168</v>
      </c>
      <c r="E1141" s="23" t="s">
        <v>385</v>
      </c>
      <c r="F1141" s="23" t="s">
        <v>170</v>
      </c>
      <c r="G1141" s="24" t="str">
        <f>A1141&amp;"|"&amp;B1141</f>
        <v>SEAT|Leon ST</v>
      </c>
    </row>
    <row r="1142" ht="15" customHeight="1" spans="1:7" x14ac:dyDescent="0.25">
      <c r="A1142" s="23" t="s">
        <v>1332</v>
      </c>
      <c r="B1142" s="23" t="s">
        <v>1349</v>
      </c>
      <c r="C1142" s="23" t="s">
        <v>162</v>
      </c>
      <c r="D1142" s="23" t="s">
        <v>168</v>
      </c>
      <c r="E1142" s="23" t="s">
        <v>385</v>
      </c>
      <c r="F1142" s="23" t="s">
        <v>170</v>
      </c>
      <c r="G1142" s="24" t="str">
        <f>A1142&amp;"|"&amp;B1142</f>
        <v>SEAT|Nuevo Toledo</v>
      </c>
    </row>
    <row r="1143" ht="15" customHeight="1" spans="1:7" x14ac:dyDescent="0.25">
      <c r="A1143" s="23" t="s">
        <v>1332</v>
      </c>
      <c r="B1143" s="23" t="s">
        <v>1350</v>
      </c>
      <c r="C1143" s="23" t="s">
        <v>162</v>
      </c>
      <c r="D1143" s="23" t="s">
        <v>163</v>
      </c>
      <c r="E1143" s="23" t="s">
        <v>164</v>
      </c>
      <c r="F1143" s="23" t="s">
        <v>165</v>
      </c>
      <c r="G1143" s="24" t="str">
        <f>A1143&amp;"|"&amp;B1143</f>
        <v>SEAT|Tarraco</v>
      </c>
    </row>
    <row r="1144" ht="15" customHeight="1" spans="1:7" x14ac:dyDescent="0.25">
      <c r="A1144" s="23" t="s">
        <v>1332</v>
      </c>
      <c r="B1144" s="23" t="s">
        <v>1351</v>
      </c>
      <c r="C1144" s="23" t="s">
        <v>162</v>
      </c>
      <c r="D1144" s="23" t="s">
        <v>168</v>
      </c>
      <c r="E1144" s="23" t="s">
        <v>385</v>
      </c>
      <c r="F1144" s="23" t="s">
        <v>170</v>
      </c>
      <c r="G1144" s="24" t="str">
        <f>A1144&amp;"|"&amp;B1144</f>
        <v>SEAT|Toledo</v>
      </c>
    </row>
    <row r="1145" ht="15" customHeight="1" spans="1:7" x14ac:dyDescent="0.25">
      <c r="A1145" s="23" t="s">
        <v>1352</v>
      </c>
      <c r="B1145" s="23" t="s">
        <v>1353</v>
      </c>
      <c r="C1145" s="23" t="s">
        <v>167</v>
      </c>
      <c r="D1145" s="23" t="s">
        <v>168</v>
      </c>
      <c r="E1145" s="23" t="s">
        <v>169</v>
      </c>
      <c r="F1145" s="23" t="s">
        <v>170</v>
      </c>
      <c r="G1145" s="24" t="str">
        <f>A1145&amp;"|"&amp;B1145</f>
        <v>Smart|Forfour</v>
      </c>
    </row>
    <row r="1146" ht="15" customHeight="1" spans="1:7" x14ac:dyDescent="0.25">
      <c r="A1146" s="23" t="s">
        <v>1352</v>
      </c>
      <c r="B1146" s="23" t="s">
        <v>1354</v>
      </c>
      <c r="C1146" s="23" t="s">
        <v>167</v>
      </c>
      <c r="D1146" s="23" t="s">
        <v>168</v>
      </c>
      <c r="E1146" s="23" t="s">
        <v>169</v>
      </c>
      <c r="F1146" s="23" t="s">
        <v>170</v>
      </c>
      <c r="G1146" s="24" t="str">
        <f>A1146&amp;"|"&amp;B1146</f>
        <v>Smart|FORTWO</v>
      </c>
    </row>
    <row r="1147" ht="15" customHeight="1" spans="1:7" x14ac:dyDescent="0.25">
      <c r="A1147" s="23" t="s">
        <v>1352</v>
      </c>
      <c r="B1147" s="23" t="s">
        <v>1355</v>
      </c>
      <c r="C1147" s="23" t="s">
        <v>271</v>
      </c>
      <c r="D1147" s="23" t="s">
        <v>168</v>
      </c>
      <c r="E1147" s="23" t="s">
        <v>272</v>
      </c>
      <c r="F1147" s="23" t="s">
        <v>170</v>
      </c>
      <c r="G1147" s="24" t="str">
        <f>A1147&amp;"|"&amp;B1147</f>
        <v>Smart|Otros Smart</v>
      </c>
    </row>
    <row r="1148" ht="15" customHeight="1" spans="1:7" x14ac:dyDescent="0.25">
      <c r="A1148" s="23" t="s">
        <v>1352</v>
      </c>
      <c r="B1148" s="23" t="s">
        <v>1356</v>
      </c>
      <c r="C1148" s="23" t="s">
        <v>271</v>
      </c>
      <c r="D1148" s="23" t="s">
        <v>168</v>
      </c>
      <c r="E1148" s="23" t="s">
        <v>272</v>
      </c>
      <c r="F1148" s="23" t="s">
        <v>170</v>
      </c>
      <c r="G1148" s="24" t="str">
        <f>A1148&amp;"|"&amp;B1148</f>
        <v>Smart|Roadster</v>
      </c>
    </row>
    <row r="1149" ht="15" customHeight="1" spans="1:7" x14ac:dyDescent="0.25">
      <c r="A1149" s="23" t="s">
        <v>1357</v>
      </c>
      <c r="B1149" s="23" t="s">
        <v>1358</v>
      </c>
      <c r="C1149" s="23" t="s">
        <v>162</v>
      </c>
      <c r="D1149" s="23" t="s">
        <v>163</v>
      </c>
      <c r="E1149" s="23" t="s">
        <v>164</v>
      </c>
      <c r="F1149" s="23" t="s">
        <v>165</v>
      </c>
      <c r="G1149" s="24" t="str">
        <f>A1149&amp;"|"&amp;B1149</f>
        <v>Subaru|B9 Tribeca</v>
      </c>
    </row>
    <row r="1150" ht="15" customHeight="1" spans="1:7" x14ac:dyDescent="0.25">
      <c r="A1150" s="23" t="s">
        <v>1357</v>
      </c>
      <c r="B1150" s="23" t="s">
        <v>1359</v>
      </c>
      <c r="C1150" s="23" t="s">
        <v>162</v>
      </c>
      <c r="D1150" s="23" t="s">
        <v>163</v>
      </c>
      <c r="E1150" s="23" t="s">
        <v>164</v>
      </c>
      <c r="F1150" s="23" t="s">
        <v>165</v>
      </c>
      <c r="G1150" s="24" t="str">
        <f>A1150&amp;"|"&amp;B1150</f>
        <v>Subaru|Crosstrek</v>
      </c>
    </row>
    <row r="1151" ht="15" customHeight="1" spans="1:7" x14ac:dyDescent="0.25">
      <c r="A1151" s="23" t="s">
        <v>1357</v>
      </c>
      <c r="B1151" s="23" t="s">
        <v>1360</v>
      </c>
      <c r="C1151" s="23" t="s">
        <v>162</v>
      </c>
      <c r="D1151" s="23" t="s">
        <v>163</v>
      </c>
      <c r="E1151" s="23" t="s">
        <v>164</v>
      </c>
      <c r="F1151" s="23" t="s">
        <v>165</v>
      </c>
      <c r="G1151" s="24" t="str">
        <f>A1151&amp;"|"&amp;B1151</f>
        <v>Subaru|Crosstrek MHEV</v>
      </c>
    </row>
    <row r="1152" ht="15" customHeight="1" spans="1:7" x14ac:dyDescent="0.25">
      <c r="A1152" s="23" t="s">
        <v>1357</v>
      </c>
      <c r="B1152" s="23" t="s">
        <v>1361</v>
      </c>
      <c r="C1152" s="23" t="s">
        <v>162</v>
      </c>
      <c r="D1152" s="23" t="s">
        <v>163</v>
      </c>
      <c r="E1152" s="23" t="s">
        <v>164</v>
      </c>
      <c r="F1152" s="23" t="s">
        <v>165</v>
      </c>
      <c r="G1152" s="24" t="str">
        <f>A1152&amp;"|"&amp;B1152</f>
        <v>Subaru|Forester</v>
      </c>
    </row>
    <row r="1153" ht="15" customHeight="1" spans="1:7" x14ac:dyDescent="0.25">
      <c r="A1153" s="23" t="s">
        <v>1357</v>
      </c>
      <c r="B1153" s="23" t="s">
        <v>1362</v>
      </c>
      <c r="C1153" s="23" t="s">
        <v>162</v>
      </c>
      <c r="D1153" s="23" t="s">
        <v>163</v>
      </c>
      <c r="E1153" s="23" t="s">
        <v>164</v>
      </c>
      <c r="F1153" s="23" t="s">
        <v>165</v>
      </c>
      <c r="G1153" s="24" t="str">
        <f>A1153&amp;"|"&amp;B1153</f>
        <v>Subaru|Forester e-BOXER HEV</v>
      </c>
    </row>
    <row r="1154" ht="15" customHeight="1" spans="1:7" x14ac:dyDescent="0.25">
      <c r="A1154" s="23" t="s">
        <v>1357</v>
      </c>
      <c r="B1154" s="23" t="s">
        <v>1363</v>
      </c>
      <c r="C1154" s="23" t="s">
        <v>162</v>
      </c>
      <c r="D1154" s="23" t="s">
        <v>168</v>
      </c>
      <c r="E1154" s="23" t="s">
        <v>385</v>
      </c>
      <c r="F1154" s="23" t="s">
        <v>170</v>
      </c>
      <c r="G1154" s="24" t="str">
        <f>A1154&amp;"|"&amp;B1154</f>
        <v>Subaru|Impreza</v>
      </c>
    </row>
    <row r="1155" ht="15" customHeight="1" spans="1:7" x14ac:dyDescent="0.25">
      <c r="A1155" s="23" t="s">
        <v>1357</v>
      </c>
      <c r="B1155" s="23" t="s">
        <v>1364</v>
      </c>
      <c r="C1155" s="23" t="s">
        <v>162</v>
      </c>
      <c r="D1155" s="23" t="s">
        <v>168</v>
      </c>
      <c r="E1155" s="23" t="s">
        <v>385</v>
      </c>
      <c r="F1155" s="23" t="s">
        <v>170</v>
      </c>
      <c r="G1155" s="24" t="str">
        <f>A1155&amp;"|"&amp;B1155</f>
        <v>Subaru|Impreza HB</v>
      </c>
    </row>
    <row r="1156" ht="15" customHeight="1" spans="1:7" x14ac:dyDescent="0.25">
      <c r="A1156" s="23" t="s">
        <v>1357</v>
      </c>
      <c r="B1156" s="23" t="s">
        <v>1365</v>
      </c>
      <c r="C1156" s="23" t="s">
        <v>167</v>
      </c>
      <c r="D1156" s="23" t="s">
        <v>168</v>
      </c>
      <c r="E1156" s="23" t="s">
        <v>169</v>
      </c>
      <c r="F1156" s="23" t="s">
        <v>170</v>
      </c>
      <c r="G1156" s="24" t="str">
        <f>A1156&amp;"|"&amp;B1156</f>
        <v>Subaru|Legacy</v>
      </c>
    </row>
    <row r="1157" ht="15" customHeight="1" spans="1:7" x14ac:dyDescent="0.25">
      <c r="A1157" s="23" t="s">
        <v>1357</v>
      </c>
      <c r="B1157" s="23" t="s">
        <v>1366</v>
      </c>
      <c r="C1157" s="23" t="s">
        <v>167</v>
      </c>
      <c r="D1157" s="23" t="s">
        <v>168</v>
      </c>
      <c r="E1157" s="23" t="s">
        <v>169</v>
      </c>
      <c r="F1157" s="23" t="s">
        <v>170</v>
      </c>
      <c r="G1157" s="24" t="str">
        <f>A1157&amp;"|"&amp;B1157</f>
        <v>Subaru|Legacy 2.0</v>
      </c>
    </row>
    <row r="1158" ht="15" customHeight="1" spans="1:7" x14ac:dyDescent="0.25">
      <c r="A1158" s="23" t="s">
        <v>1357</v>
      </c>
      <c r="B1158" s="23" t="s">
        <v>1367</v>
      </c>
      <c r="C1158" s="23" t="s">
        <v>167</v>
      </c>
      <c r="D1158" s="23" t="s">
        <v>168</v>
      </c>
      <c r="E1158" s="23" t="s">
        <v>169</v>
      </c>
      <c r="F1158" s="23" t="s">
        <v>170</v>
      </c>
      <c r="G1158" s="24" t="str">
        <f>A1158&amp;"|"&amp;B1158</f>
        <v>Subaru|Legacy 2.5i</v>
      </c>
    </row>
    <row r="1159" ht="15" customHeight="1" spans="1:7" x14ac:dyDescent="0.25">
      <c r="A1159" s="23" t="s">
        <v>1357</v>
      </c>
      <c r="B1159" s="23" t="s">
        <v>1368</v>
      </c>
      <c r="C1159" s="23" t="s">
        <v>167</v>
      </c>
      <c r="D1159" s="23" t="s">
        <v>168</v>
      </c>
      <c r="E1159" s="23" t="s">
        <v>169</v>
      </c>
      <c r="F1159" s="23" t="s">
        <v>170</v>
      </c>
      <c r="G1159" s="24" t="str">
        <f>A1159&amp;"|"&amp;B1159</f>
        <v>Subaru|Legacy 3.0</v>
      </c>
    </row>
    <row r="1160" ht="15" customHeight="1" spans="1:7" x14ac:dyDescent="0.25">
      <c r="A1160" s="23" t="s">
        <v>1357</v>
      </c>
      <c r="B1160" s="23" t="s">
        <v>1369</v>
      </c>
      <c r="C1160" s="23" t="s">
        <v>167</v>
      </c>
      <c r="D1160" s="23" t="s">
        <v>168</v>
      </c>
      <c r="E1160" s="23" t="s">
        <v>169</v>
      </c>
      <c r="F1160" s="23" t="s">
        <v>170</v>
      </c>
      <c r="G1160" s="24" t="str">
        <f>A1160&amp;"|"&amp;B1160</f>
        <v>Subaru|Legacy 3.6</v>
      </c>
    </row>
    <row r="1161" ht="15" customHeight="1" spans="1:7" x14ac:dyDescent="0.25">
      <c r="A1161" s="23" t="s">
        <v>1357</v>
      </c>
      <c r="B1161" s="23" t="s">
        <v>1370</v>
      </c>
      <c r="C1161" s="23" t="s">
        <v>162</v>
      </c>
      <c r="D1161" s="23" t="s">
        <v>163</v>
      </c>
      <c r="E1161" s="23" t="s">
        <v>164</v>
      </c>
      <c r="F1161" s="23" t="s">
        <v>165</v>
      </c>
      <c r="G1161" s="24" t="str">
        <f>A1161&amp;"|"&amp;B1161</f>
        <v>Subaru|Outback</v>
      </c>
    </row>
    <row r="1162" ht="15" customHeight="1" spans="1:7" x14ac:dyDescent="0.25">
      <c r="A1162" s="23" t="s">
        <v>1357</v>
      </c>
      <c r="B1162" s="23" t="s">
        <v>1371</v>
      </c>
      <c r="C1162" s="23" t="s">
        <v>167</v>
      </c>
      <c r="D1162" s="23" t="s">
        <v>168</v>
      </c>
      <c r="E1162" s="23" t="s">
        <v>175</v>
      </c>
      <c r="F1162" s="23" t="s">
        <v>170</v>
      </c>
      <c r="G1162" s="24" t="str">
        <f>A1162&amp;"|"&amp;B1162</f>
        <v>Subaru|Subaru BRZ</v>
      </c>
    </row>
    <row r="1163" ht="15" customHeight="1" spans="1:7" x14ac:dyDescent="0.25">
      <c r="A1163" s="23" t="s">
        <v>1357</v>
      </c>
      <c r="B1163" s="23" t="s">
        <v>1372</v>
      </c>
      <c r="C1163" s="23" t="s">
        <v>162</v>
      </c>
      <c r="D1163" s="23" t="s">
        <v>163</v>
      </c>
      <c r="E1163" s="23" t="s">
        <v>164</v>
      </c>
      <c r="F1163" s="23" t="s">
        <v>165</v>
      </c>
      <c r="G1163" s="24" t="str">
        <f>A1163&amp;"|"&amp;B1163</f>
        <v>Subaru|Trailseeker</v>
      </c>
    </row>
    <row r="1164" ht="15" customHeight="1" spans="1:7" x14ac:dyDescent="0.25">
      <c r="A1164" s="23" t="s">
        <v>1357</v>
      </c>
      <c r="B1164" s="23" t="s">
        <v>1373</v>
      </c>
      <c r="C1164" s="23" t="s">
        <v>167</v>
      </c>
      <c r="D1164" s="23" t="s">
        <v>168</v>
      </c>
      <c r="E1164" s="23" t="s">
        <v>175</v>
      </c>
      <c r="F1164" s="23" t="s">
        <v>170</v>
      </c>
      <c r="G1164" s="24" t="str">
        <f>A1164&amp;"|"&amp;B1164</f>
        <v>Subaru|WRX</v>
      </c>
    </row>
    <row r="1165" ht="15" customHeight="1" spans="1:7" x14ac:dyDescent="0.25">
      <c r="A1165" s="23" t="s">
        <v>1357</v>
      </c>
      <c r="B1165" s="23" t="s">
        <v>1374</v>
      </c>
      <c r="C1165" s="23" t="s">
        <v>167</v>
      </c>
      <c r="D1165" s="23" t="s">
        <v>168</v>
      </c>
      <c r="E1165" s="23" t="s">
        <v>175</v>
      </c>
      <c r="F1165" s="23" t="s">
        <v>170</v>
      </c>
      <c r="G1165" s="24" t="str">
        <f>A1165&amp;"|"&amp;B1165</f>
        <v>Subaru|WRX STI</v>
      </c>
    </row>
    <row r="1166" ht="15" customHeight="1" spans="1:7" x14ac:dyDescent="0.25">
      <c r="A1166" s="23" t="s">
        <v>1357</v>
      </c>
      <c r="B1166" s="23" t="s">
        <v>1375</v>
      </c>
      <c r="C1166" s="23" t="s">
        <v>162</v>
      </c>
      <c r="D1166" s="23" t="s">
        <v>163</v>
      </c>
      <c r="E1166" s="23" t="s">
        <v>164</v>
      </c>
      <c r="F1166" s="23" t="s">
        <v>165</v>
      </c>
      <c r="G1166" s="24" t="str">
        <f>A1166&amp;"|"&amp;B1166</f>
        <v>Subaru|XV</v>
      </c>
    </row>
    <row r="1167" ht="15" customHeight="1" spans="1:7" x14ac:dyDescent="0.25">
      <c r="A1167" s="23" t="s">
        <v>1376</v>
      </c>
      <c r="B1167" s="23" t="s">
        <v>1377</v>
      </c>
      <c r="C1167" s="23" t="s">
        <v>162</v>
      </c>
      <c r="D1167" s="23" t="s">
        <v>168</v>
      </c>
      <c r="E1167" s="23" t="s">
        <v>385</v>
      </c>
      <c r="F1167" s="23" t="s">
        <v>170</v>
      </c>
      <c r="G1167" s="24" t="str">
        <f>A1167&amp;"|"&amp;B1167</f>
        <v>Suzuki|Aerio Ta</v>
      </c>
    </row>
    <row r="1168" ht="15" customHeight="1" spans="1:7" x14ac:dyDescent="0.25">
      <c r="A1168" s="23" t="s">
        <v>1376</v>
      </c>
      <c r="B1168" s="23" t="s">
        <v>1378</v>
      </c>
      <c r="C1168" s="23" t="s">
        <v>162</v>
      </c>
      <c r="D1168" s="23" t="s">
        <v>168</v>
      </c>
      <c r="E1168" s="23" t="s">
        <v>385</v>
      </c>
      <c r="F1168" s="23" t="s">
        <v>170</v>
      </c>
      <c r="G1168" s="24" t="str">
        <f>A1168&amp;"|"&amp;B1168</f>
        <v>Suzuki|Aerio Tm</v>
      </c>
    </row>
    <row r="1169" ht="15" customHeight="1" spans="1:7" x14ac:dyDescent="0.25">
      <c r="A1169" s="23" t="s">
        <v>1376</v>
      </c>
      <c r="B1169" s="23" t="s">
        <v>1379</v>
      </c>
      <c r="C1169" s="23" t="s">
        <v>271</v>
      </c>
      <c r="D1169" s="23" t="s">
        <v>168</v>
      </c>
      <c r="E1169" s="23" t="s">
        <v>272</v>
      </c>
      <c r="F1169" s="23" t="s">
        <v>170</v>
      </c>
      <c r="G1169" s="24" t="str">
        <f>A1169&amp;"|"&amp;B1169</f>
        <v>Suzuki|Baleno</v>
      </c>
    </row>
    <row r="1170" ht="15" customHeight="1" spans="1:7" x14ac:dyDescent="0.25">
      <c r="A1170" s="23" t="s">
        <v>1376</v>
      </c>
      <c r="B1170" s="23" t="s">
        <v>1380</v>
      </c>
      <c r="C1170" s="23" t="s">
        <v>162</v>
      </c>
      <c r="D1170" s="23" t="s">
        <v>168</v>
      </c>
      <c r="E1170" s="23" t="s">
        <v>385</v>
      </c>
      <c r="F1170" s="23" t="s">
        <v>170</v>
      </c>
      <c r="G1170" s="24" t="str">
        <f>A1170&amp;"|"&amp;B1170</f>
        <v>Suzuki|Ciaz</v>
      </c>
    </row>
    <row r="1171" ht="15" customHeight="1" spans="1:7" x14ac:dyDescent="0.25">
      <c r="A1171" s="23" t="s">
        <v>1376</v>
      </c>
      <c r="B1171" s="23" t="s">
        <v>1381</v>
      </c>
      <c r="C1171" s="23" t="s">
        <v>271</v>
      </c>
      <c r="D1171" s="23" t="s">
        <v>168</v>
      </c>
      <c r="E1171" s="23" t="s">
        <v>272</v>
      </c>
      <c r="F1171" s="23" t="s">
        <v>170</v>
      </c>
      <c r="G1171" s="24" t="str">
        <f>A1171&amp;"|"&amp;B1171</f>
        <v>Suzuki|DZIRE</v>
      </c>
    </row>
    <row r="1172" ht="15" customHeight="1" spans="1:7" x14ac:dyDescent="0.25">
      <c r="A1172" s="23" t="s">
        <v>1376</v>
      </c>
      <c r="B1172" s="23" t="s">
        <v>1382</v>
      </c>
      <c r="C1172" s="23" t="s">
        <v>162</v>
      </c>
      <c r="D1172" s="23" t="s">
        <v>168</v>
      </c>
      <c r="E1172" s="23" t="s">
        <v>385</v>
      </c>
      <c r="F1172" s="23" t="s">
        <v>170</v>
      </c>
      <c r="G1172" s="24" t="str">
        <f>A1172&amp;"|"&amp;B1172</f>
        <v>Suzuki|Ertiga</v>
      </c>
    </row>
    <row r="1173" ht="15" customHeight="1" spans="1:7" x14ac:dyDescent="0.25">
      <c r="A1173" s="23" t="s">
        <v>1376</v>
      </c>
      <c r="B1173" s="23" t="s">
        <v>1383</v>
      </c>
      <c r="C1173" s="23" t="s">
        <v>162</v>
      </c>
      <c r="D1173" s="23" t="s">
        <v>163</v>
      </c>
      <c r="E1173" s="23" t="s">
        <v>164</v>
      </c>
      <c r="F1173" s="23" t="s">
        <v>165</v>
      </c>
      <c r="G1173" s="24" t="str">
        <f>A1173&amp;"|"&amp;B1173</f>
        <v>Suzuki|FRONX</v>
      </c>
    </row>
    <row r="1174" ht="15" customHeight="1" spans="1:7" x14ac:dyDescent="0.25">
      <c r="A1174" s="23" t="s">
        <v>1376</v>
      </c>
      <c r="B1174" s="23" t="s">
        <v>1384</v>
      </c>
      <c r="C1174" s="23" t="s">
        <v>162</v>
      </c>
      <c r="D1174" s="23" t="s">
        <v>163</v>
      </c>
      <c r="E1174" s="23" t="s">
        <v>164</v>
      </c>
      <c r="F1174" s="23" t="s">
        <v>165</v>
      </c>
      <c r="G1174" s="24" t="str">
        <f>A1174&amp;"|"&amp;B1174</f>
        <v>Suzuki|Grand Vitara</v>
      </c>
    </row>
    <row r="1175" ht="15" customHeight="1" spans="1:7" x14ac:dyDescent="0.25">
      <c r="A1175" s="23" t="s">
        <v>1376</v>
      </c>
      <c r="B1175" s="23" t="s">
        <v>1385</v>
      </c>
      <c r="C1175" s="23" t="s">
        <v>162</v>
      </c>
      <c r="D1175" s="23" t="s">
        <v>163</v>
      </c>
      <c r="E1175" s="23" t="s">
        <v>164</v>
      </c>
      <c r="F1175" s="23" t="s">
        <v>165</v>
      </c>
      <c r="G1175" s="24" t="str">
        <f>A1175&amp;"|"&amp;B1175</f>
        <v>Suzuki|Grand Vitara 4x4</v>
      </c>
    </row>
    <row r="1176" ht="15" customHeight="1" spans="1:7" x14ac:dyDescent="0.25">
      <c r="A1176" s="23" t="s">
        <v>1376</v>
      </c>
      <c r="B1176" s="23" t="s">
        <v>1386</v>
      </c>
      <c r="C1176" s="23" t="s">
        <v>271</v>
      </c>
      <c r="D1176" s="23" t="s">
        <v>168</v>
      </c>
      <c r="E1176" s="23" t="s">
        <v>272</v>
      </c>
      <c r="F1176" s="23" t="s">
        <v>170</v>
      </c>
      <c r="G1176" s="24" t="str">
        <f>A1176&amp;"|"&amp;B1176</f>
        <v>Suzuki|Ignis</v>
      </c>
    </row>
    <row r="1177" ht="15" customHeight="1" spans="1:7" x14ac:dyDescent="0.25">
      <c r="A1177" s="23" t="s">
        <v>1376</v>
      </c>
      <c r="B1177" s="23" t="s">
        <v>1387</v>
      </c>
      <c r="C1177" s="23" t="s">
        <v>162</v>
      </c>
      <c r="D1177" s="23" t="s">
        <v>163</v>
      </c>
      <c r="E1177" s="23" t="s">
        <v>164</v>
      </c>
      <c r="F1177" s="23" t="s">
        <v>165</v>
      </c>
      <c r="G1177" s="24" t="str">
        <f>A1177&amp;"|"&amp;B1177</f>
        <v>Suzuki|JIMNY</v>
      </c>
    </row>
    <row r="1178" ht="15" customHeight="1" spans="1:7" x14ac:dyDescent="0.25">
      <c r="A1178" s="23" t="s">
        <v>1376</v>
      </c>
      <c r="B1178" s="23" t="s">
        <v>1388</v>
      </c>
      <c r="C1178" s="23" t="s">
        <v>167</v>
      </c>
      <c r="D1178" s="23" t="s">
        <v>168</v>
      </c>
      <c r="E1178" s="23" t="s">
        <v>169</v>
      </c>
      <c r="F1178" s="23" t="s">
        <v>170</v>
      </c>
      <c r="G1178" s="24" t="str">
        <f>A1178&amp;"|"&amp;B1178</f>
        <v>Suzuki|Kizashi</v>
      </c>
    </row>
    <row r="1179" ht="15" customHeight="1" spans="1:7" x14ac:dyDescent="0.25">
      <c r="A1179" s="23" t="s">
        <v>1376</v>
      </c>
      <c r="B1179" s="23" t="s">
        <v>1389</v>
      </c>
      <c r="C1179" s="23" t="s">
        <v>162</v>
      </c>
      <c r="D1179" s="23" t="s">
        <v>163</v>
      </c>
      <c r="E1179" s="23" t="s">
        <v>164</v>
      </c>
      <c r="F1179" s="23" t="s">
        <v>165</v>
      </c>
      <c r="G1179" s="24" t="str">
        <f>A1179&amp;"|"&amp;B1179</f>
        <v>Suzuki|S Cross</v>
      </c>
    </row>
    <row r="1180" ht="15" customHeight="1" spans="1:7" x14ac:dyDescent="0.25">
      <c r="A1180" s="23" t="s">
        <v>1376</v>
      </c>
      <c r="B1180" s="23" t="s">
        <v>1390</v>
      </c>
      <c r="C1180" s="23" t="s">
        <v>271</v>
      </c>
      <c r="D1180" s="23" t="s">
        <v>168</v>
      </c>
      <c r="E1180" s="23" t="s">
        <v>272</v>
      </c>
      <c r="F1180" s="23" t="s">
        <v>170</v>
      </c>
      <c r="G1180" s="24" t="str">
        <f>A1180&amp;"|"&amp;B1180</f>
        <v>Suzuki|Swift</v>
      </c>
    </row>
    <row r="1181" ht="15" customHeight="1" spans="1:7" x14ac:dyDescent="0.25">
      <c r="A1181" s="23" t="s">
        <v>1376</v>
      </c>
      <c r="B1181" s="23" t="s">
        <v>1391</v>
      </c>
      <c r="C1181" s="23" t="s">
        <v>271</v>
      </c>
      <c r="D1181" s="23" t="s">
        <v>168</v>
      </c>
      <c r="E1181" s="23" t="s">
        <v>272</v>
      </c>
      <c r="F1181" s="23" t="s">
        <v>170</v>
      </c>
      <c r="G1181" s="24" t="str">
        <f>A1181&amp;"|"&amp;B1181</f>
        <v>Suzuki|SWIFT BG</v>
      </c>
    </row>
    <row r="1182" ht="15" customHeight="1" spans="1:7" x14ac:dyDescent="0.25">
      <c r="A1182" s="23" t="s">
        <v>1376</v>
      </c>
      <c r="B1182" s="23" t="s">
        <v>1392</v>
      </c>
      <c r="C1182" s="23" t="s">
        <v>162</v>
      </c>
      <c r="D1182" s="23" t="s">
        <v>168</v>
      </c>
      <c r="E1182" s="23" t="s">
        <v>385</v>
      </c>
      <c r="F1182" s="23" t="s">
        <v>170</v>
      </c>
      <c r="G1182" s="24" t="str">
        <f>A1182&amp;"|"&amp;B1182</f>
        <v>Suzuki|Sx4 Sedan Ta</v>
      </c>
    </row>
    <row r="1183" ht="15" customHeight="1" spans="1:7" x14ac:dyDescent="0.25">
      <c r="A1183" s="23" t="s">
        <v>1376</v>
      </c>
      <c r="B1183" s="23" t="s">
        <v>1393</v>
      </c>
      <c r="C1183" s="23" t="s">
        <v>162</v>
      </c>
      <c r="D1183" s="23" t="s">
        <v>168</v>
      </c>
      <c r="E1183" s="23" t="s">
        <v>385</v>
      </c>
      <c r="F1183" s="23" t="s">
        <v>170</v>
      </c>
      <c r="G1183" s="24" t="str">
        <f>A1183&amp;"|"&amp;B1183</f>
        <v>Suzuki|Sx4 Sedan Tm</v>
      </c>
    </row>
    <row r="1184" ht="15" customHeight="1" spans="1:7" x14ac:dyDescent="0.25">
      <c r="A1184" s="23" t="s">
        <v>1376</v>
      </c>
      <c r="B1184" s="23" t="s">
        <v>1394</v>
      </c>
      <c r="C1184" s="23" t="s">
        <v>162</v>
      </c>
      <c r="D1184" s="23" t="s">
        <v>168</v>
      </c>
      <c r="E1184" s="23" t="s">
        <v>385</v>
      </c>
      <c r="F1184" s="23" t="s">
        <v>170</v>
      </c>
      <c r="G1184" s="24" t="str">
        <f>A1184&amp;"|"&amp;B1184</f>
        <v>Suzuki|Sx4 X-Over Ta</v>
      </c>
    </row>
    <row r="1185" ht="15" customHeight="1" spans="1:7" x14ac:dyDescent="0.25">
      <c r="A1185" s="23" t="s">
        <v>1376</v>
      </c>
      <c r="B1185" s="23" t="s">
        <v>1395</v>
      </c>
      <c r="C1185" s="23" t="s">
        <v>162</v>
      </c>
      <c r="D1185" s="23" t="s">
        <v>168</v>
      </c>
      <c r="E1185" s="23" t="s">
        <v>385</v>
      </c>
      <c r="F1185" s="23" t="s">
        <v>170</v>
      </c>
      <c r="G1185" s="24" t="str">
        <f>A1185&amp;"|"&amp;B1185</f>
        <v>Suzuki|Sx4 X-Over Tm</v>
      </c>
    </row>
    <row r="1186" ht="15" customHeight="1" spans="1:7" x14ac:dyDescent="0.25">
      <c r="A1186" s="23" t="s">
        <v>1376</v>
      </c>
      <c r="B1186" s="23" t="s">
        <v>1396</v>
      </c>
      <c r="C1186" s="23" t="s">
        <v>162</v>
      </c>
      <c r="D1186" s="23" t="s">
        <v>163</v>
      </c>
      <c r="E1186" s="23" t="s">
        <v>164</v>
      </c>
      <c r="F1186" s="23" t="s">
        <v>165</v>
      </c>
      <c r="G1186" s="24" t="str">
        <f>A1186&amp;"|"&amp;B1186</f>
        <v>Suzuki|Vitara</v>
      </c>
    </row>
    <row r="1187" ht="15" customHeight="1" spans="1:7" x14ac:dyDescent="0.25">
      <c r="A1187" s="23" t="s">
        <v>1376</v>
      </c>
      <c r="B1187" s="23" t="s">
        <v>1397</v>
      </c>
      <c r="C1187" s="23" t="s">
        <v>162</v>
      </c>
      <c r="D1187" s="23" t="s">
        <v>163</v>
      </c>
      <c r="E1187" s="23" t="s">
        <v>164</v>
      </c>
      <c r="F1187" s="23" t="s">
        <v>165</v>
      </c>
      <c r="G1187" s="24" t="str">
        <f>A1187&amp;"|"&amp;B1187</f>
        <v>Suzuki|XL7</v>
      </c>
    </row>
    <row r="1188" ht="15" customHeight="1" spans="1:7" x14ac:dyDescent="0.25">
      <c r="A1188" s="23" t="s">
        <v>1398</v>
      </c>
      <c r="B1188" s="23" t="s">
        <v>1399</v>
      </c>
      <c r="C1188" s="23" t="s">
        <v>162</v>
      </c>
      <c r="D1188" s="23" t="s">
        <v>163</v>
      </c>
      <c r="E1188" s="23" t="s">
        <v>164</v>
      </c>
      <c r="F1188" s="23" t="s">
        <v>165</v>
      </c>
      <c r="G1188" s="24" t="str">
        <f>A1188&amp;"|"&amp;B1188</f>
        <v>Toyota|4Runner</v>
      </c>
    </row>
    <row r="1189" ht="15" customHeight="1" spans="1:7" x14ac:dyDescent="0.25">
      <c r="A1189" s="23" t="s">
        <v>1398</v>
      </c>
      <c r="B1189" s="23" t="s">
        <v>1400</v>
      </c>
      <c r="C1189" s="23" t="s">
        <v>162</v>
      </c>
      <c r="D1189" s="23" t="s">
        <v>168</v>
      </c>
      <c r="E1189" s="23" t="s">
        <v>385</v>
      </c>
      <c r="F1189" s="23" t="s">
        <v>170</v>
      </c>
      <c r="G1189" s="24" t="str">
        <f>A1189&amp;"|"&amp;B1189</f>
        <v>Toyota|Avanza</v>
      </c>
    </row>
    <row r="1190" ht="15" customHeight="1" spans="1:7" x14ac:dyDescent="0.25">
      <c r="A1190" s="23" t="s">
        <v>1398</v>
      </c>
      <c r="B1190" s="23" t="s">
        <v>1401</v>
      </c>
      <c r="C1190" s="23" t="s">
        <v>162</v>
      </c>
      <c r="D1190" s="23" t="s">
        <v>163</v>
      </c>
      <c r="E1190" s="23" t="s">
        <v>164</v>
      </c>
      <c r="F1190" s="23" t="s">
        <v>165</v>
      </c>
      <c r="G1190" s="24" t="str">
        <f>A1190&amp;"|"&amp;B1190</f>
        <v>Toyota|C-HR</v>
      </c>
    </row>
    <row r="1191" ht="15" customHeight="1" spans="1:7" x14ac:dyDescent="0.25">
      <c r="A1191" s="23" t="s">
        <v>1398</v>
      </c>
      <c r="B1191" s="23" t="s">
        <v>1402</v>
      </c>
      <c r="C1191" s="23" t="s">
        <v>167</v>
      </c>
      <c r="D1191" s="23" t="s">
        <v>168</v>
      </c>
      <c r="E1191" s="23" t="s">
        <v>169</v>
      </c>
      <c r="F1191" s="23" t="s">
        <v>170</v>
      </c>
      <c r="G1191" s="24" t="str">
        <f>A1191&amp;"|"&amp;B1191</f>
        <v>Toyota|Camry</v>
      </c>
    </row>
    <row r="1192" ht="15" customHeight="1" spans="1:7" x14ac:dyDescent="0.25">
      <c r="A1192" s="23" t="s">
        <v>1398</v>
      </c>
      <c r="B1192" s="23" t="s">
        <v>1403</v>
      </c>
      <c r="C1192" s="23" t="s">
        <v>162</v>
      </c>
      <c r="D1192" s="23" t="s">
        <v>168</v>
      </c>
      <c r="E1192" s="23" t="s">
        <v>385</v>
      </c>
      <c r="F1192" s="23" t="s">
        <v>170</v>
      </c>
      <c r="G1192" s="24" t="str">
        <f>A1192&amp;"|"&amp;B1192</f>
        <v>Toyota|Corolla</v>
      </c>
    </row>
    <row r="1193" ht="15" customHeight="1" spans="1:7" x14ac:dyDescent="0.25">
      <c r="A1193" s="23" t="s">
        <v>1398</v>
      </c>
      <c r="B1193" s="23" t="s">
        <v>1404</v>
      </c>
      <c r="C1193" s="23" t="s">
        <v>162</v>
      </c>
      <c r="D1193" s="23" t="s">
        <v>163</v>
      </c>
      <c r="E1193" s="23" t="s">
        <v>164</v>
      </c>
      <c r="F1193" s="23" t="s">
        <v>165</v>
      </c>
      <c r="G1193" s="24" t="str">
        <f>A1193&amp;"|"&amp;B1193</f>
        <v>Toyota|Corolla Cross</v>
      </c>
    </row>
    <row r="1194" ht="15" customHeight="1" spans="1:7" x14ac:dyDescent="0.25">
      <c r="A1194" s="23" t="s">
        <v>1398</v>
      </c>
      <c r="B1194" s="23" t="s">
        <v>1405</v>
      </c>
      <c r="C1194" s="23" t="s">
        <v>162</v>
      </c>
      <c r="D1194" s="23" t="s">
        <v>163</v>
      </c>
      <c r="E1194" s="23" t="s">
        <v>164</v>
      </c>
      <c r="F1194" s="23" t="s">
        <v>165</v>
      </c>
      <c r="G1194" s="24" t="str">
        <f>A1194&amp;"|"&amp;B1194</f>
        <v>Toyota|Fjcruiser</v>
      </c>
    </row>
    <row r="1195" ht="15" customHeight="1" spans="1:7" x14ac:dyDescent="0.25">
      <c r="A1195" s="23" t="s">
        <v>1398</v>
      </c>
      <c r="B1195" s="23" t="s">
        <v>1406</v>
      </c>
      <c r="C1195" s="23" t="s">
        <v>167</v>
      </c>
      <c r="D1195" s="23" t="s">
        <v>168</v>
      </c>
      <c r="E1195" s="23" t="s">
        <v>175</v>
      </c>
      <c r="F1195" s="23" t="s">
        <v>170</v>
      </c>
      <c r="G1195" s="24" t="str">
        <f>A1195&amp;"|"&amp;B1195</f>
        <v>Toyota|GR Corolla</v>
      </c>
    </row>
    <row r="1196" ht="15" customHeight="1" spans="1:7" x14ac:dyDescent="0.25">
      <c r="A1196" s="23" t="s">
        <v>1398</v>
      </c>
      <c r="B1196" s="23" t="s">
        <v>1407</v>
      </c>
      <c r="C1196" s="23" t="s">
        <v>174</v>
      </c>
      <c r="D1196" s="23" t="s">
        <v>168</v>
      </c>
      <c r="E1196" s="23" t="s">
        <v>169</v>
      </c>
      <c r="F1196" s="23" t="s">
        <v>170</v>
      </c>
      <c r="G1196" s="24" t="str">
        <f>A1196&amp;"|"&amp;B1196</f>
        <v>Toyota|GR Supra</v>
      </c>
    </row>
    <row r="1197" ht="15" customHeight="1" spans="1:7" x14ac:dyDescent="0.25">
      <c r="A1197" s="23" t="s">
        <v>1398</v>
      </c>
      <c r="B1197" s="23" t="s">
        <v>1408</v>
      </c>
      <c r="C1197" s="23" t="s">
        <v>167</v>
      </c>
      <c r="D1197" s="23" t="s">
        <v>168</v>
      </c>
      <c r="E1197" s="23" t="s">
        <v>175</v>
      </c>
      <c r="F1197" s="23" t="s">
        <v>170</v>
      </c>
      <c r="G1197" s="24" t="str">
        <f>A1197&amp;"|"&amp;B1197</f>
        <v>Toyota|GR Yaris</v>
      </c>
    </row>
    <row r="1198" ht="15" customHeight="1" spans="1:7" x14ac:dyDescent="0.25">
      <c r="A1198" s="23" t="s">
        <v>1398</v>
      </c>
      <c r="B1198" s="23" t="s">
        <v>1409</v>
      </c>
      <c r="C1198" s="23" t="s">
        <v>162</v>
      </c>
      <c r="D1198" s="23" t="s">
        <v>163</v>
      </c>
      <c r="E1198" s="23" t="s">
        <v>164</v>
      </c>
      <c r="F1198" s="23" t="s">
        <v>165</v>
      </c>
      <c r="G1198" s="24" t="str">
        <f>A1198&amp;"|"&amp;B1198</f>
        <v>Toyota|Hiace P</v>
      </c>
    </row>
    <row r="1199" ht="15" customHeight="1" spans="1:7" x14ac:dyDescent="0.25">
      <c r="A1199" s="23" t="s">
        <v>1398</v>
      </c>
      <c r="B1199" s="23" t="s">
        <v>1410</v>
      </c>
      <c r="C1199" s="23" t="s">
        <v>162</v>
      </c>
      <c r="D1199" s="23" t="s">
        <v>163</v>
      </c>
      <c r="E1199" s="23" t="s">
        <v>164</v>
      </c>
      <c r="F1199" s="23" t="s">
        <v>165</v>
      </c>
      <c r="G1199" s="24" t="str">
        <f>A1199&amp;"|"&amp;B1199</f>
        <v>Toyota|Hiace V</v>
      </c>
    </row>
    <row r="1200" ht="15" customHeight="1" spans="1:7" x14ac:dyDescent="0.25">
      <c r="A1200" s="23" t="s">
        <v>1398</v>
      </c>
      <c r="B1200" s="23" t="s">
        <v>1411</v>
      </c>
      <c r="C1200" s="23" t="s">
        <v>162</v>
      </c>
      <c r="D1200" s="23" t="s">
        <v>163</v>
      </c>
      <c r="E1200" s="23" t="s">
        <v>164</v>
      </c>
      <c r="F1200" s="23" t="s">
        <v>165</v>
      </c>
      <c r="G1200" s="24" t="str">
        <f>A1200&amp;"|"&amp;B1200</f>
        <v>Toyota|Highlander</v>
      </c>
    </row>
    <row r="1201" ht="15" customHeight="1" spans="1:7" x14ac:dyDescent="0.25">
      <c r="A1201" s="23" t="s">
        <v>1398</v>
      </c>
      <c r="B1201" s="23" t="s">
        <v>1412</v>
      </c>
      <c r="C1201" s="23" t="s">
        <v>162</v>
      </c>
      <c r="D1201" s="23" t="s">
        <v>163</v>
      </c>
      <c r="E1201" s="23" t="s">
        <v>275</v>
      </c>
      <c r="F1201" s="23" t="s">
        <v>165</v>
      </c>
      <c r="G1201" s="24" t="str">
        <f>A1201&amp;"|"&amp;B1201</f>
        <v>Toyota|Hilux Cc</v>
      </c>
    </row>
    <row r="1202" ht="15" customHeight="1" spans="1:7" x14ac:dyDescent="0.25">
      <c r="A1202" s="23" t="s">
        <v>1398</v>
      </c>
      <c r="B1202" s="23" t="s">
        <v>1413</v>
      </c>
      <c r="C1202" s="23" t="s">
        <v>162</v>
      </c>
      <c r="D1202" s="23" t="s">
        <v>163</v>
      </c>
      <c r="E1202" s="23" t="s">
        <v>275</v>
      </c>
      <c r="F1202" s="23" t="s">
        <v>165</v>
      </c>
      <c r="G1202" s="24" t="str">
        <f>A1202&amp;"|"&amp;B1202</f>
        <v>Toyota|Hilux Dc</v>
      </c>
    </row>
    <row r="1203" ht="15" customHeight="1" spans="1:7" x14ac:dyDescent="0.25">
      <c r="A1203" s="23" t="s">
        <v>1398</v>
      </c>
      <c r="B1203" s="23" t="s">
        <v>1414</v>
      </c>
      <c r="C1203" s="23" t="s">
        <v>162</v>
      </c>
      <c r="D1203" s="23" t="s">
        <v>163</v>
      </c>
      <c r="E1203" s="23" t="s">
        <v>275</v>
      </c>
      <c r="F1203" s="23" t="s">
        <v>165</v>
      </c>
      <c r="G1203" s="24" t="str">
        <f>A1203&amp;"|"&amp;B1203</f>
        <v>Toyota|Hilux Sc</v>
      </c>
    </row>
    <row r="1204" ht="15" customHeight="1" spans="1:7" x14ac:dyDescent="0.25">
      <c r="A1204" s="23" t="s">
        <v>1398</v>
      </c>
      <c r="B1204" s="23" t="s">
        <v>1415</v>
      </c>
      <c r="C1204" s="23" t="s">
        <v>162</v>
      </c>
      <c r="D1204" s="23" t="s">
        <v>163</v>
      </c>
      <c r="E1204" s="23" t="s">
        <v>164</v>
      </c>
      <c r="F1204" s="23" t="s">
        <v>165</v>
      </c>
      <c r="G1204" s="24" t="str">
        <f>A1204&amp;"|"&amp;B1204</f>
        <v>Toyota|Lcruiser</v>
      </c>
    </row>
    <row r="1205" ht="15" customHeight="1" spans="1:7" x14ac:dyDescent="0.25">
      <c r="A1205" s="23" t="s">
        <v>1398</v>
      </c>
      <c r="B1205" s="23" t="s">
        <v>1416</v>
      </c>
      <c r="C1205" s="23" t="s">
        <v>162</v>
      </c>
      <c r="D1205" s="23" t="s">
        <v>168</v>
      </c>
      <c r="E1205" s="23" t="s">
        <v>385</v>
      </c>
      <c r="F1205" s="23" t="s">
        <v>170</v>
      </c>
      <c r="G1205" s="24" t="str">
        <f>A1205&amp;"|"&amp;B1205</f>
        <v>Toyota|Matrix</v>
      </c>
    </row>
    <row r="1206" ht="15" customHeight="1" spans="1:7" x14ac:dyDescent="0.25">
      <c r="A1206" s="23" t="s">
        <v>1398</v>
      </c>
      <c r="B1206" s="23" t="s">
        <v>1417</v>
      </c>
      <c r="C1206" s="23" t="s">
        <v>167</v>
      </c>
      <c r="D1206" s="23" t="s">
        <v>168</v>
      </c>
      <c r="E1206" s="23" t="s">
        <v>175</v>
      </c>
      <c r="F1206" s="23" t="s">
        <v>170</v>
      </c>
      <c r="G1206" s="24" t="str">
        <f>A1206&amp;"|"&amp;B1206</f>
        <v>Toyota|Mr2</v>
      </c>
    </row>
    <row r="1207" ht="15" customHeight="1" spans="1:7" x14ac:dyDescent="0.25">
      <c r="A1207" s="23" t="s">
        <v>1398</v>
      </c>
      <c r="B1207" s="23" t="s">
        <v>1418</v>
      </c>
      <c r="C1207" s="23" t="s">
        <v>167</v>
      </c>
      <c r="D1207" s="23" t="s">
        <v>168</v>
      </c>
      <c r="E1207" s="23" t="s">
        <v>169</v>
      </c>
      <c r="F1207" s="23" t="s">
        <v>170</v>
      </c>
      <c r="G1207" s="24" t="str">
        <f>A1207&amp;"|"&amp;B1207</f>
        <v>Toyota|Prius</v>
      </c>
    </row>
    <row r="1208" ht="15" customHeight="1" spans="1:7" x14ac:dyDescent="0.25">
      <c r="A1208" s="23" t="s">
        <v>1398</v>
      </c>
      <c r="B1208" s="23" t="s">
        <v>1419</v>
      </c>
      <c r="C1208" s="23" t="s">
        <v>271</v>
      </c>
      <c r="D1208" s="23" t="s">
        <v>168</v>
      </c>
      <c r="E1208" s="23" t="s">
        <v>272</v>
      </c>
      <c r="F1208" s="23" t="s">
        <v>170</v>
      </c>
      <c r="G1208" s="24" t="str">
        <f>A1208&amp;"|"&amp;B1208</f>
        <v>Toyota|Prius-C</v>
      </c>
    </row>
    <row r="1209" ht="15" customHeight="1" spans="1:7" x14ac:dyDescent="0.25">
      <c r="A1209" s="23" t="s">
        <v>1398</v>
      </c>
      <c r="B1209" s="23" t="s">
        <v>1420</v>
      </c>
      <c r="C1209" s="23" t="s">
        <v>162</v>
      </c>
      <c r="D1209" s="23" t="s">
        <v>163</v>
      </c>
      <c r="E1209" s="23" t="s">
        <v>164</v>
      </c>
      <c r="F1209" s="23" t="s">
        <v>165</v>
      </c>
      <c r="G1209" s="24" t="str">
        <f>A1209&amp;"|"&amp;B1209</f>
        <v>Toyota|RAIZE</v>
      </c>
    </row>
    <row r="1210" ht="15" customHeight="1" spans="1:7" x14ac:dyDescent="0.25">
      <c r="A1210" s="23" t="s">
        <v>1398</v>
      </c>
      <c r="B1210" s="23" t="s">
        <v>1421</v>
      </c>
      <c r="C1210" s="23" t="s">
        <v>162</v>
      </c>
      <c r="D1210" s="23" t="s">
        <v>163</v>
      </c>
      <c r="E1210" s="23" t="s">
        <v>164</v>
      </c>
      <c r="F1210" s="23" t="s">
        <v>165</v>
      </c>
      <c r="G1210" s="24" t="str">
        <f>A1210&amp;"|"&amp;B1210</f>
        <v>Toyota|Rav4</v>
      </c>
    </row>
    <row r="1211" ht="15" customHeight="1" spans="1:7" x14ac:dyDescent="0.25">
      <c r="A1211" s="23" t="s">
        <v>1398</v>
      </c>
      <c r="B1211" s="23" t="s">
        <v>1422</v>
      </c>
      <c r="C1211" s="23" t="s">
        <v>162</v>
      </c>
      <c r="D1211" s="23" t="s">
        <v>163</v>
      </c>
      <c r="E1211" s="23" t="s">
        <v>164</v>
      </c>
      <c r="F1211" s="23" t="s">
        <v>165</v>
      </c>
      <c r="G1211" s="24" t="str">
        <f>A1211&amp;"|"&amp;B1211</f>
        <v>Toyota|Rush</v>
      </c>
    </row>
    <row r="1212" ht="15" customHeight="1" spans="1:7" x14ac:dyDescent="0.25">
      <c r="A1212" s="23" t="s">
        <v>1398</v>
      </c>
      <c r="B1212" s="23" t="s">
        <v>1423</v>
      </c>
      <c r="C1212" s="23" t="s">
        <v>162</v>
      </c>
      <c r="D1212" s="23" t="s">
        <v>163</v>
      </c>
      <c r="E1212" s="23" t="s">
        <v>164</v>
      </c>
      <c r="F1212" s="23" t="s">
        <v>165</v>
      </c>
      <c r="G1212" s="24" t="str">
        <f>A1212&amp;"|"&amp;B1212</f>
        <v>Toyota|Sequoia</v>
      </c>
    </row>
    <row r="1213" ht="15" customHeight="1" spans="1:7" x14ac:dyDescent="0.25">
      <c r="A1213" s="23" t="s">
        <v>1398</v>
      </c>
      <c r="B1213" s="23" t="s">
        <v>1424</v>
      </c>
      <c r="C1213" s="23" t="s">
        <v>271</v>
      </c>
      <c r="D1213" s="23" t="s">
        <v>163</v>
      </c>
      <c r="E1213" s="23" t="s">
        <v>277</v>
      </c>
      <c r="F1213" s="23" t="s">
        <v>165</v>
      </c>
      <c r="G1213" s="24" t="str">
        <f>A1213&amp;"|"&amp;B1213</f>
        <v>Toyota|Sienna</v>
      </c>
    </row>
    <row r="1214" ht="15" customHeight="1" spans="1:7" x14ac:dyDescent="0.25">
      <c r="A1214" s="23" t="s">
        <v>1398</v>
      </c>
      <c r="B1214" s="23" t="s">
        <v>1425</v>
      </c>
      <c r="C1214" s="23" t="s">
        <v>167</v>
      </c>
      <c r="D1214" s="23" t="s">
        <v>168</v>
      </c>
      <c r="E1214" s="23" t="s">
        <v>175</v>
      </c>
      <c r="F1214" s="23" t="s">
        <v>170</v>
      </c>
      <c r="G1214" s="24" t="str">
        <f>A1214&amp;"|"&amp;B1214</f>
        <v>Toyota|Solara</v>
      </c>
    </row>
    <row r="1215" ht="15" customHeight="1" spans="1:7" x14ac:dyDescent="0.25">
      <c r="A1215" s="23" t="s">
        <v>1398</v>
      </c>
      <c r="B1215" s="23" t="s">
        <v>1426</v>
      </c>
      <c r="C1215" s="23" t="s">
        <v>162</v>
      </c>
      <c r="D1215" s="23" t="s">
        <v>163</v>
      </c>
      <c r="E1215" s="23" t="s">
        <v>275</v>
      </c>
      <c r="F1215" s="23" t="s">
        <v>165</v>
      </c>
      <c r="G1215" s="24" t="str">
        <f>A1215&amp;"|"&amp;B1215</f>
        <v>Toyota|Tacoma</v>
      </c>
    </row>
    <row r="1216" ht="15" customHeight="1" spans="1:7" x14ac:dyDescent="0.25">
      <c r="A1216" s="23" t="s">
        <v>1398</v>
      </c>
      <c r="B1216" s="23" t="s">
        <v>1427</v>
      </c>
      <c r="C1216" s="23" t="s">
        <v>162</v>
      </c>
      <c r="D1216" s="23" t="s">
        <v>163</v>
      </c>
      <c r="E1216" s="23" t="s">
        <v>275</v>
      </c>
      <c r="F1216" s="23" t="s">
        <v>165</v>
      </c>
      <c r="G1216" s="24" t="str">
        <f>A1216&amp;"|"&amp;B1216</f>
        <v>Toyota|Tacoma-</v>
      </c>
    </row>
    <row r="1217" ht="15" customHeight="1" spans="1:7" x14ac:dyDescent="0.25">
      <c r="A1217" s="23" t="s">
        <v>1398</v>
      </c>
      <c r="B1217" s="23" t="s">
        <v>1428</v>
      </c>
      <c r="C1217" s="23" t="s">
        <v>162</v>
      </c>
      <c r="D1217" s="23" t="s">
        <v>163</v>
      </c>
      <c r="E1217" s="23" t="s">
        <v>275</v>
      </c>
      <c r="F1217" s="23" t="s">
        <v>165</v>
      </c>
      <c r="G1217" s="24" t="str">
        <f>A1217&amp;"|"&amp;B1217</f>
        <v>Toyota|Tundra</v>
      </c>
    </row>
    <row r="1218" ht="15" customHeight="1" spans="1:7" x14ac:dyDescent="0.25">
      <c r="A1218" s="23" t="s">
        <v>1398</v>
      </c>
      <c r="B1218" s="23" t="s">
        <v>1429</v>
      </c>
      <c r="C1218" s="23" t="s">
        <v>271</v>
      </c>
      <c r="D1218" s="23" t="s">
        <v>168</v>
      </c>
      <c r="E1218" s="23" t="s">
        <v>272</v>
      </c>
      <c r="F1218" s="23" t="s">
        <v>170</v>
      </c>
      <c r="G1218" s="24" t="str">
        <f>A1218&amp;"|"&amp;B1218</f>
        <v>Toyota|Yaris Hatchback</v>
      </c>
    </row>
    <row r="1219" ht="15" customHeight="1" spans="1:7" x14ac:dyDescent="0.25">
      <c r="A1219" s="23" t="s">
        <v>1398</v>
      </c>
      <c r="B1219" s="23" t="s">
        <v>1430</v>
      </c>
      <c r="C1219" s="23" t="s">
        <v>271</v>
      </c>
      <c r="D1219" s="23" t="s">
        <v>168</v>
      </c>
      <c r="E1219" s="23" t="s">
        <v>272</v>
      </c>
      <c r="F1219" s="23" t="s">
        <v>170</v>
      </c>
      <c r="G1219" s="24" t="str">
        <f>A1219&amp;"|"&amp;B1219</f>
        <v>Toyota|Yaris Sedan</v>
      </c>
    </row>
    <row r="1220" ht="15" customHeight="1" spans="1:7" x14ac:dyDescent="0.25">
      <c r="A1220" s="23" t="s">
        <v>1398</v>
      </c>
      <c r="B1220" s="23" t="s">
        <v>1431</v>
      </c>
      <c r="C1220" s="23" t="s">
        <v>271</v>
      </c>
      <c r="D1220" s="23" t="s">
        <v>168</v>
      </c>
      <c r="E1220" s="23" t="s">
        <v>272</v>
      </c>
      <c r="F1220" s="23" t="s">
        <v>170</v>
      </c>
      <c r="G1220" s="24" t="str">
        <f>A1220&amp;"|"&amp;B1220</f>
        <v>Toyota|Yaris-R</v>
      </c>
    </row>
    <row r="1221" ht="15" customHeight="1" spans="1:7" x14ac:dyDescent="0.25">
      <c r="A1221" s="23" t="s">
        <v>1432</v>
      </c>
      <c r="B1221" s="23" t="s">
        <v>1433</v>
      </c>
      <c r="C1221" s="23" t="s">
        <v>162</v>
      </c>
      <c r="D1221" s="23" t="s">
        <v>163</v>
      </c>
      <c r="E1221" s="23" t="s">
        <v>275</v>
      </c>
      <c r="F1221" s="23" t="s">
        <v>165</v>
      </c>
      <c r="G1221" s="24" t="str">
        <f>A1221&amp;"|"&amp;B1221</f>
        <v>Volkswagen|Amarok</v>
      </c>
    </row>
    <row r="1222" ht="15" customHeight="1" spans="1:7" x14ac:dyDescent="0.25">
      <c r="A1222" s="23" t="s">
        <v>1432</v>
      </c>
      <c r="B1222" s="23" t="s">
        <v>1434</v>
      </c>
      <c r="C1222" s="23" t="s">
        <v>162</v>
      </c>
      <c r="D1222" s="23" t="s">
        <v>168</v>
      </c>
      <c r="E1222" s="23" t="s">
        <v>385</v>
      </c>
      <c r="F1222" s="23" t="s">
        <v>170</v>
      </c>
      <c r="G1222" s="24" t="str">
        <f>A1222&amp;"|"&amp;B1222</f>
        <v>Volkswagen|Beetle</v>
      </c>
    </row>
    <row r="1223" ht="15" customHeight="1" spans="1:7" x14ac:dyDescent="0.25">
      <c r="A1223" s="23" t="s">
        <v>1432</v>
      </c>
      <c r="B1223" s="23" t="s">
        <v>1435</v>
      </c>
      <c r="C1223" s="23" t="s">
        <v>162</v>
      </c>
      <c r="D1223" s="23" t="s">
        <v>168</v>
      </c>
      <c r="E1223" s="23" t="s">
        <v>385</v>
      </c>
      <c r="F1223" s="23" t="s">
        <v>170</v>
      </c>
      <c r="G1223" s="24" t="str">
        <f>A1223&amp;"|"&amp;B1223</f>
        <v>Volkswagen|Beetle Cabrio</v>
      </c>
    </row>
    <row r="1224" ht="15" customHeight="1" spans="1:7" x14ac:dyDescent="0.25">
      <c r="A1224" s="23" t="s">
        <v>1432</v>
      </c>
      <c r="B1224" s="23" t="s">
        <v>1436</v>
      </c>
      <c r="C1224" s="23" t="s">
        <v>162</v>
      </c>
      <c r="D1224" s="23" t="s">
        <v>168</v>
      </c>
      <c r="E1224" s="23" t="s">
        <v>385</v>
      </c>
      <c r="F1224" s="23" t="s">
        <v>170</v>
      </c>
      <c r="G1224" s="24" t="str">
        <f>A1224&amp;"|"&amp;B1224</f>
        <v>Volkswagen|Bora</v>
      </c>
    </row>
    <row r="1225" ht="15" customHeight="1" spans="1:7" x14ac:dyDescent="0.25">
      <c r="A1225" s="23" t="s">
        <v>1432</v>
      </c>
      <c r="B1225" s="23" t="s">
        <v>1437</v>
      </c>
      <c r="C1225" s="23" t="s">
        <v>162</v>
      </c>
      <c r="D1225" s="23" t="s">
        <v>168</v>
      </c>
      <c r="E1225" s="23" t="s">
        <v>385</v>
      </c>
      <c r="F1225" s="23" t="s">
        <v>170</v>
      </c>
      <c r="G1225" s="24" t="str">
        <f>A1225&amp;"|"&amp;B1225</f>
        <v>Volkswagen|Bora TDI</v>
      </c>
    </row>
    <row r="1226" ht="15" customHeight="1" spans="1:7" x14ac:dyDescent="0.25">
      <c r="A1226" s="23" t="s">
        <v>1432</v>
      </c>
      <c r="B1226" s="23" t="s">
        <v>1438</v>
      </c>
      <c r="C1226" s="23" t="s">
        <v>162</v>
      </c>
      <c r="D1226" s="23" t="s">
        <v>163</v>
      </c>
      <c r="E1226" s="23" t="s">
        <v>275</v>
      </c>
      <c r="F1226" s="23" t="s">
        <v>165</v>
      </c>
      <c r="G1226" s="24" t="str">
        <f>A1226&amp;"|"&amp;B1226</f>
        <v>Volkswagen|Crafter</v>
      </c>
    </row>
    <row r="1227" ht="15" customHeight="1" spans="1:7" x14ac:dyDescent="0.25">
      <c r="A1227" s="23" t="s">
        <v>1432</v>
      </c>
      <c r="B1227" s="23" t="s">
        <v>1439</v>
      </c>
      <c r="C1227" s="23" t="s">
        <v>162</v>
      </c>
      <c r="D1227" s="23" t="s">
        <v>163</v>
      </c>
      <c r="E1227" s="23" t="s">
        <v>164</v>
      </c>
      <c r="F1227" s="23" t="s">
        <v>165</v>
      </c>
      <c r="G1227" s="24" t="str">
        <f>A1227&amp;"|"&amp;B1227</f>
        <v>Volkswagen|Crafter chasis</v>
      </c>
    </row>
    <row r="1228" ht="15" customHeight="1" spans="1:7" x14ac:dyDescent="0.25">
      <c r="A1228" s="23" t="s">
        <v>1432</v>
      </c>
      <c r="B1228" s="23" t="s">
        <v>1440</v>
      </c>
      <c r="C1228" s="23" t="s">
        <v>162</v>
      </c>
      <c r="D1228" s="23" t="s">
        <v>163</v>
      </c>
      <c r="E1228" s="23" t="s">
        <v>164</v>
      </c>
      <c r="F1228" s="23" t="s">
        <v>165</v>
      </c>
      <c r="G1228" s="24" t="str">
        <f>A1228&amp;"|"&amp;B1228</f>
        <v>Volkswagen|Cross Sport</v>
      </c>
    </row>
    <row r="1229" ht="15" customHeight="1" spans="1:7" x14ac:dyDescent="0.25">
      <c r="A1229" s="23" t="s">
        <v>1432</v>
      </c>
      <c r="B1229" s="23" t="s">
        <v>1441</v>
      </c>
      <c r="C1229" s="23" t="s">
        <v>271</v>
      </c>
      <c r="D1229" s="23" t="s">
        <v>168</v>
      </c>
      <c r="E1229" s="23" t="s">
        <v>272</v>
      </c>
      <c r="F1229" s="23" t="s">
        <v>170</v>
      </c>
      <c r="G1229" s="24" t="str">
        <f>A1229&amp;"|"&amp;B1229</f>
        <v>Volkswagen|Crossfox</v>
      </c>
    </row>
    <row r="1230" ht="15" customHeight="1" spans="1:7" x14ac:dyDescent="0.25">
      <c r="A1230" s="23" t="s">
        <v>1432</v>
      </c>
      <c r="B1230" s="23" t="s">
        <v>1442</v>
      </c>
      <c r="C1230" s="23" t="s">
        <v>271</v>
      </c>
      <c r="D1230" s="23" t="s">
        <v>168</v>
      </c>
      <c r="E1230" s="23" t="s">
        <v>272</v>
      </c>
      <c r="F1230" s="23" t="s">
        <v>170</v>
      </c>
      <c r="G1230" s="24" t="str">
        <f>A1230&amp;"|"&amp;B1230</f>
        <v>Volkswagen|Derby</v>
      </c>
    </row>
    <row r="1231" ht="15" customHeight="1" spans="1:7" x14ac:dyDescent="0.25">
      <c r="A1231" s="23" t="s">
        <v>1432</v>
      </c>
      <c r="B1231" s="23" t="s">
        <v>1443</v>
      </c>
      <c r="C1231" s="23" t="s">
        <v>162</v>
      </c>
      <c r="D1231" s="23" t="s">
        <v>163</v>
      </c>
      <c r="E1231" s="23" t="s">
        <v>164</v>
      </c>
      <c r="F1231" s="23" t="s">
        <v>165</v>
      </c>
      <c r="G1231" s="24" t="str">
        <f>A1231&amp;"|"&amp;B1231</f>
        <v>Volkswagen|e-Crafter</v>
      </c>
    </row>
    <row r="1232" ht="15" customHeight="1" spans="1:7" x14ac:dyDescent="0.25">
      <c r="A1232" s="23" t="s">
        <v>1432</v>
      </c>
      <c r="B1232" s="23" t="s">
        <v>1444</v>
      </c>
      <c r="C1232" s="23" t="s">
        <v>167</v>
      </c>
      <c r="D1232" s="23" t="s">
        <v>168</v>
      </c>
      <c r="E1232" s="23" t="s">
        <v>169</v>
      </c>
      <c r="F1232" s="23" t="s">
        <v>170</v>
      </c>
      <c r="G1232" s="24" t="str">
        <f>A1232&amp;"|"&amp;B1232</f>
        <v>Volkswagen|EOS</v>
      </c>
    </row>
    <row r="1233" ht="15" customHeight="1" spans="1:7" x14ac:dyDescent="0.25">
      <c r="A1233" s="23" t="s">
        <v>1432</v>
      </c>
      <c r="B1233" s="23" t="s">
        <v>1445</v>
      </c>
      <c r="C1233" s="23" t="s">
        <v>162</v>
      </c>
      <c r="D1233" s="23" t="s">
        <v>163</v>
      </c>
      <c r="E1233" s="23" t="s">
        <v>164</v>
      </c>
      <c r="F1233" s="23" t="s">
        <v>165</v>
      </c>
      <c r="G1233" s="24" t="str">
        <f>A1233&amp;"|"&amp;B1233</f>
        <v>Volkswagen|Eurovan Carga</v>
      </c>
    </row>
    <row r="1234" ht="15" customHeight="1" spans="1:7" x14ac:dyDescent="0.25">
      <c r="A1234" s="23" t="s">
        <v>1432</v>
      </c>
      <c r="B1234" s="23" t="s">
        <v>1446</v>
      </c>
      <c r="C1234" s="23" t="s">
        <v>162</v>
      </c>
      <c r="D1234" s="23" t="s">
        <v>163</v>
      </c>
      <c r="E1234" s="23" t="s">
        <v>164</v>
      </c>
      <c r="F1234" s="23" t="s">
        <v>165</v>
      </c>
      <c r="G1234" s="24" t="str">
        <f>A1234&amp;"|"&amp;B1234</f>
        <v>Volkswagen|Eurovan Pasajeros</v>
      </c>
    </row>
    <row r="1235" ht="15" customHeight="1" spans="1:7" x14ac:dyDescent="0.25">
      <c r="A1235" s="23" t="s">
        <v>1432</v>
      </c>
      <c r="B1235" s="23" t="s">
        <v>1447</v>
      </c>
      <c r="C1235" s="23" t="s">
        <v>271</v>
      </c>
      <c r="D1235" s="23" t="s">
        <v>168</v>
      </c>
      <c r="E1235" s="23" t="s">
        <v>272</v>
      </c>
      <c r="F1235" s="23" t="s">
        <v>170</v>
      </c>
      <c r="G1235" s="24" t="str">
        <f>A1235&amp;"|"&amp;B1235</f>
        <v>Volkswagen|Gol</v>
      </c>
    </row>
    <row r="1236" ht="15" customHeight="1" spans="1:7" x14ac:dyDescent="0.25">
      <c r="A1236" s="23" t="s">
        <v>1432</v>
      </c>
      <c r="B1236" s="23" t="s">
        <v>1448</v>
      </c>
      <c r="C1236" s="23" t="s">
        <v>271</v>
      </c>
      <c r="D1236" s="23" t="s">
        <v>168</v>
      </c>
      <c r="E1236" s="23" t="s">
        <v>272</v>
      </c>
      <c r="F1236" s="23" t="s">
        <v>170</v>
      </c>
      <c r="G1236" s="24" t="str">
        <f>A1236&amp;"|"&amp;B1236</f>
        <v>Volkswagen|Gol Sedan</v>
      </c>
    </row>
    <row r="1237" ht="15" customHeight="1" spans="1:7" x14ac:dyDescent="0.25">
      <c r="A1237" s="23" t="s">
        <v>1432</v>
      </c>
      <c r="B1237" s="23" t="s">
        <v>1449</v>
      </c>
      <c r="C1237" s="23" t="s">
        <v>162</v>
      </c>
      <c r="D1237" s="23" t="s">
        <v>168</v>
      </c>
      <c r="E1237" s="23" t="s">
        <v>385</v>
      </c>
      <c r="F1237" s="23" t="s">
        <v>170</v>
      </c>
      <c r="G1237" s="24" t="str">
        <f>A1237&amp;"|"&amp;B1237</f>
        <v>Volkswagen|Golf</v>
      </c>
    </row>
    <row r="1238" ht="15" customHeight="1" spans="1:7" x14ac:dyDescent="0.25">
      <c r="A1238" s="23" t="s">
        <v>1432</v>
      </c>
      <c r="B1238" s="23" t="s">
        <v>1450</v>
      </c>
      <c r="C1238" s="23" t="s">
        <v>167</v>
      </c>
      <c r="D1238" s="23" t="s">
        <v>168</v>
      </c>
      <c r="E1238" s="23" t="s">
        <v>175</v>
      </c>
      <c r="F1238" s="23" t="s">
        <v>170</v>
      </c>
      <c r="G1238" s="24" t="str">
        <f>A1238&amp;"|"&amp;B1238</f>
        <v>Volkswagen|Golf Gti</v>
      </c>
    </row>
    <row r="1239" ht="15" customHeight="1" spans="1:7" x14ac:dyDescent="0.25">
      <c r="A1239" s="23" t="s">
        <v>1432</v>
      </c>
      <c r="B1239" s="23" t="s">
        <v>1451</v>
      </c>
      <c r="C1239" s="23" t="s">
        <v>162</v>
      </c>
      <c r="D1239" s="23" t="s">
        <v>168</v>
      </c>
      <c r="E1239" s="23" t="s">
        <v>385</v>
      </c>
      <c r="F1239" s="23" t="s">
        <v>170</v>
      </c>
      <c r="G1239" s="24" t="str">
        <f>A1239&amp;"|"&amp;B1239</f>
        <v>Volkswagen|Golf Variant-/Crossgolf</v>
      </c>
    </row>
    <row r="1240" ht="15" customHeight="1" spans="1:7" x14ac:dyDescent="0.25">
      <c r="A1240" s="23" t="s">
        <v>1432</v>
      </c>
      <c r="B1240" s="23" t="s">
        <v>1452</v>
      </c>
      <c r="C1240" s="23" t="s">
        <v>162</v>
      </c>
      <c r="D1240" s="23" t="s">
        <v>168</v>
      </c>
      <c r="E1240" s="23" t="s">
        <v>385</v>
      </c>
      <c r="F1240" s="23" t="s">
        <v>170</v>
      </c>
      <c r="G1240" s="24" t="str">
        <f>A1240&amp;"|"&amp;B1240</f>
        <v>Volkswagen|Golf-</v>
      </c>
    </row>
    <row r="1241" ht="15" customHeight="1" spans="1:7" x14ac:dyDescent="0.25">
      <c r="A1241" s="23" t="s">
        <v>1432</v>
      </c>
      <c r="B1241" s="23" t="s">
        <v>1453</v>
      </c>
      <c r="C1241" s="23" t="s">
        <v>167</v>
      </c>
      <c r="D1241" s="23" t="s">
        <v>168</v>
      </c>
      <c r="E1241" s="23" t="s">
        <v>175</v>
      </c>
      <c r="F1241" s="23" t="s">
        <v>170</v>
      </c>
      <c r="G1241" s="24" t="str">
        <f>A1241&amp;"|"&amp;B1241</f>
        <v>Volkswagen|GTI</v>
      </c>
    </row>
    <row r="1242" ht="15" customHeight="1" spans="1:7" x14ac:dyDescent="0.25">
      <c r="A1242" s="23" t="s">
        <v>1432</v>
      </c>
      <c r="B1242" s="23" t="s">
        <v>1454</v>
      </c>
      <c r="C1242" s="23" t="s">
        <v>162</v>
      </c>
      <c r="D1242" s="23" t="s">
        <v>163</v>
      </c>
      <c r="E1242" s="23" t="s">
        <v>164</v>
      </c>
      <c r="F1242" s="23" t="s">
        <v>165</v>
      </c>
      <c r="G1242" s="24" t="str">
        <f>A1242&amp;"|"&amp;B1242</f>
        <v>Volkswagen|ID.4</v>
      </c>
    </row>
    <row r="1243" ht="15" customHeight="1" spans="1:7" x14ac:dyDescent="0.25">
      <c r="A1243" s="23" t="s">
        <v>1432</v>
      </c>
      <c r="B1243" s="23" t="s">
        <v>1455</v>
      </c>
      <c r="C1243" s="23" t="s">
        <v>162</v>
      </c>
      <c r="D1243" s="23" t="s">
        <v>168</v>
      </c>
      <c r="E1243" s="23" t="s">
        <v>385</v>
      </c>
      <c r="F1243" s="23" t="s">
        <v>170</v>
      </c>
      <c r="G1243" s="24" t="str">
        <f>A1243&amp;"|"&amp;B1243</f>
        <v>Volkswagen|Jetta</v>
      </c>
    </row>
    <row r="1244" ht="15" customHeight="1" spans="1:7" x14ac:dyDescent="0.25">
      <c r="A1244" s="23" t="s">
        <v>1432</v>
      </c>
      <c r="B1244" s="23" t="s">
        <v>1456</v>
      </c>
      <c r="C1244" s="23" t="s">
        <v>162</v>
      </c>
      <c r="D1244" s="23" t="s">
        <v>168</v>
      </c>
      <c r="E1244" s="23" t="s">
        <v>385</v>
      </c>
      <c r="F1244" s="23" t="s">
        <v>170</v>
      </c>
      <c r="G1244" s="24" t="str">
        <f>A1244&amp;"|"&amp;B1244</f>
        <v>Volkswagen|Jetta 4 PTAS</v>
      </c>
    </row>
    <row r="1245" ht="15" customHeight="1" spans="1:7" x14ac:dyDescent="0.25">
      <c r="A1245" s="23" t="s">
        <v>1432</v>
      </c>
      <c r="B1245" s="23" t="s">
        <v>1457</v>
      </c>
      <c r="C1245" s="23" t="s">
        <v>162</v>
      </c>
      <c r="D1245" s="23" t="s">
        <v>168</v>
      </c>
      <c r="E1245" s="23" t="s">
        <v>385</v>
      </c>
      <c r="F1245" s="23" t="s">
        <v>170</v>
      </c>
      <c r="G1245" s="24" t="str">
        <f>A1245&amp;"|"&amp;B1245</f>
        <v>Volkswagen|Jetta TDI</v>
      </c>
    </row>
    <row r="1246" ht="15" customHeight="1" spans="1:7" x14ac:dyDescent="0.25">
      <c r="A1246" s="23" t="s">
        <v>1432</v>
      </c>
      <c r="B1246" s="23" t="s">
        <v>1458</v>
      </c>
      <c r="C1246" s="23" t="s">
        <v>271</v>
      </c>
      <c r="D1246" s="23" t="s">
        <v>168</v>
      </c>
      <c r="E1246" s="23" t="s">
        <v>272</v>
      </c>
      <c r="F1246" s="23" t="s">
        <v>170</v>
      </c>
      <c r="G1246" s="24" t="str">
        <f>A1246&amp;"|"&amp;B1246</f>
        <v>Volkswagen|Lupo 2 Ptas</v>
      </c>
    </row>
    <row r="1247" ht="15" customHeight="1" spans="1:7" x14ac:dyDescent="0.25">
      <c r="A1247" s="23" t="s">
        <v>1432</v>
      </c>
      <c r="B1247" s="23" t="s">
        <v>1459</v>
      </c>
      <c r="C1247" s="23" t="s">
        <v>271</v>
      </c>
      <c r="D1247" s="23" t="s">
        <v>168</v>
      </c>
      <c r="E1247" s="23" t="s">
        <v>272</v>
      </c>
      <c r="F1247" s="23" t="s">
        <v>170</v>
      </c>
      <c r="G1247" s="24" t="str">
        <f>A1247&amp;"|"&amp;B1247</f>
        <v>Volkswagen|Lupo 4 Ptas</v>
      </c>
    </row>
    <row r="1248" ht="15" customHeight="1" spans="1:7" x14ac:dyDescent="0.25">
      <c r="A1248" s="23" t="s">
        <v>1432</v>
      </c>
      <c r="B1248" s="23" t="s">
        <v>1460</v>
      </c>
      <c r="C1248" s="23" t="s">
        <v>162</v>
      </c>
      <c r="D1248" s="23" t="s">
        <v>163</v>
      </c>
      <c r="E1248" s="23" t="s">
        <v>164</v>
      </c>
      <c r="F1248" s="23" t="s">
        <v>165</v>
      </c>
      <c r="G1248" s="24" t="str">
        <f>A1248&amp;"|"&amp;B1248</f>
        <v>Volkswagen|Nivus</v>
      </c>
    </row>
    <row r="1249" ht="15" customHeight="1" spans="1:7" x14ac:dyDescent="0.25">
      <c r="A1249" s="23" t="s">
        <v>1432</v>
      </c>
      <c r="B1249" s="23" t="s">
        <v>1461</v>
      </c>
      <c r="C1249" s="23" t="s">
        <v>162</v>
      </c>
      <c r="D1249" s="23" t="s">
        <v>168</v>
      </c>
      <c r="E1249" s="23" t="s">
        <v>385</v>
      </c>
      <c r="F1249" s="23" t="s">
        <v>170</v>
      </c>
      <c r="G1249" s="24" t="str">
        <f>A1249&amp;"|"&amp;B1249</f>
        <v>Volkswagen|Nuevo Jetta</v>
      </c>
    </row>
    <row r="1250" ht="15" customHeight="1" spans="1:7" x14ac:dyDescent="0.25">
      <c r="A1250" s="23" t="s">
        <v>1432</v>
      </c>
      <c r="B1250" s="23" t="s">
        <v>1462</v>
      </c>
      <c r="C1250" s="23" t="s">
        <v>162</v>
      </c>
      <c r="D1250" s="23" t="s">
        <v>168</v>
      </c>
      <c r="E1250" s="23" t="s">
        <v>385</v>
      </c>
      <c r="F1250" s="23" t="s">
        <v>170</v>
      </c>
      <c r="G1250" s="24" t="str">
        <f>A1250&amp;"|"&amp;B1250</f>
        <v>Volkswagen|Nuevo Jetta TDI</v>
      </c>
    </row>
    <row r="1251" ht="15" customHeight="1" spans="1:7" x14ac:dyDescent="0.25">
      <c r="A1251" s="23" t="s">
        <v>1432</v>
      </c>
      <c r="B1251" s="23" t="s">
        <v>1463</v>
      </c>
      <c r="C1251" s="23" t="s">
        <v>167</v>
      </c>
      <c r="D1251" s="23" t="s">
        <v>168</v>
      </c>
      <c r="E1251" s="23" t="s">
        <v>169</v>
      </c>
      <c r="F1251" s="23" t="s">
        <v>170</v>
      </c>
      <c r="G1251" s="24" t="str">
        <f>A1251&amp;"|"&amp;B1251</f>
        <v>Volkswagen|Passat</v>
      </c>
    </row>
    <row r="1252" ht="15" customHeight="1" spans="1:7" x14ac:dyDescent="0.25">
      <c r="A1252" s="23" t="s">
        <v>1432</v>
      </c>
      <c r="B1252" s="23" t="s">
        <v>1464</v>
      </c>
      <c r="C1252" s="23" t="s">
        <v>167</v>
      </c>
      <c r="D1252" s="23" t="s">
        <v>168</v>
      </c>
      <c r="E1252" s="23" t="s">
        <v>169</v>
      </c>
      <c r="F1252" s="23" t="s">
        <v>170</v>
      </c>
      <c r="G1252" s="24" t="str">
        <f>A1252&amp;"|"&amp;B1252</f>
        <v>Volkswagen|Passat Cc</v>
      </c>
    </row>
    <row r="1253" ht="15" customHeight="1" spans="1:7" x14ac:dyDescent="0.25">
      <c r="A1253" s="23" t="s">
        <v>1432</v>
      </c>
      <c r="B1253" s="23" t="s">
        <v>1465</v>
      </c>
      <c r="C1253" s="23" t="s">
        <v>271</v>
      </c>
      <c r="D1253" s="23" t="s">
        <v>168</v>
      </c>
      <c r="E1253" s="23" t="s">
        <v>272</v>
      </c>
      <c r="F1253" s="23" t="s">
        <v>170</v>
      </c>
      <c r="G1253" s="24" t="str">
        <f>A1253&amp;"|"&amp;B1253</f>
        <v>Volkswagen|Pointer 2 Ptas</v>
      </c>
    </row>
    <row r="1254" ht="15" customHeight="1" spans="1:7" x14ac:dyDescent="0.25">
      <c r="A1254" s="23" t="s">
        <v>1432</v>
      </c>
      <c r="B1254" s="23" t="s">
        <v>1466</v>
      </c>
      <c r="C1254" s="23" t="s">
        <v>271</v>
      </c>
      <c r="D1254" s="23" t="s">
        <v>168</v>
      </c>
      <c r="E1254" s="23" t="s">
        <v>272</v>
      </c>
      <c r="F1254" s="23" t="s">
        <v>170</v>
      </c>
      <c r="G1254" s="24" t="str">
        <f>A1254&amp;"|"&amp;B1254</f>
        <v>Volkswagen|Pointer 4 Ptas</v>
      </c>
    </row>
    <row r="1255" ht="15" customHeight="1" spans="1:7" x14ac:dyDescent="0.25">
      <c r="A1255" s="23" t="s">
        <v>1432</v>
      </c>
      <c r="B1255" s="23" t="s">
        <v>1467</v>
      </c>
      <c r="C1255" s="23" t="s">
        <v>162</v>
      </c>
      <c r="D1255" s="23" t="s">
        <v>163</v>
      </c>
      <c r="E1255" s="23" t="s">
        <v>275</v>
      </c>
      <c r="F1255" s="23" t="s">
        <v>165</v>
      </c>
      <c r="G1255" s="24" t="str">
        <f>A1255&amp;"|"&amp;B1255</f>
        <v>Volkswagen|Pointer Pick Up</v>
      </c>
    </row>
    <row r="1256" ht="15" customHeight="1" spans="1:7" x14ac:dyDescent="0.25">
      <c r="A1256" s="23" t="s">
        <v>1432</v>
      </c>
      <c r="B1256" s="23" t="s">
        <v>1468</v>
      </c>
      <c r="C1256" s="23" t="s">
        <v>162</v>
      </c>
      <c r="D1256" s="23" t="s">
        <v>168</v>
      </c>
      <c r="E1256" s="23" t="s">
        <v>385</v>
      </c>
      <c r="F1256" s="23" t="s">
        <v>170</v>
      </c>
      <c r="G1256" s="24" t="str">
        <f>A1256&amp;"|"&amp;B1256</f>
        <v>Volkswagen|Pointer Wagon</v>
      </c>
    </row>
    <row r="1257" ht="15" customHeight="1" spans="1:7" x14ac:dyDescent="0.25">
      <c r="A1257" s="23" t="s">
        <v>1432</v>
      </c>
      <c r="B1257" s="23" t="s">
        <v>1469</v>
      </c>
      <c r="C1257" s="23" t="s">
        <v>271</v>
      </c>
      <c r="D1257" s="23" t="s">
        <v>168</v>
      </c>
      <c r="E1257" s="23" t="s">
        <v>272</v>
      </c>
      <c r="F1257" s="23" t="s">
        <v>170</v>
      </c>
      <c r="G1257" s="24" t="str">
        <f>A1257&amp;"|"&amp;B1257</f>
        <v>Volkswagen|Polo 4 Ptas</v>
      </c>
    </row>
    <row r="1258" ht="15" customHeight="1" spans="1:7" x14ac:dyDescent="0.25">
      <c r="A1258" s="23" t="s">
        <v>1432</v>
      </c>
      <c r="B1258" s="23" t="s">
        <v>1470</v>
      </c>
      <c r="C1258" s="23" t="s">
        <v>271</v>
      </c>
      <c r="D1258" s="23" t="s">
        <v>168</v>
      </c>
      <c r="E1258" s="23" t="s">
        <v>272</v>
      </c>
      <c r="F1258" s="23" t="s">
        <v>170</v>
      </c>
      <c r="G1258" s="24" t="str">
        <f>A1258&amp;"|"&amp;B1258</f>
        <v>Volkswagen|Polo 5 Ptas</v>
      </c>
    </row>
    <row r="1259" ht="15" customHeight="1" spans="1:7" x14ac:dyDescent="0.25">
      <c r="A1259" s="23" t="s">
        <v>1432</v>
      </c>
      <c r="B1259" s="23" t="s">
        <v>1471</v>
      </c>
      <c r="C1259" s="23" t="s">
        <v>271</v>
      </c>
      <c r="D1259" s="23" t="s">
        <v>168</v>
      </c>
      <c r="E1259" s="23" t="s">
        <v>272</v>
      </c>
      <c r="F1259" s="23" t="s">
        <v>170</v>
      </c>
      <c r="G1259" s="24" t="str">
        <f>A1259&amp;"|"&amp;B1259</f>
        <v>Volkswagen|Polo GTI</v>
      </c>
    </row>
    <row r="1260" ht="15" customHeight="1" spans="1:7" x14ac:dyDescent="0.25">
      <c r="A1260" s="23" t="s">
        <v>1432</v>
      </c>
      <c r="B1260" s="23" t="s">
        <v>1472</v>
      </c>
      <c r="C1260" s="23" t="s">
        <v>271</v>
      </c>
      <c r="D1260" s="23" t="s">
        <v>163</v>
      </c>
      <c r="E1260" s="23" t="s">
        <v>277</v>
      </c>
      <c r="F1260" s="23" t="s">
        <v>165</v>
      </c>
      <c r="G1260" s="24" t="str">
        <f>A1260&amp;"|"&amp;B1260</f>
        <v>Volkswagen|Routan</v>
      </c>
    </row>
    <row r="1261" ht="15" customHeight="1" spans="1:7" x14ac:dyDescent="0.25">
      <c r="A1261" s="23" t="s">
        <v>1432</v>
      </c>
      <c r="B1261" s="23" t="s">
        <v>1473</v>
      </c>
      <c r="C1261" s="23" t="s">
        <v>162</v>
      </c>
      <c r="D1261" s="23" t="s">
        <v>163</v>
      </c>
      <c r="E1261" s="23" t="s">
        <v>275</v>
      </c>
      <c r="F1261" s="23" t="s">
        <v>165</v>
      </c>
      <c r="G1261" s="24" t="str">
        <f>A1261&amp;"|"&amp;B1261</f>
        <v>Volkswagen|Saveiro</v>
      </c>
    </row>
    <row r="1262" ht="15" customHeight="1" spans="1:7" x14ac:dyDescent="0.25">
      <c r="A1262" s="23" t="s">
        <v>1432</v>
      </c>
      <c r="B1262" s="23" t="s">
        <v>1474</v>
      </c>
      <c r="C1262" s="23" t="s">
        <v>271</v>
      </c>
      <c r="D1262" s="23" t="s">
        <v>168</v>
      </c>
      <c r="E1262" s="23" t="s">
        <v>272</v>
      </c>
      <c r="F1262" s="23" t="s">
        <v>170</v>
      </c>
      <c r="G1262" s="24" t="str">
        <f>A1262&amp;"|"&amp;B1262</f>
        <v>Volkswagen|Sedan</v>
      </c>
    </row>
    <row r="1263" ht="15" customHeight="1" spans="1:7" x14ac:dyDescent="0.25">
      <c r="A1263" s="23" t="s">
        <v>1432</v>
      </c>
      <c r="B1263" s="23" t="s">
        <v>1475</v>
      </c>
      <c r="C1263" s="23" t="s">
        <v>271</v>
      </c>
      <c r="D1263" s="23" t="s">
        <v>163</v>
      </c>
      <c r="E1263" s="23" t="s">
        <v>277</v>
      </c>
      <c r="F1263" s="23" t="s">
        <v>165</v>
      </c>
      <c r="G1263" s="24" t="str">
        <f>A1263&amp;"|"&amp;B1263</f>
        <v>Volkswagen|Sharan</v>
      </c>
    </row>
    <row r="1264" ht="15" customHeight="1" spans="1:7" x14ac:dyDescent="0.25">
      <c r="A1264" s="23" t="s">
        <v>1432</v>
      </c>
      <c r="B1264" s="23" t="s">
        <v>1476</v>
      </c>
      <c r="C1264" s="23" t="s">
        <v>162</v>
      </c>
      <c r="D1264" s="23" t="s">
        <v>168</v>
      </c>
      <c r="E1264" s="23" t="s">
        <v>385</v>
      </c>
      <c r="F1264" s="23" t="s">
        <v>170</v>
      </c>
      <c r="G1264" s="24" t="str">
        <f>A1264&amp;"|"&amp;B1264</f>
        <v>Volkswagen|Sport Van</v>
      </c>
    </row>
    <row r="1265" ht="15" customHeight="1" spans="1:7" x14ac:dyDescent="0.25">
      <c r="A1265" s="23" t="s">
        <v>1432</v>
      </c>
      <c r="B1265" s="23" t="s">
        <v>1477</v>
      </c>
      <c r="C1265" s="23" t="s">
        <v>162</v>
      </c>
      <c r="D1265" s="23" t="s">
        <v>168</v>
      </c>
      <c r="E1265" s="23" t="s">
        <v>385</v>
      </c>
      <c r="F1265" s="23" t="s">
        <v>170</v>
      </c>
      <c r="G1265" s="24" t="str">
        <f>A1265&amp;"|"&amp;B1265</f>
        <v>Volkswagen|Sportwagen</v>
      </c>
    </row>
    <row r="1266" ht="15" customHeight="1" spans="1:7" x14ac:dyDescent="0.25">
      <c r="A1266" s="23" t="s">
        <v>1432</v>
      </c>
      <c r="B1266" s="23" t="s">
        <v>1478</v>
      </c>
      <c r="C1266" s="23" t="s">
        <v>162</v>
      </c>
      <c r="D1266" s="23" t="s">
        <v>163</v>
      </c>
      <c r="E1266" s="23" t="s">
        <v>164</v>
      </c>
      <c r="F1266" s="23" t="s">
        <v>165</v>
      </c>
      <c r="G1266" s="24" t="str">
        <f>A1266&amp;"|"&amp;B1266</f>
        <v>Volkswagen|T-Cross</v>
      </c>
    </row>
    <row r="1267" ht="15" customHeight="1" spans="1:7" x14ac:dyDescent="0.25">
      <c r="A1267" s="23" t="s">
        <v>1432</v>
      </c>
      <c r="B1267" s="23" t="s">
        <v>1479</v>
      </c>
      <c r="C1267" s="23" t="s">
        <v>162</v>
      </c>
      <c r="D1267" s="23" t="s">
        <v>163</v>
      </c>
      <c r="E1267" s="23" t="s">
        <v>164</v>
      </c>
      <c r="F1267" s="23" t="s">
        <v>165</v>
      </c>
      <c r="G1267" s="24" t="str">
        <f>A1267&amp;"|"&amp;B1267</f>
        <v>Volkswagen|Taigun</v>
      </c>
    </row>
    <row r="1268" ht="15" customHeight="1" spans="1:7" x14ac:dyDescent="0.25">
      <c r="A1268" s="23" t="s">
        <v>1432</v>
      </c>
      <c r="B1268" s="23" t="s">
        <v>1480</v>
      </c>
      <c r="C1268" s="23" t="s">
        <v>162</v>
      </c>
      <c r="D1268" s="23" t="s">
        <v>163</v>
      </c>
      <c r="E1268" s="23" t="s">
        <v>164</v>
      </c>
      <c r="F1268" s="23" t="s">
        <v>165</v>
      </c>
      <c r="G1268" s="24" t="str">
        <f>A1268&amp;"|"&amp;B1268</f>
        <v>Volkswagen|Taos</v>
      </c>
    </row>
    <row r="1269" ht="15" customHeight="1" spans="1:7" x14ac:dyDescent="0.25">
      <c r="A1269" s="23" t="s">
        <v>1432</v>
      </c>
      <c r="B1269" s="23" t="s">
        <v>1481</v>
      </c>
      <c r="C1269" s="23" t="s">
        <v>162</v>
      </c>
      <c r="D1269" s="23" t="s">
        <v>163</v>
      </c>
      <c r="E1269" s="23" t="s">
        <v>164</v>
      </c>
      <c r="F1269" s="23" t="s">
        <v>165</v>
      </c>
      <c r="G1269" s="24" t="str">
        <f>A1269&amp;"|"&amp;B1269</f>
        <v>Volkswagen|Teramont</v>
      </c>
    </row>
    <row r="1270" ht="15" customHeight="1" spans="1:7" x14ac:dyDescent="0.25">
      <c r="A1270" s="23" t="s">
        <v>1432</v>
      </c>
      <c r="B1270" s="23" t="s">
        <v>1482</v>
      </c>
      <c r="C1270" s="23" t="s">
        <v>162</v>
      </c>
      <c r="D1270" s="23" t="s">
        <v>163</v>
      </c>
      <c r="E1270" s="23" t="s">
        <v>164</v>
      </c>
      <c r="F1270" s="23" t="s">
        <v>165</v>
      </c>
      <c r="G1270" s="24" t="str">
        <f>A1270&amp;"|"&amp;B1270</f>
        <v>Volkswagen|Tiguan</v>
      </c>
    </row>
    <row r="1271" ht="15" customHeight="1" spans="1:7" x14ac:dyDescent="0.25">
      <c r="A1271" s="23" t="s">
        <v>1432</v>
      </c>
      <c r="B1271" s="23" t="s">
        <v>1483</v>
      </c>
      <c r="C1271" s="23" t="s">
        <v>162</v>
      </c>
      <c r="D1271" s="23" t="s">
        <v>163</v>
      </c>
      <c r="E1271" s="23" t="s">
        <v>164</v>
      </c>
      <c r="F1271" s="23" t="s">
        <v>165</v>
      </c>
      <c r="G1271" s="24" t="str">
        <f>A1271&amp;"|"&amp;B1271</f>
        <v>Volkswagen|Tiguan-</v>
      </c>
    </row>
    <row r="1272" ht="15" customHeight="1" spans="1:7" x14ac:dyDescent="0.25">
      <c r="A1272" s="23" t="s">
        <v>1432</v>
      </c>
      <c r="B1272" s="23" t="s">
        <v>1484</v>
      </c>
      <c r="C1272" s="23" t="s">
        <v>162</v>
      </c>
      <c r="D1272" s="23" t="s">
        <v>163</v>
      </c>
      <c r="E1272" s="23" t="s">
        <v>164</v>
      </c>
      <c r="F1272" s="23" t="s">
        <v>165</v>
      </c>
      <c r="G1272" s="24" t="str">
        <f>A1272&amp;"|"&amp;B1272</f>
        <v>Volkswagen|Touareg</v>
      </c>
    </row>
    <row r="1273" ht="15" customHeight="1" spans="1:7" x14ac:dyDescent="0.25">
      <c r="A1273" s="23" t="s">
        <v>1432</v>
      </c>
      <c r="B1273" s="23" t="s">
        <v>1485</v>
      </c>
      <c r="C1273" s="23" t="s">
        <v>162</v>
      </c>
      <c r="D1273" s="23" t="s">
        <v>163</v>
      </c>
      <c r="E1273" s="23" t="s">
        <v>164</v>
      </c>
      <c r="F1273" s="23" t="s">
        <v>165</v>
      </c>
      <c r="G1273" s="24" t="str">
        <f>A1273&amp;"|"&amp;B1273</f>
        <v>Volkswagen|Transporter Carga</v>
      </c>
    </row>
    <row r="1274" ht="15" customHeight="1" spans="1:7" x14ac:dyDescent="0.25">
      <c r="A1274" s="23" t="s">
        <v>1432</v>
      </c>
      <c r="B1274" s="23" t="s">
        <v>1486</v>
      </c>
      <c r="C1274" s="23" t="s">
        <v>162</v>
      </c>
      <c r="D1274" s="23" t="s">
        <v>163</v>
      </c>
      <c r="E1274" s="23" t="s">
        <v>164</v>
      </c>
      <c r="F1274" s="23" t="s">
        <v>165</v>
      </c>
      <c r="G1274" s="24" t="str">
        <f>A1274&amp;"|"&amp;B1274</f>
        <v>Volkswagen|Transporter Pasajeros</v>
      </c>
    </row>
    <row r="1275" ht="15" customHeight="1" spans="1:7" x14ac:dyDescent="0.25">
      <c r="A1275" s="23" t="s">
        <v>1432</v>
      </c>
      <c r="B1275" s="23" t="s">
        <v>1487</v>
      </c>
      <c r="C1275" s="23" t="s">
        <v>271</v>
      </c>
      <c r="D1275" s="23" t="s">
        <v>168</v>
      </c>
      <c r="E1275" s="23" t="s">
        <v>272</v>
      </c>
      <c r="F1275" s="23" t="s">
        <v>170</v>
      </c>
      <c r="G1275" s="24" t="str">
        <f>A1275&amp;"|"&amp;B1275</f>
        <v>Volkswagen|UP!</v>
      </c>
    </row>
    <row r="1276" ht="15" customHeight="1" spans="1:7" x14ac:dyDescent="0.25">
      <c r="A1276" s="23" t="s">
        <v>1432</v>
      </c>
      <c r="B1276" s="23" t="s">
        <v>1488</v>
      </c>
      <c r="C1276" s="23" t="s">
        <v>271</v>
      </c>
      <c r="D1276" s="23" t="s">
        <v>168</v>
      </c>
      <c r="E1276" s="23" t="s">
        <v>272</v>
      </c>
      <c r="F1276" s="23" t="s">
        <v>170</v>
      </c>
      <c r="G1276" s="24" t="str">
        <f>A1276&amp;"|"&amp;B1276</f>
        <v>Volkswagen|Vento</v>
      </c>
    </row>
    <row r="1277" ht="15" customHeight="1" spans="1:7" x14ac:dyDescent="0.25">
      <c r="A1277" s="23" t="s">
        <v>1432</v>
      </c>
      <c r="B1277" s="23" t="s">
        <v>1489</v>
      </c>
      <c r="C1277" s="23" t="s">
        <v>271</v>
      </c>
      <c r="D1277" s="23" t="s">
        <v>168</v>
      </c>
      <c r="E1277" s="23" t="s">
        <v>272</v>
      </c>
      <c r="F1277" s="23" t="s">
        <v>170</v>
      </c>
      <c r="G1277" s="24" t="str">
        <f>A1277&amp;"|"&amp;B1277</f>
        <v>Volkswagen|Virtus</v>
      </c>
    </row>
    <row r="1278" ht="15" customHeight="1" spans="1:7" x14ac:dyDescent="0.25">
      <c r="A1278" s="23" t="s">
        <v>1432</v>
      </c>
      <c r="B1278" s="23" t="s">
        <v>1490</v>
      </c>
      <c r="C1278" s="23" t="s">
        <v>162</v>
      </c>
      <c r="D1278" s="23" t="s">
        <v>163</v>
      </c>
      <c r="E1278" s="23" t="s">
        <v>275</v>
      </c>
      <c r="F1278" s="23" t="s">
        <v>165</v>
      </c>
      <c r="G1278" s="24" t="str">
        <f>A1278&amp;"|"&amp;B1278</f>
        <v>Volkswagen|Volkswagen Caddy</v>
      </c>
    </row>
    <row r="1279" ht="15" customHeight="1" spans="1:7" x14ac:dyDescent="0.25">
      <c r="A1279" s="23" t="s">
        <v>1432</v>
      </c>
      <c r="B1279" s="23" t="s">
        <v>1491</v>
      </c>
      <c r="C1279" s="23" t="s">
        <v>271</v>
      </c>
      <c r="D1279" s="23" t="s">
        <v>168</v>
      </c>
      <c r="E1279" s="23" t="s">
        <v>272</v>
      </c>
      <c r="F1279" s="23" t="s">
        <v>170</v>
      </c>
      <c r="G1279" s="24" t="str">
        <f>A1279&amp;"|"&amp;B1279</f>
        <v>Volkswagen|Volkswagen Tera</v>
      </c>
    </row>
    <row r="1280" ht="15" customHeight="1" spans="1:7" x14ac:dyDescent="0.25">
      <c r="A1280" s="23" t="s">
        <v>1432</v>
      </c>
      <c r="B1280" s="23" t="s">
        <v>1492</v>
      </c>
      <c r="C1280" s="23" t="s">
        <v>162</v>
      </c>
      <c r="D1280" s="23" t="s">
        <v>163</v>
      </c>
      <c r="E1280" s="23" t="s">
        <v>275</v>
      </c>
      <c r="F1280" s="23" t="s">
        <v>165</v>
      </c>
      <c r="G1280" s="24" t="str">
        <f>A1280&amp;"|"&amp;B1280</f>
        <v>Volkswagen|Vw Van</v>
      </c>
    </row>
    <row r="1281" ht="15" customHeight="1" spans="1:7" x14ac:dyDescent="0.25">
      <c r="A1281" s="23" t="s">
        <v>1493</v>
      </c>
      <c r="B1281" s="23" t="s">
        <v>1494</v>
      </c>
      <c r="C1281" s="23" t="s">
        <v>167</v>
      </c>
      <c r="D1281" s="23" t="s">
        <v>168</v>
      </c>
      <c r="E1281" s="23" t="s">
        <v>169</v>
      </c>
      <c r="F1281" s="23" t="s">
        <v>170</v>
      </c>
      <c r="G1281" s="24" t="str">
        <f>A1281&amp;"|"&amp;B1281</f>
        <v>Volvo|C30 2.4i</v>
      </c>
    </row>
    <row r="1282" ht="15" customHeight="1" spans="1:7" x14ac:dyDescent="0.25">
      <c r="A1282" s="23" t="s">
        <v>1493</v>
      </c>
      <c r="B1282" s="23" t="s">
        <v>1495</v>
      </c>
      <c r="C1282" s="23" t="s">
        <v>167</v>
      </c>
      <c r="D1282" s="23" t="s">
        <v>168</v>
      </c>
      <c r="E1282" s="23" t="s">
        <v>169</v>
      </c>
      <c r="F1282" s="23" t="s">
        <v>170</v>
      </c>
      <c r="G1282" s="24" t="str">
        <f>A1282&amp;"|"&amp;B1282</f>
        <v>Volvo|C30 T5</v>
      </c>
    </row>
    <row r="1283" ht="15" customHeight="1" spans="1:7" x14ac:dyDescent="0.25">
      <c r="A1283" s="23" t="s">
        <v>1493</v>
      </c>
      <c r="B1283" s="23" t="s">
        <v>1496</v>
      </c>
      <c r="C1283" s="23" t="s">
        <v>167</v>
      </c>
      <c r="D1283" s="23" t="s">
        <v>168</v>
      </c>
      <c r="E1283" s="23" t="s">
        <v>169</v>
      </c>
      <c r="F1283" s="23" t="s">
        <v>170</v>
      </c>
      <c r="G1283" s="24" t="str">
        <f>A1283&amp;"|"&amp;B1283</f>
        <v>Volvo|C40</v>
      </c>
    </row>
    <row r="1284" ht="15" customHeight="1" spans="1:7" x14ac:dyDescent="0.25">
      <c r="A1284" s="23" t="s">
        <v>1493</v>
      </c>
      <c r="B1284" s="23" t="s">
        <v>1497</v>
      </c>
      <c r="C1284" s="23" t="s">
        <v>167</v>
      </c>
      <c r="D1284" s="23" t="s">
        <v>168</v>
      </c>
      <c r="E1284" s="23" t="s">
        <v>169</v>
      </c>
      <c r="F1284" s="23" t="s">
        <v>170</v>
      </c>
      <c r="G1284" s="24" t="str">
        <f>A1284&amp;"|"&amp;B1284</f>
        <v>Volvo|C70 Cabrio</v>
      </c>
    </row>
    <row r="1285" ht="15" customHeight="1" spans="1:7" x14ac:dyDescent="0.25">
      <c r="A1285" s="23" t="s">
        <v>1493</v>
      </c>
      <c r="B1285" s="23" t="s">
        <v>1498</v>
      </c>
      <c r="C1285" s="23" t="s">
        <v>167</v>
      </c>
      <c r="D1285" s="23" t="s">
        <v>168</v>
      </c>
      <c r="E1285" s="23" t="s">
        <v>169</v>
      </c>
      <c r="F1285" s="23" t="s">
        <v>170</v>
      </c>
      <c r="G1285" s="24" t="str">
        <f>A1285&amp;"|"&amp;B1285</f>
        <v>Volvo|C70 T5</v>
      </c>
    </row>
    <row r="1286" ht="15" customHeight="1" spans="1:7" x14ac:dyDescent="0.25">
      <c r="A1286" s="23" t="s">
        <v>1493</v>
      </c>
      <c r="B1286" s="23" t="s">
        <v>1499</v>
      </c>
      <c r="C1286" s="23" t="s">
        <v>162</v>
      </c>
      <c r="D1286" s="23" t="s">
        <v>163</v>
      </c>
      <c r="E1286" s="23" t="s">
        <v>164</v>
      </c>
      <c r="F1286" s="23" t="s">
        <v>165</v>
      </c>
      <c r="G1286" s="24" t="str">
        <f>A1286&amp;"|"&amp;B1286</f>
        <v>Volvo|EX30</v>
      </c>
    </row>
    <row r="1287" ht="15" customHeight="1" spans="1:7" x14ac:dyDescent="0.25">
      <c r="A1287" s="23" t="s">
        <v>1493</v>
      </c>
      <c r="B1287" s="23" t="s">
        <v>1500</v>
      </c>
      <c r="C1287" s="23" t="s">
        <v>162</v>
      </c>
      <c r="D1287" s="23" t="s">
        <v>163</v>
      </c>
      <c r="E1287" s="23" t="s">
        <v>164</v>
      </c>
      <c r="F1287" s="23" t="s">
        <v>165</v>
      </c>
      <c r="G1287" s="24" t="str">
        <f>A1287&amp;"|"&amp;B1287</f>
        <v>Volvo|EX90</v>
      </c>
    </row>
    <row r="1288" ht="15" customHeight="1" spans="1:7" x14ac:dyDescent="0.25">
      <c r="A1288" s="23" t="s">
        <v>1493</v>
      </c>
      <c r="B1288" s="23" t="s">
        <v>1501</v>
      </c>
      <c r="C1288" s="23" t="s">
        <v>167</v>
      </c>
      <c r="D1288" s="23" t="s">
        <v>168</v>
      </c>
      <c r="E1288" s="23" t="s">
        <v>175</v>
      </c>
      <c r="F1288" s="23" t="s">
        <v>170</v>
      </c>
      <c r="G1288" s="24" t="str">
        <f>A1288&amp;"|"&amp;B1288</f>
        <v>Volvo|S 60 1.6</v>
      </c>
    </row>
    <row r="1289" ht="15" customHeight="1" spans="1:7" x14ac:dyDescent="0.25">
      <c r="A1289" s="23" t="s">
        <v>1493</v>
      </c>
      <c r="B1289" s="23" t="s">
        <v>1502</v>
      </c>
      <c r="C1289" s="23" t="s">
        <v>167</v>
      </c>
      <c r="D1289" s="23" t="s">
        <v>168</v>
      </c>
      <c r="E1289" s="23" t="s">
        <v>169</v>
      </c>
      <c r="F1289" s="23" t="s">
        <v>170</v>
      </c>
      <c r="G1289" s="24" t="str">
        <f>A1289&amp;"|"&amp;B1289</f>
        <v>Volvo|S40 2.0t</v>
      </c>
    </row>
    <row r="1290" ht="15" customHeight="1" spans="1:7" x14ac:dyDescent="0.25">
      <c r="A1290" s="23" t="s">
        <v>1493</v>
      </c>
      <c r="B1290" s="23" t="s">
        <v>1503</v>
      </c>
      <c r="C1290" s="23" t="s">
        <v>167</v>
      </c>
      <c r="D1290" s="23" t="s">
        <v>168</v>
      </c>
      <c r="E1290" s="23" t="s">
        <v>169</v>
      </c>
      <c r="F1290" s="23" t="s">
        <v>170</v>
      </c>
      <c r="G1290" s="24" t="str">
        <f>A1290&amp;"|"&amp;B1290</f>
        <v>Volvo|S40 T5</v>
      </c>
    </row>
    <row r="1291" ht="15" customHeight="1" spans="1:7" x14ac:dyDescent="0.25">
      <c r="A1291" s="23" t="s">
        <v>1493</v>
      </c>
      <c r="B1291" s="23" t="s">
        <v>1504</v>
      </c>
      <c r="C1291" s="23" t="s">
        <v>167</v>
      </c>
      <c r="D1291" s="23" t="s">
        <v>168</v>
      </c>
      <c r="E1291" s="23" t="s">
        <v>169</v>
      </c>
      <c r="F1291" s="23" t="s">
        <v>170</v>
      </c>
      <c r="G1291" s="24" t="str">
        <f>A1291&amp;"|"&amp;B1291</f>
        <v>Volvo|S60</v>
      </c>
    </row>
    <row r="1292" ht="15" customHeight="1" spans="1:7" x14ac:dyDescent="0.25">
      <c r="A1292" s="23" t="s">
        <v>1493</v>
      </c>
      <c r="B1292" s="23" t="s">
        <v>1505</v>
      </c>
      <c r="C1292" s="23" t="s">
        <v>167</v>
      </c>
      <c r="D1292" s="23" t="s">
        <v>168</v>
      </c>
      <c r="E1292" s="23" t="s">
        <v>169</v>
      </c>
      <c r="F1292" s="23" t="s">
        <v>170</v>
      </c>
      <c r="G1292" s="24" t="str">
        <f>A1292&amp;"|"&amp;B1292</f>
        <v>Volvo|S60 2.5t</v>
      </c>
    </row>
    <row r="1293" ht="15" customHeight="1" spans="1:7" x14ac:dyDescent="0.25">
      <c r="A1293" s="23" t="s">
        <v>1493</v>
      </c>
      <c r="B1293" s="23" t="s">
        <v>1506</v>
      </c>
      <c r="C1293" s="23" t="s">
        <v>167</v>
      </c>
      <c r="D1293" s="23" t="s">
        <v>168</v>
      </c>
      <c r="E1293" s="23" t="s">
        <v>169</v>
      </c>
      <c r="F1293" s="23" t="s">
        <v>170</v>
      </c>
      <c r="G1293" s="24" t="str">
        <f>A1293&amp;"|"&amp;B1293</f>
        <v>Volvo|S60 CC</v>
      </c>
    </row>
    <row r="1294" ht="15" customHeight="1" spans="1:7" x14ac:dyDescent="0.25">
      <c r="A1294" s="23" t="s">
        <v>1493</v>
      </c>
      <c r="B1294" s="23" t="s">
        <v>1507</v>
      </c>
      <c r="C1294" s="23" t="s">
        <v>167</v>
      </c>
      <c r="D1294" s="23" t="s">
        <v>168</v>
      </c>
      <c r="E1294" s="23" t="s">
        <v>169</v>
      </c>
      <c r="F1294" s="23" t="s">
        <v>170</v>
      </c>
      <c r="G1294" s="24" t="str">
        <f>A1294&amp;"|"&amp;B1294</f>
        <v>Volvo|S60 II</v>
      </c>
    </row>
    <row r="1295" ht="15" customHeight="1" spans="1:7" x14ac:dyDescent="0.25">
      <c r="A1295" s="23" t="s">
        <v>1493</v>
      </c>
      <c r="B1295" s="23" t="s">
        <v>1508</v>
      </c>
      <c r="C1295" s="23" t="s">
        <v>167</v>
      </c>
      <c r="D1295" s="23" t="s">
        <v>168</v>
      </c>
      <c r="E1295" s="23" t="s">
        <v>169</v>
      </c>
      <c r="F1295" s="23" t="s">
        <v>170</v>
      </c>
      <c r="G1295" s="24" t="str">
        <f>A1295&amp;"|"&amp;B1295</f>
        <v>Volvo|S60 III</v>
      </c>
    </row>
    <row r="1296" ht="15" customHeight="1" spans="1:7" x14ac:dyDescent="0.25">
      <c r="A1296" s="23" t="s">
        <v>1493</v>
      </c>
      <c r="B1296" s="23" t="s">
        <v>1509</v>
      </c>
      <c r="C1296" s="23" t="s">
        <v>167</v>
      </c>
      <c r="D1296" s="23" t="s">
        <v>168</v>
      </c>
      <c r="E1296" s="23" t="s">
        <v>169</v>
      </c>
      <c r="F1296" s="23" t="s">
        <v>170</v>
      </c>
      <c r="G1296" s="24" t="str">
        <f>A1296&amp;"|"&amp;B1296</f>
        <v>Volvo|S60 R</v>
      </c>
    </row>
    <row r="1297" ht="15" customHeight="1" spans="1:7" x14ac:dyDescent="0.25">
      <c r="A1297" s="23" t="s">
        <v>1493</v>
      </c>
      <c r="B1297" s="23" t="s">
        <v>1510</v>
      </c>
      <c r="C1297" s="23" t="s">
        <v>167</v>
      </c>
      <c r="D1297" s="23" t="s">
        <v>168</v>
      </c>
      <c r="E1297" s="23" t="s">
        <v>169</v>
      </c>
      <c r="F1297" s="23" t="s">
        <v>170</v>
      </c>
      <c r="G1297" s="24" t="str">
        <f>A1297&amp;"|"&amp;B1297</f>
        <v>Volvo|S60 T6</v>
      </c>
    </row>
    <row r="1298" ht="15" customHeight="1" spans="1:7" x14ac:dyDescent="0.25">
      <c r="A1298" s="23" t="s">
        <v>1493</v>
      </c>
      <c r="B1298" s="23" t="s">
        <v>1511</v>
      </c>
      <c r="C1298" s="23" t="s">
        <v>167</v>
      </c>
      <c r="D1298" s="23" t="s">
        <v>168</v>
      </c>
      <c r="E1298" s="23" t="s">
        <v>169</v>
      </c>
      <c r="F1298" s="23" t="s">
        <v>170</v>
      </c>
      <c r="G1298" s="24" t="str">
        <f>A1298&amp;"|"&amp;B1298</f>
        <v>Volvo|S80 2.5t</v>
      </c>
    </row>
    <row r="1299" ht="15" customHeight="1" spans="1:7" x14ac:dyDescent="0.25">
      <c r="A1299" s="23" t="s">
        <v>1493</v>
      </c>
      <c r="B1299" s="23" t="s">
        <v>1512</v>
      </c>
      <c r="C1299" s="23" t="s">
        <v>167</v>
      </c>
      <c r="D1299" s="23" t="s">
        <v>168</v>
      </c>
      <c r="E1299" s="23" t="s">
        <v>169</v>
      </c>
      <c r="F1299" s="23" t="s">
        <v>170</v>
      </c>
      <c r="G1299" s="24" t="str">
        <f>A1299&amp;"|"&amp;B1299</f>
        <v>Volvo|S80 3.2</v>
      </c>
    </row>
    <row r="1300" ht="15" customHeight="1" spans="1:7" x14ac:dyDescent="0.25">
      <c r="A1300" s="23" t="s">
        <v>1493</v>
      </c>
      <c r="B1300" s="23" t="s">
        <v>1513</v>
      </c>
      <c r="C1300" s="23" t="s">
        <v>167</v>
      </c>
      <c r="D1300" s="23" t="s">
        <v>168</v>
      </c>
      <c r="E1300" s="23" t="s">
        <v>169</v>
      </c>
      <c r="F1300" s="23" t="s">
        <v>170</v>
      </c>
      <c r="G1300" s="24" t="str">
        <f>A1300&amp;"|"&amp;B1300</f>
        <v>Volvo|S80 T6</v>
      </c>
    </row>
    <row r="1301" ht="15" customHeight="1" spans="1:7" x14ac:dyDescent="0.25">
      <c r="A1301" s="23" t="s">
        <v>1493</v>
      </c>
      <c r="B1301" s="23" t="s">
        <v>1514</v>
      </c>
      <c r="C1301" s="23" t="s">
        <v>167</v>
      </c>
      <c r="D1301" s="23" t="s">
        <v>168</v>
      </c>
      <c r="E1301" s="23" t="s">
        <v>169</v>
      </c>
      <c r="F1301" s="23" t="s">
        <v>170</v>
      </c>
      <c r="G1301" s="24" t="str">
        <f>A1301&amp;"|"&amp;B1301</f>
        <v>Volvo|S80 V8</v>
      </c>
    </row>
    <row r="1302" ht="15" customHeight="1" spans="1:7" x14ac:dyDescent="0.25">
      <c r="A1302" s="23" t="s">
        <v>1493</v>
      </c>
      <c r="B1302" s="23" t="s">
        <v>1515</v>
      </c>
      <c r="C1302" s="23" t="s">
        <v>167</v>
      </c>
      <c r="D1302" s="23" t="s">
        <v>168</v>
      </c>
      <c r="E1302" s="23" t="s">
        <v>169</v>
      </c>
      <c r="F1302" s="23" t="s">
        <v>170</v>
      </c>
      <c r="G1302" s="24" t="str">
        <f>A1302&amp;"|"&amp;B1302</f>
        <v>Volvo|S90</v>
      </c>
    </row>
    <row r="1303" ht="15" customHeight="1" spans="1:7" x14ac:dyDescent="0.25">
      <c r="A1303" s="23" t="s">
        <v>1493</v>
      </c>
      <c r="B1303" s="23" t="s">
        <v>1516</v>
      </c>
      <c r="C1303" s="23" t="s">
        <v>167</v>
      </c>
      <c r="D1303" s="23" t="s">
        <v>168</v>
      </c>
      <c r="E1303" s="23" t="s">
        <v>169</v>
      </c>
      <c r="F1303" s="23" t="s">
        <v>170</v>
      </c>
      <c r="G1303" s="24" t="str">
        <f>A1303&amp;"|"&amp;B1303</f>
        <v>Volvo|V40</v>
      </c>
    </row>
    <row r="1304" ht="15" customHeight="1" spans="1:7" x14ac:dyDescent="0.25">
      <c r="A1304" s="23" t="s">
        <v>1493</v>
      </c>
      <c r="B1304" s="23" t="s">
        <v>1517</v>
      </c>
      <c r="C1304" s="23" t="s">
        <v>167</v>
      </c>
      <c r="D1304" s="23" t="s">
        <v>168</v>
      </c>
      <c r="E1304" s="23" t="s">
        <v>169</v>
      </c>
      <c r="F1304" s="23" t="s">
        <v>170</v>
      </c>
      <c r="G1304" s="24" t="str">
        <f>A1304&amp;"|"&amp;B1304</f>
        <v>Volvo|V40 II</v>
      </c>
    </row>
    <row r="1305" ht="15" customHeight="1" spans="1:7" x14ac:dyDescent="0.25">
      <c r="A1305" s="23" t="s">
        <v>1493</v>
      </c>
      <c r="B1305" s="23" t="s">
        <v>1518</v>
      </c>
      <c r="C1305" s="23" t="s">
        <v>167</v>
      </c>
      <c r="D1305" s="23" t="s">
        <v>168</v>
      </c>
      <c r="E1305" s="23" t="s">
        <v>169</v>
      </c>
      <c r="F1305" s="23" t="s">
        <v>170</v>
      </c>
      <c r="G1305" s="24" t="str">
        <f>A1305&amp;"|"&amp;B1305</f>
        <v>Volvo|V40 T4</v>
      </c>
    </row>
    <row r="1306" ht="15" customHeight="1" spans="1:7" x14ac:dyDescent="0.25">
      <c r="A1306" s="23" t="s">
        <v>1493</v>
      </c>
      <c r="B1306" s="23" t="s">
        <v>1519</v>
      </c>
      <c r="C1306" s="23" t="s">
        <v>167</v>
      </c>
      <c r="D1306" s="23" t="s">
        <v>168</v>
      </c>
      <c r="E1306" s="23" t="s">
        <v>169</v>
      </c>
      <c r="F1306" s="23" t="s">
        <v>170</v>
      </c>
      <c r="G1306" s="24" t="str">
        <f>A1306&amp;"|"&amp;B1306</f>
        <v>Volvo|V40 T5</v>
      </c>
    </row>
    <row r="1307" ht="15" customHeight="1" spans="1:7" x14ac:dyDescent="0.25">
      <c r="A1307" s="23" t="s">
        <v>1493</v>
      </c>
      <c r="B1307" s="23" t="s">
        <v>1520</v>
      </c>
      <c r="C1307" s="23" t="s">
        <v>167</v>
      </c>
      <c r="D1307" s="23" t="s">
        <v>168</v>
      </c>
      <c r="E1307" s="23" t="s">
        <v>169</v>
      </c>
      <c r="F1307" s="23" t="s">
        <v>170</v>
      </c>
      <c r="G1307" s="24" t="str">
        <f>A1307&amp;"|"&amp;B1307</f>
        <v>Volvo|V40cc</v>
      </c>
    </row>
    <row r="1308" ht="15" customHeight="1" spans="1:7" x14ac:dyDescent="0.25">
      <c r="A1308" s="23" t="s">
        <v>1493</v>
      </c>
      <c r="B1308" s="23" t="s">
        <v>1521</v>
      </c>
      <c r="C1308" s="23" t="s">
        <v>167</v>
      </c>
      <c r="D1308" s="23" t="s">
        <v>168</v>
      </c>
      <c r="E1308" s="23" t="s">
        <v>169</v>
      </c>
      <c r="F1308" s="23" t="s">
        <v>170</v>
      </c>
      <c r="G1308" s="24" t="str">
        <f>A1308&amp;"|"&amp;B1308</f>
        <v>Volvo|V40cc T5 Awd</v>
      </c>
    </row>
    <row r="1309" ht="15" customHeight="1" spans="1:7" x14ac:dyDescent="0.25">
      <c r="A1309" s="23" t="s">
        <v>1493</v>
      </c>
      <c r="B1309" s="23" t="s">
        <v>1522</v>
      </c>
      <c r="C1309" s="23" t="s">
        <v>167</v>
      </c>
      <c r="D1309" s="23" t="s">
        <v>168</v>
      </c>
      <c r="E1309" s="23" t="s">
        <v>169</v>
      </c>
      <c r="F1309" s="23" t="s">
        <v>170</v>
      </c>
      <c r="G1309" s="24" t="str">
        <f>A1309&amp;"|"&amp;B1309</f>
        <v>Volvo|V40cc T5 Fwd</v>
      </c>
    </row>
    <row r="1310" ht="15" customHeight="1" spans="1:7" x14ac:dyDescent="0.25">
      <c r="A1310" s="23" t="s">
        <v>1493</v>
      </c>
      <c r="B1310" s="23" t="s">
        <v>1523</v>
      </c>
      <c r="C1310" s="23" t="s">
        <v>167</v>
      </c>
      <c r="D1310" s="23" t="s">
        <v>168</v>
      </c>
      <c r="E1310" s="23" t="s">
        <v>169</v>
      </c>
      <c r="F1310" s="23" t="s">
        <v>170</v>
      </c>
      <c r="G1310" s="24" t="str">
        <f>A1310&amp;"|"&amp;B1310</f>
        <v>Volvo|V50 T5</v>
      </c>
    </row>
    <row r="1311" ht="15" customHeight="1" spans="1:7" x14ac:dyDescent="0.25">
      <c r="A1311" s="23" t="s">
        <v>1493</v>
      </c>
      <c r="B1311" s="23" t="s">
        <v>1524</v>
      </c>
      <c r="C1311" s="23" t="s">
        <v>167</v>
      </c>
      <c r="D1311" s="23" t="s">
        <v>168</v>
      </c>
      <c r="E1311" s="23" t="s">
        <v>169</v>
      </c>
      <c r="F1311" s="23" t="s">
        <v>170</v>
      </c>
      <c r="G1311" s="24" t="str">
        <f>A1311&amp;"|"&amp;B1311</f>
        <v>Volvo|V60</v>
      </c>
    </row>
    <row r="1312" ht="15" customHeight="1" spans="1:7" x14ac:dyDescent="0.25">
      <c r="A1312" s="23" t="s">
        <v>1493</v>
      </c>
      <c r="B1312" s="23" t="s">
        <v>1525</v>
      </c>
      <c r="C1312" s="23" t="s">
        <v>167</v>
      </c>
      <c r="D1312" s="23" t="s">
        <v>168</v>
      </c>
      <c r="E1312" s="23" t="s">
        <v>169</v>
      </c>
      <c r="F1312" s="23" t="s">
        <v>170</v>
      </c>
      <c r="G1312" s="24" t="str">
        <f>A1312&amp;"|"&amp;B1312</f>
        <v>Volvo|V60 CC</v>
      </c>
    </row>
    <row r="1313" ht="15" customHeight="1" spans="1:7" x14ac:dyDescent="0.25">
      <c r="A1313" s="23" t="s">
        <v>1493</v>
      </c>
      <c r="B1313" s="23" t="s">
        <v>1526</v>
      </c>
      <c r="C1313" s="23" t="s">
        <v>167</v>
      </c>
      <c r="D1313" s="23" t="s">
        <v>168</v>
      </c>
      <c r="E1313" s="23" t="s">
        <v>169</v>
      </c>
      <c r="F1313" s="23" t="s">
        <v>170</v>
      </c>
      <c r="G1313" s="24" t="str">
        <f>A1313&amp;"|"&amp;B1313</f>
        <v>Volvo|XC40</v>
      </c>
    </row>
    <row r="1314" ht="15" customHeight="1" spans="1:7" x14ac:dyDescent="0.25">
      <c r="A1314" s="23" t="s">
        <v>1493</v>
      </c>
      <c r="B1314" s="23" t="s">
        <v>1527</v>
      </c>
      <c r="C1314" s="23" t="s">
        <v>162</v>
      </c>
      <c r="D1314" s="23" t="s">
        <v>163</v>
      </c>
      <c r="E1314" s="23" t="s">
        <v>164</v>
      </c>
      <c r="F1314" s="23" t="s">
        <v>165</v>
      </c>
      <c r="G1314" s="24" t="str">
        <f>A1314&amp;"|"&amp;B1314</f>
        <v>Volvo|XC60</v>
      </c>
    </row>
    <row r="1315" ht="15" customHeight="1" spans="1:7" x14ac:dyDescent="0.25">
      <c r="A1315" s="23" t="s">
        <v>1493</v>
      </c>
      <c r="B1315" s="23" t="s">
        <v>1528</v>
      </c>
      <c r="C1315" s="23" t="s">
        <v>162</v>
      </c>
      <c r="D1315" s="23" t="s">
        <v>163</v>
      </c>
      <c r="E1315" s="23" t="s">
        <v>164</v>
      </c>
      <c r="F1315" s="23" t="s">
        <v>165</v>
      </c>
      <c r="G1315" s="24" t="str">
        <f>A1315&amp;"|"&amp;B1315</f>
        <v>Volvo|XC60 II</v>
      </c>
    </row>
    <row r="1316" ht="15" customHeight="1" spans="1:7" x14ac:dyDescent="0.25">
      <c r="A1316" s="23" t="s">
        <v>1493</v>
      </c>
      <c r="B1316" s="23" t="s">
        <v>1529</v>
      </c>
      <c r="C1316" s="23" t="s">
        <v>162</v>
      </c>
      <c r="D1316" s="23" t="s">
        <v>163</v>
      </c>
      <c r="E1316" s="23" t="s">
        <v>164</v>
      </c>
      <c r="F1316" s="23" t="s">
        <v>165</v>
      </c>
      <c r="G1316" s="24" t="str">
        <f>A1316&amp;"|"&amp;B1316</f>
        <v>Volvo|Xc70 2.5t</v>
      </c>
    </row>
    <row r="1317" ht="15" customHeight="1" spans="1:7" x14ac:dyDescent="0.25">
      <c r="A1317" s="23" t="s">
        <v>1493</v>
      </c>
      <c r="B1317" s="23" t="s">
        <v>1530</v>
      </c>
      <c r="C1317" s="23" t="s">
        <v>162</v>
      </c>
      <c r="D1317" s="23" t="s">
        <v>163</v>
      </c>
      <c r="E1317" s="23" t="s">
        <v>164</v>
      </c>
      <c r="F1317" s="23" t="s">
        <v>165</v>
      </c>
      <c r="G1317" s="24" t="str">
        <f>A1317&amp;"|"&amp;B1317</f>
        <v>Volvo|Xc90</v>
      </c>
    </row>
    <row r="1318" ht="15" customHeight="1" spans="1:7" x14ac:dyDescent="0.25">
      <c r="A1318" s="23" t="s">
        <v>1493</v>
      </c>
      <c r="B1318" s="23" t="s">
        <v>1531</v>
      </c>
      <c r="C1318" s="23" t="s">
        <v>162</v>
      </c>
      <c r="D1318" s="23" t="s">
        <v>163</v>
      </c>
      <c r="E1318" s="23" t="s">
        <v>164</v>
      </c>
      <c r="F1318" s="23" t="s">
        <v>165</v>
      </c>
      <c r="G1318" s="24" t="str">
        <f>A1318&amp;"|"&amp;B1318</f>
        <v>Volvo|XC90 3.2</v>
      </c>
    </row>
    <row r="1319" ht="15" customHeight="1" spans="1:7" x14ac:dyDescent="0.25">
      <c r="A1319" s="23" t="s">
        <v>1493</v>
      </c>
      <c r="B1319" s="23" t="s">
        <v>1532</v>
      </c>
      <c r="C1319" s="23" t="s">
        <v>162</v>
      </c>
      <c r="D1319" s="23" t="s">
        <v>163</v>
      </c>
      <c r="E1319" s="23" t="s">
        <v>164</v>
      </c>
      <c r="F1319" s="23" t="s">
        <v>165</v>
      </c>
      <c r="G1319" s="24" t="str">
        <f>A1319&amp;"|"&amp;B1319</f>
        <v>Volvo|XC90 II</v>
      </c>
    </row>
    <row r="1320" ht="15" customHeight="1" spans="1:7" x14ac:dyDescent="0.25">
      <c r="A1320" s="23" t="s">
        <v>1493</v>
      </c>
      <c r="B1320" s="23" t="s">
        <v>1533</v>
      </c>
      <c r="C1320" s="23" t="s">
        <v>162</v>
      </c>
      <c r="D1320" s="23" t="s">
        <v>163</v>
      </c>
      <c r="E1320" s="23" t="s">
        <v>164</v>
      </c>
      <c r="F1320" s="23" t="s">
        <v>165</v>
      </c>
      <c r="G1320" s="24" t="str">
        <f>A1320&amp;"|"&amp;B1320</f>
        <v>Volvo|Xc90 T6</v>
      </c>
    </row>
    <row r="1321" ht="15" customHeight="1" spans="1:7" x14ac:dyDescent="0.25">
      <c r="A1321" s="23" t="s">
        <v>1493</v>
      </c>
      <c r="B1321" s="23" t="s">
        <v>1534</v>
      </c>
      <c r="C1321" s="23" t="s">
        <v>162</v>
      </c>
      <c r="D1321" s="23" t="s">
        <v>163</v>
      </c>
      <c r="E1321" s="23" t="s">
        <v>164</v>
      </c>
      <c r="F1321" s="23" t="s">
        <v>165</v>
      </c>
      <c r="G1321" s="24" t="str">
        <f>A1321&amp;"|"&amp;B1321</f>
        <v>Volvo|XC90 V8</v>
      </c>
    </row>
    <row r="1322" ht="15" customHeight="1" spans="1:7" x14ac:dyDescent="0.25">
      <c r="A1322" s="23" t="s">
        <v>1535</v>
      </c>
      <c r="B1322" s="23" t="s">
        <v>1536</v>
      </c>
      <c r="C1322" s="23" t="s">
        <v>167</v>
      </c>
      <c r="D1322" s="23" t="s">
        <v>168</v>
      </c>
      <c r="E1322" s="23" t="s">
        <v>169</v>
      </c>
      <c r="F1322" s="23" t="s">
        <v>170</v>
      </c>
      <c r="G1322" s="24" t="str">
        <f>A1322&amp;"|"&amp;B1322</f>
        <v>Zeekr|001</v>
      </c>
    </row>
    <row r="1323" ht="15" customHeight="1" spans="1:7" x14ac:dyDescent="0.25">
      <c r="A1323" s="23" t="s">
        <v>1535</v>
      </c>
      <c r="B1323" s="23" t="s">
        <v>1537</v>
      </c>
      <c r="C1323" s="23" t="s">
        <v>167</v>
      </c>
      <c r="D1323" s="23" t="s">
        <v>168</v>
      </c>
      <c r="E1323" s="23" t="s">
        <v>169</v>
      </c>
      <c r="F1323" s="23" t="s">
        <v>170</v>
      </c>
      <c r="G1323" s="24" t="str">
        <f>A1323&amp;"|"&amp;B1323</f>
        <v>Zeekr|7X</v>
      </c>
    </row>
    <row r="1324" ht="15" customHeight="1" spans="1:7" x14ac:dyDescent="0.25">
      <c r="A1324" s="23" t="s">
        <v>1535</v>
      </c>
      <c r="B1324" s="23" t="s">
        <v>1538</v>
      </c>
      <c r="C1324" s="23" t="s">
        <v>167</v>
      </c>
      <c r="D1324" s="23" t="s">
        <v>168</v>
      </c>
      <c r="E1324" s="23" t="s">
        <v>169</v>
      </c>
      <c r="F1324" s="23" t="s">
        <v>170</v>
      </c>
      <c r="G1324" s="24" t="str">
        <f>A1324&amp;"|"&amp;B1324</f>
        <v>Zeekr|X</v>
      </c>
    </row>
    <row r="1325" ht="15" customHeight="1" spans="1:7" x14ac:dyDescent="0.25">
      <c r="A1325" s="23" t="s">
        <v>1539</v>
      </c>
      <c r="B1325" s="23" t="s">
        <v>1540</v>
      </c>
      <c r="C1325" s="23" t="s">
        <v>1541</v>
      </c>
      <c r="D1325" s="23" t="s">
        <v>1541</v>
      </c>
      <c r="E1325" s="23" t="s">
        <v>1541</v>
      </c>
      <c r="F1325" s="23" t="s">
        <v>1541</v>
      </c>
      <c r="G1325" s="24" t="str">
        <f>A1325&amp;"|"&amp;B1325</f>
        <v>Otra marca|Otro modelo</v>
      </c>
    </row>
    <row r="1327" ht="15" customHeight="1" spans="1:1" x14ac:dyDescent="0.25">
      <c r="A1327" s="25" t="s">
        <v>1542</v>
      </c>
    </row>
  </sheetData>
  <pageMargins left="0.75" right="0.75" top="1" bottom="1" header="0.511811023622047" footer="0.511811023622047"/>
  <pageSetup paperSize="9" orientation="portrait" horizontalDpi="300" verticalDpi="300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0"/>
  <sheetViews>
    <sheetView workbookViewId="0" zoomScale="100" zoomScaleNormal="100" view="normal">
      <pane ySplit="1" topLeftCell="A2" activePane="bottomLeft" state="frozen"/>
      <selection pane="bottomLeft" activeCell="A1" sqref="A1"/>
    </sheetView>
  </sheetViews>
  <sheetFormatPr defaultRowHeight="15" outlineLevelRow="0" outlineLevelCol="0" x14ac:dyDescent="0" defaultColWidth="8.6796875"/>
  <cols>
    <col min="1" max="1" width="20" customWidth="1"/>
    <col min="2" max="2" width="18" customWidth="1"/>
    <col min="3" max="3" width="22" customWidth="1"/>
    <col min="4" max="4" width="16" customWidth="1"/>
    <col min="5" max="6" width="22" customWidth="1"/>
    <col min="7" max="7" width="30" customWidth="1"/>
    <col min="8" max="8" width="16" customWidth="1"/>
  </cols>
  <sheetData>
    <row r="1" ht="15" customHeight="1" spans="1:8" x14ac:dyDescent="0.25">
      <c r="A1" s="22" t="s">
        <v>24</v>
      </c>
      <c r="B1" s="22" t="s">
        <v>53</v>
      </c>
      <c r="C1" s="22" t="s">
        <v>90</v>
      </c>
      <c r="D1" s="22" t="s">
        <v>26</v>
      </c>
      <c r="E1" s="22" t="s">
        <v>1543</v>
      </c>
      <c r="F1" s="22" t="s">
        <v>51</v>
      </c>
      <c r="G1" s="22" t="s">
        <v>55</v>
      </c>
      <c r="H1" s="22" t="s">
        <v>1544</v>
      </c>
    </row>
    <row r="2" ht="15" customHeight="1" spans="1:8" x14ac:dyDescent="0.25">
      <c r="A2" s="2" t="s">
        <v>1545</v>
      </c>
      <c r="B2" s="2" t="s">
        <v>1546</v>
      </c>
      <c r="C2" s="2" t="s">
        <v>148</v>
      </c>
      <c r="D2" s="2" t="s">
        <v>123</v>
      </c>
      <c r="E2" s="2" t="s">
        <v>160</v>
      </c>
      <c r="F2" s="2" t="s">
        <v>128</v>
      </c>
      <c r="G2" s="2" t="s">
        <v>1547</v>
      </c>
      <c r="H2" s="2" t="s">
        <v>1548</v>
      </c>
    </row>
    <row r="3" ht="15" customHeight="1" spans="1:8" x14ac:dyDescent="0.25">
      <c r="A3" s="2" t="s">
        <v>122</v>
      </c>
      <c r="B3" s="2" t="s">
        <v>129</v>
      </c>
      <c r="C3" s="2" t="s">
        <v>1549</v>
      </c>
      <c r="D3" s="2" t="s">
        <v>1550</v>
      </c>
      <c r="E3" s="2" t="s">
        <v>185</v>
      </c>
      <c r="F3" s="2" t="s">
        <v>1551</v>
      </c>
      <c r="G3" s="2" t="s">
        <v>130</v>
      </c>
      <c r="H3" s="2" t="s">
        <v>1552</v>
      </c>
    </row>
    <row r="4" ht="15" customHeight="1" spans="1:8" x14ac:dyDescent="0.25">
      <c r="A4" s="2" t="s">
        <v>1553</v>
      </c>
      <c r="B4" s="2" t="s">
        <v>1554</v>
      </c>
      <c r="E4" s="2" t="s">
        <v>195</v>
      </c>
      <c r="F4" s="2" t="s">
        <v>1555</v>
      </c>
      <c r="G4" s="2" t="s">
        <v>1556</v>
      </c>
      <c r="H4" s="2" t="s">
        <v>151</v>
      </c>
    </row>
    <row r="5" ht="15" customHeight="1" spans="1:8" x14ac:dyDescent="0.25">
      <c r="A5" s="2" t="s">
        <v>1557</v>
      </c>
      <c r="E5" s="2" t="s">
        <v>269</v>
      </c>
      <c r="G5" s="2" t="s">
        <v>1558</v>
      </c>
      <c r="H5" s="2" t="s">
        <v>1559</v>
      </c>
    </row>
    <row r="6" ht="15" customHeight="1" spans="5:8" x14ac:dyDescent="0.25">
      <c r="E6" s="2" t="s">
        <v>281</v>
      </c>
      <c r="H6" s="2" t="s">
        <v>149</v>
      </c>
    </row>
    <row r="7" ht="15" customHeight="1" spans="5:5" x14ac:dyDescent="0.25">
      <c r="E7" s="2" t="s">
        <v>288</v>
      </c>
    </row>
    <row r="8" ht="15" customHeight="1" spans="5:5" x14ac:dyDescent="0.25">
      <c r="E8" s="2" t="s">
        <v>375</v>
      </c>
    </row>
    <row r="9" ht="15" customHeight="1" spans="5:5" x14ac:dyDescent="0.25">
      <c r="E9" s="2" t="s">
        <v>393</v>
      </c>
    </row>
    <row r="10" ht="15" customHeight="1" spans="5:5" x14ac:dyDescent="0.25">
      <c r="E10" s="2" t="s">
        <v>401</v>
      </c>
    </row>
    <row r="11" ht="15" customHeight="1" spans="5:5" x14ac:dyDescent="0.25">
      <c r="E11" s="2" t="s">
        <v>468</v>
      </c>
    </row>
    <row r="12" ht="15" customHeight="1" spans="5:5" x14ac:dyDescent="0.25">
      <c r="E12" s="2" t="s">
        <v>497</v>
      </c>
    </row>
    <row r="13" ht="15" customHeight="1" spans="5:5" x14ac:dyDescent="0.25">
      <c r="E13" s="2" t="s">
        <v>562</v>
      </c>
    </row>
    <row r="14" ht="15" customHeight="1" spans="5:5" x14ac:dyDescent="0.25">
      <c r="E14" s="2" t="s">
        <v>576</v>
      </c>
    </row>
    <row r="15" ht="15" customHeight="1" spans="5:5" x14ac:dyDescent="0.25">
      <c r="E15" s="2" t="s">
        <v>588</v>
      </c>
    </row>
    <row r="16" ht="15" customHeight="1" spans="5:5" x14ac:dyDescent="0.25">
      <c r="E16" s="2" t="s">
        <v>748</v>
      </c>
    </row>
    <row r="17" ht="15" customHeight="1" spans="5:5" x14ac:dyDescent="0.25">
      <c r="E17" s="2" t="s">
        <v>757</v>
      </c>
    </row>
    <row r="18" ht="15" customHeight="1" spans="5:5" x14ac:dyDescent="0.25">
      <c r="E18" s="2" t="s">
        <v>780</v>
      </c>
    </row>
    <row r="19" ht="15" customHeight="1" spans="5:5" x14ac:dyDescent="0.25">
      <c r="E19" s="2" t="s">
        <v>800</v>
      </c>
    </row>
    <row r="20" ht="15" customHeight="1" spans="5:5" x14ac:dyDescent="0.25">
      <c r="E20" s="2" t="s">
        <v>816</v>
      </c>
    </row>
    <row r="21" ht="15" customHeight="1" spans="5:5" x14ac:dyDescent="0.25">
      <c r="E21" s="2" t="s">
        <v>821</v>
      </c>
    </row>
    <row r="22" ht="15" customHeight="1" spans="5:5" x14ac:dyDescent="0.25">
      <c r="E22" s="2" t="s">
        <v>856</v>
      </c>
    </row>
    <row r="23" ht="15" customHeight="1" spans="5:5" x14ac:dyDescent="0.25">
      <c r="E23" s="2" t="s">
        <v>874</v>
      </c>
    </row>
    <row r="24" ht="15" customHeight="1" spans="5:5" x14ac:dyDescent="0.25">
      <c r="E24" s="2" t="s">
        <v>879</v>
      </c>
    </row>
    <row r="25" ht="15" customHeight="1" spans="5:5" x14ac:dyDescent="0.25">
      <c r="E25" s="2" t="s">
        <v>888</v>
      </c>
    </row>
    <row r="26" ht="15" customHeight="1" spans="5:5" x14ac:dyDescent="0.25">
      <c r="E26" s="2" t="s">
        <v>913</v>
      </c>
    </row>
    <row r="27" ht="15" customHeight="1" spans="5:5" x14ac:dyDescent="0.25">
      <c r="E27" s="2" t="s">
        <v>925</v>
      </c>
    </row>
    <row r="28" ht="15" customHeight="1" spans="5:5" x14ac:dyDescent="0.25">
      <c r="E28" s="2" t="s">
        <v>927</v>
      </c>
    </row>
    <row r="29" ht="15" customHeight="1" spans="5:5" x14ac:dyDescent="0.25">
      <c r="E29" s="2" t="s">
        <v>938</v>
      </c>
    </row>
    <row r="30" ht="15" customHeight="1" spans="5:5" x14ac:dyDescent="0.25">
      <c r="E30" s="2" t="s">
        <v>956</v>
      </c>
    </row>
    <row r="31" ht="15" customHeight="1" spans="5:5" x14ac:dyDescent="0.25">
      <c r="E31" s="2" t="s">
        <v>961</v>
      </c>
    </row>
    <row r="32" ht="15" customHeight="1" spans="5:5" x14ac:dyDescent="0.25">
      <c r="E32" s="2" t="s">
        <v>981</v>
      </c>
    </row>
    <row r="33" ht="15" customHeight="1" spans="5:5" x14ac:dyDescent="0.25">
      <c r="E33" s="2" t="s">
        <v>1070</v>
      </c>
    </row>
    <row r="34" ht="15" customHeight="1" spans="5:5" x14ac:dyDescent="0.25">
      <c r="E34" s="2" t="s">
        <v>1091</v>
      </c>
    </row>
    <row r="35" ht="15" customHeight="1" spans="5:5" x14ac:dyDescent="0.25">
      <c r="E35" s="2" t="s">
        <v>1096</v>
      </c>
    </row>
    <row r="36" ht="15" customHeight="1" spans="5:5" x14ac:dyDescent="0.25">
      <c r="E36" s="2" t="s">
        <v>1115</v>
      </c>
    </row>
    <row r="37" ht="15" customHeight="1" spans="5:5" x14ac:dyDescent="0.25">
      <c r="E37" s="2" t="s">
        <v>1136</v>
      </c>
    </row>
    <row r="38" ht="15" customHeight="1" spans="5:5" x14ac:dyDescent="0.25">
      <c r="E38" s="2" t="s">
        <v>125</v>
      </c>
    </row>
    <row r="39" ht="15" customHeight="1" spans="5:5" x14ac:dyDescent="0.25">
      <c r="E39" s="2" t="s">
        <v>1227</v>
      </c>
    </row>
    <row r="40" ht="15" customHeight="1" spans="5:5" x14ac:dyDescent="0.25">
      <c r="E40" s="2" t="s">
        <v>1231</v>
      </c>
    </row>
    <row r="41" ht="15" customHeight="1" spans="5:5" x14ac:dyDescent="0.25">
      <c r="E41" s="2" t="s">
        <v>1275</v>
      </c>
    </row>
    <row r="42" ht="15" customHeight="1" spans="5:5" x14ac:dyDescent="0.25">
      <c r="E42" s="2" t="s">
        <v>1287</v>
      </c>
    </row>
    <row r="43" ht="15" customHeight="1" spans="5:5" x14ac:dyDescent="0.25">
      <c r="E43" s="2" t="s">
        <v>1332</v>
      </c>
    </row>
    <row r="44" ht="15" customHeight="1" spans="5:5" x14ac:dyDescent="0.25">
      <c r="E44" s="2" t="s">
        <v>1352</v>
      </c>
    </row>
    <row r="45" ht="15" customHeight="1" spans="5:5" x14ac:dyDescent="0.25">
      <c r="E45" s="2" t="s">
        <v>1357</v>
      </c>
    </row>
    <row r="46" ht="15" customHeight="1" spans="5:5" x14ac:dyDescent="0.25">
      <c r="E46" s="2" t="s">
        <v>1376</v>
      </c>
    </row>
    <row r="47" ht="15" customHeight="1" spans="5:5" x14ac:dyDescent="0.25">
      <c r="E47" s="2" t="s">
        <v>1398</v>
      </c>
    </row>
    <row r="48" ht="15" customHeight="1" spans="5:5" x14ac:dyDescent="0.25">
      <c r="E48" s="2" t="s">
        <v>1432</v>
      </c>
    </row>
    <row r="49" ht="15" customHeight="1" spans="5:5" x14ac:dyDescent="0.25">
      <c r="E49" s="2" t="s">
        <v>1493</v>
      </c>
    </row>
    <row r="50" ht="15" customHeight="1" spans="5:5" x14ac:dyDescent="0.25">
      <c r="E50" s="2" t="s">
        <v>1535</v>
      </c>
    </row>
    <row r="51" ht="15" customHeight="1" spans="5:5" x14ac:dyDescent="0.25">
      <c r="E51" s="2" t="s">
        <v>1539</v>
      </c>
    </row>
    <row r="60" ht="15" customHeight="1" spans="1:1" x14ac:dyDescent="0.25">
      <c r="A60" s="25" t="s">
        <v>1560</v>
      </c>
    </row>
  </sheetData>
  <pageMargins left="0.75" right="0.75" top="1" bottom="1" header="0.511811023622047" footer="0.511811023622047"/>
  <pageSetup paperSize="9" orientation="portrait" horizontalDpi="300" verticalDpi="300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Instrucciones</vt:lpstr>
      <vt:lpstr>Traslados</vt:lpstr>
      <vt:lpstr>Catalogo_Vehiculos</vt:lpstr>
      <vt:lpstr>Listas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:title/>
  <dc:subject/>
  <dc:description/>
  <dc:language>en-US</dc:language>
  <cp:lastModifiedBy>Unknown</cp:lastModifiedBy>
  <dcterms:created xsi:type="dcterms:W3CDTF">2026-10-17T11:49:49Z</dcterms:created>
  <dcterms:modified xsi:type="dcterms:W3CDTF">2026-10-17T11:49:54Z</dcterms:modified>
</cp:coreProperties>
</file>